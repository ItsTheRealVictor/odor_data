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always" codeName="ThisWorkbook"/>
  <mc:AlternateContent xmlns:mc="http://schemas.openxmlformats.org/markup-compatibility/2006">
    <mc:Choice Requires="x15">
      <x15ac:absPath xmlns:x15ac="http://schemas.microsoft.com/office/spreadsheetml/2010/11/ac" url="\\Oberon\reports\Columbia DMR's\Columbia_2019\Working_Folder\"/>
    </mc:Choice>
  </mc:AlternateContent>
  <xr:revisionPtr revIDLastSave="0" documentId="13_ncr:1_{0BE41347-6431-483B-9D76-8EB9BA619A06}" xr6:coauthVersionLast="36" xr6:coauthVersionMax="36" xr10:uidLastSave="{00000000-0000-0000-0000-000000000000}"/>
  <bookViews>
    <workbookView xWindow="3645" yWindow="1530" windowWidth="5625" windowHeight="10560" tabRatio="923" xr2:uid="{00000000-000D-0000-FFFF-FFFF00000000}"/>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'nut.-notes'!$A$1:$K$33</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5" i="8" l="1"/>
  <c r="R21" i="8" l="1"/>
  <c r="R20" i="8"/>
  <c r="R24" i="8" l="1"/>
  <c r="AH42" i="8" l="1"/>
  <c r="P42" i="8"/>
  <c r="L42" i="8"/>
  <c r="H42" i="8"/>
  <c r="G40" i="38" l="1"/>
  <c r="G5" i="22" l="1"/>
  <c r="H40" i="2"/>
  <c r="W40" i="3" l="1"/>
  <c r="U10" i="3" l="1"/>
  <c r="U11" i="3"/>
  <c r="U12" i="3"/>
  <c r="U13" i="3"/>
  <c r="U14" i="3"/>
  <c r="U15" i="3"/>
  <c r="U16" i="3"/>
  <c r="U19" i="3"/>
  <c r="U20" i="3"/>
  <c r="U21" i="3"/>
  <c r="U22" i="3"/>
  <c r="U23" i="3"/>
  <c r="U24" i="3"/>
  <c r="U25" i="3"/>
  <c r="U26" i="3"/>
  <c r="U27" i="3"/>
  <c r="U28" i="3"/>
  <c r="U29" i="3"/>
  <c r="U30" i="3"/>
  <c r="U31" i="3"/>
  <c r="U32" i="3"/>
  <c r="U33" i="3"/>
  <c r="U34" i="3"/>
  <c r="U35" i="3"/>
  <c r="U36" i="3"/>
  <c r="U37" i="3"/>
  <c r="U38" i="3"/>
  <c r="U39" i="3"/>
  <c r="U40" i="3"/>
  <c r="S39" i="2"/>
  <c r="S40" i="2"/>
  <c r="N40" i="2"/>
  <c r="M40" i="2"/>
  <c r="N33" i="2" l="1"/>
  <c r="N34" i="2" l="1"/>
  <c r="U18" i="3" l="1"/>
  <c r="U17" i="3"/>
  <c r="C59" i="1" l="1"/>
  <c r="V23" i="3"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B35" i="22"/>
  <c r="C35" i="22"/>
  <c r="D35" i="22"/>
  <c r="E35" i="22"/>
  <c r="F35" i="22"/>
  <c r="G35" i="22"/>
  <c r="H35" i="22"/>
  <c r="I35" i="22"/>
  <c r="J35" i="22"/>
  <c r="K35" i="22"/>
  <c r="B35" i="35"/>
  <c r="C35" i="35"/>
  <c r="D35" i="35"/>
  <c r="E35" i="35"/>
  <c r="F35" i="35"/>
  <c r="G35" i="35"/>
  <c r="B35" i="21"/>
  <c r="C35" i="21"/>
  <c r="D35" i="21"/>
  <c r="E35" i="21"/>
  <c r="F35" i="21"/>
  <c r="G35" i="21"/>
  <c r="H35" i="21"/>
  <c r="I35" i="21"/>
  <c r="L35" i="21"/>
  <c r="M35" i="21"/>
  <c r="N35" i="21"/>
  <c r="O35" i="21"/>
  <c r="P35" i="21"/>
  <c r="Q35" i="21"/>
  <c r="X35" i="21"/>
  <c r="Y35" i="21"/>
  <c r="Z35" i="21"/>
  <c r="AA35" i="21"/>
  <c r="AB35" i="21"/>
  <c r="AC35" i="21"/>
  <c r="AD35" i="21"/>
  <c r="AE35" i="21"/>
  <c r="AF35" i="21"/>
  <c r="AG35" i="21"/>
  <c r="AH35" i="21"/>
  <c r="AI35" i="21"/>
  <c r="B35" i="29"/>
  <c r="C35" i="29"/>
  <c r="D35" i="29"/>
  <c r="E35" i="29"/>
  <c r="F35" i="29"/>
  <c r="G35" i="29"/>
  <c r="H35" i="29"/>
  <c r="I35" i="29"/>
  <c r="J35" i="29"/>
  <c r="K35" i="29"/>
  <c r="L35" i="29"/>
  <c r="M35" i="29"/>
  <c r="N35" i="29"/>
  <c r="O35" i="29"/>
  <c r="P35" i="29"/>
  <c r="Q35" i="29"/>
  <c r="B35" i="19"/>
  <c r="D35" i="19"/>
  <c r="E35" i="19"/>
  <c r="F35" i="19"/>
  <c r="G35" i="19"/>
  <c r="H35" i="19"/>
  <c r="I35" i="19"/>
  <c r="J35" i="19"/>
  <c r="K35" i="19"/>
  <c r="L35" i="19"/>
  <c r="M35" i="19"/>
  <c r="N35" i="19"/>
  <c r="O35" i="19"/>
  <c r="B35" i="18"/>
  <c r="D35" i="25" s="1"/>
  <c r="E35" i="18"/>
  <c r="F35" i="18"/>
  <c r="I35" i="18"/>
  <c r="J35" i="18"/>
  <c r="K35" i="18"/>
  <c r="L35" i="18"/>
  <c r="M35" i="18"/>
  <c r="N35" i="18"/>
  <c r="O35" i="18"/>
  <c r="P35" i="18"/>
  <c r="Q35" i="18"/>
  <c r="B35" i="16"/>
  <c r="C35" i="16"/>
  <c r="G35" i="16"/>
  <c r="H35" i="16"/>
  <c r="I35" i="16"/>
  <c r="J35" i="16"/>
  <c r="K35" i="16"/>
  <c r="O35" i="16"/>
  <c r="P35" i="16"/>
  <c r="Q35" i="16"/>
  <c r="R35" i="16"/>
  <c r="S35" i="16"/>
  <c r="W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Y35" i="16"/>
  <c r="Q34" i="28"/>
  <c r="BN34" i="28"/>
  <c r="I34" i="27"/>
  <c r="V34" i="27" s="1"/>
  <c r="W34" i="27" s="1"/>
  <c r="X35" i="16"/>
  <c r="I35" i="25"/>
  <c r="F35" i="23"/>
  <c r="F34" i="26" s="1"/>
  <c r="H34" i="26" s="1"/>
  <c r="W35" i="17"/>
  <c r="E35" i="17" s="1"/>
  <c r="V35" i="16"/>
  <c r="P35" i="19"/>
  <c r="AD34" i="28"/>
  <c r="D34" i="27"/>
  <c r="L35" i="16"/>
  <c r="L35" i="24"/>
  <c r="C35" i="18"/>
  <c r="D35" i="18" s="1"/>
  <c r="I35" i="23"/>
  <c r="F35" i="24"/>
  <c r="X35" i="17"/>
  <c r="J35" i="24"/>
  <c r="L35" i="25"/>
  <c r="O35" i="25" s="1"/>
  <c r="Z35" i="16"/>
  <c r="T35" i="16"/>
  <c r="B40" i="38"/>
  <c r="C40" i="38"/>
  <c r="D40" i="38"/>
  <c r="E40" i="38"/>
  <c r="F40" i="38"/>
  <c r="P35" i="17" s="1"/>
  <c r="J40" i="38"/>
  <c r="K40" i="38"/>
  <c r="V40" i="3"/>
  <c r="X40" i="3"/>
  <c r="B40" i="2"/>
  <c r="C40" i="2"/>
  <c r="D40" i="2"/>
  <c r="E40" i="2"/>
  <c r="G40" i="2"/>
  <c r="I40" i="2"/>
  <c r="F35" i="16" s="1"/>
  <c r="J40" i="2"/>
  <c r="K40" i="2"/>
  <c r="P40" i="2" s="1"/>
  <c r="L40" i="2"/>
  <c r="U40" i="2" s="1"/>
  <c r="E42" i="8" l="1"/>
  <c r="D42" i="8"/>
  <c r="AJ42" i="8"/>
  <c r="AD42" i="8"/>
  <c r="Z42" i="8"/>
  <c r="E40" i="3"/>
  <c r="B40" i="3"/>
  <c r="D40" i="3" s="1"/>
  <c r="B35" i="17"/>
  <c r="R40" i="3"/>
  <c r="Q40" i="3"/>
  <c r="V40" i="2"/>
  <c r="N42" i="8" s="1"/>
  <c r="AF42" i="8" s="1"/>
  <c r="Q40" i="2"/>
  <c r="J42" i="8" s="1"/>
  <c r="AB42" i="8" s="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J40" i="3"/>
  <c r="AP34" i="28"/>
  <c r="AT34" i="28" s="1"/>
  <c r="AE34" i="28"/>
  <c r="G40" i="3"/>
  <c r="I40" i="3" s="1"/>
  <c r="U34" i="28"/>
  <c r="Y34" i="28" s="1"/>
  <c r="Y35" i="17"/>
  <c r="Q35" i="23"/>
  <c r="C35" i="17"/>
  <c r="D35" i="16"/>
  <c r="N35" i="16" s="1"/>
  <c r="F40" i="2"/>
  <c r="E35" i="16"/>
  <c r="M40" i="3" l="1"/>
  <c r="N40" i="3"/>
  <c r="M35" i="16"/>
  <c r="U35" i="16"/>
  <c r="P17" i="33"/>
  <c r="P18" i="33"/>
  <c r="P20" i="33" l="1"/>
  <c r="H12" i="8"/>
  <c r="L12" i="8"/>
  <c r="P12" i="8"/>
  <c r="R12" i="8"/>
  <c r="V12" i="8"/>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I39" i="2"/>
  <c r="F34" i="16" s="1"/>
  <c r="I38" i="2"/>
  <c r="F33" i="16" s="1"/>
  <c r="I37" i="2"/>
  <c r="F32" i="16" s="1"/>
  <c r="I36" i="2"/>
  <c r="F31" i="16" s="1"/>
  <c r="I35" i="2"/>
  <c r="F30" i="16" s="1"/>
  <c r="I34" i="2"/>
  <c r="F29" i="16" s="1"/>
  <c r="I33" i="2"/>
  <c r="F28" i="16" s="1"/>
  <c r="I32" i="2"/>
  <c r="F27" i="16" s="1"/>
  <c r="I31" i="2"/>
  <c r="F26" i="16" s="1"/>
  <c r="I30" i="2"/>
  <c r="F25" i="16" s="1"/>
  <c r="I29" i="2"/>
  <c r="F24" i="16" s="1"/>
  <c r="I28" i="2"/>
  <c r="F23" i="16" s="1"/>
  <c r="I27" i="2"/>
  <c r="F22" i="16" s="1"/>
  <c r="I26" i="2"/>
  <c r="F21" i="16" s="1"/>
  <c r="I25" i="2"/>
  <c r="F20" i="16" s="1"/>
  <c r="I24" i="2"/>
  <c r="F19" i="16" s="1"/>
  <c r="I23" i="2"/>
  <c r="F18" i="16" s="1"/>
  <c r="I22" i="2"/>
  <c r="F17" i="16" s="1"/>
  <c r="I21" i="2"/>
  <c r="F16" i="16" s="1"/>
  <c r="I20" i="2"/>
  <c r="F15" i="16" s="1"/>
  <c r="I19" i="2"/>
  <c r="F14" i="16" s="1"/>
  <c r="I18" i="2"/>
  <c r="F13" i="16" s="1"/>
  <c r="I17" i="2"/>
  <c r="F12" i="16" s="1"/>
  <c r="I16" i="2"/>
  <c r="F11" i="16" s="1"/>
  <c r="I15" i="2"/>
  <c r="F10" i="16" s="1"/>
  <c r="I14" i="2"/>
  <c r="F9" i="16" s="1"/>
  <c r="I13" i="2"/>
  <c r="F8" i="16" s="1"/>
  <c r="I12" i="2"/>
  <c r="F7" i="16" s="1"/>
  <c r="I11" i="2"/>
  <c r="F6" i="16" s="1"/>
  <c r="I10" i="2"/>
  <c r="F5" i="16" s="1"/>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13" i="8" l="1"/>
  <c r="L13" i="8"/>
  <c r="P13" i="8"/>
  <c r="R13" i="8"/>
  <c r="V13" i="8"/>
  <c r="AH13" i="8"/>
  <c r="H14" i="8"/>
  <c r="L14" i="8"/>
  <c r="P14" i="8"/>
  <c r="R14" i="8"/>
  <c r="V14" i="8"/>
  <c r="AH14" i="8"/>
  <c r="H15" i="8"/>
  <c r="L15" i="8"/>
  <c r="P15" i="8"/>
  <c r="R15" i="8"/>
  <c r="V15" i="8"/>
  <c r="AH15" i="8"/>
  <c r="H16" i="8"/>
  <c r="L16" i="8"/>
  <c r="P16" i="8"/>
  <c r="R16" i="8"/>
  <c r="V16" i="8"/>
  <c r="AH16" i="8"/>
  <c r="H17" i="8"/>
  <c r="L17" i="8"/>
  <c r="P17" i="8"/>
  <c r="R17" i="8"/>
  <c r="V17" i="8"/>
  <c r="AH17" i="8"/>
  <c r="H18" i="8"/>
  <c r="L18" i="8"/>
  <c r="P18" i="8"/>
  <c r="R18" i="8"/>
  <c r="V18" i="8"/>
  <c r="AH18" i="8"/>
  <c r="H19" i="8"/>
  <c r="L19" i="8"/>
  <c r="P19" i="8"/>
  <c r="R19" i="8"/>
  <c r="V19" i="8"/>
  <c r="AH19" i="8"/>
  <c r="H20" i="8"/>
  <c r="L20" i="8"/>
  <c r="P20" i="8"/>
  <c r="V20" i="8"/>
  <c r="AH20" i="8"/>
  <c r="H21" i="8"/>
  <c r="L21" i="8"/>
  <c r="P21" i="8"/>
  <c r="V21" i="8"/>
  <c r="AH21" i="8"/>
  <c r="H22" i="8"/>
  <c r="L22" i="8"/>
  <c r="P22" i="8"/>
  <c r="R22" i="8"/>
  <c r="V22" i="8"/>
  <c r="AH22" i="8"/>
  <c r="H23" i="8"/>
  <c r="L23" i="8"/>
  <c r="P23" i="8"/>
  <c r="R23" i="8"/>
  <c r="V23" i="8"/>
  <c r="AH23" i="8"/>
  <c r="H24" i="8"/>
  <c r="L24" i="8"/>
  <c r="P24" i="8"/>
  <c r="V24" i="8"/>
  <c r="AH24" i="8"/>
  <c r="H25" i="8"/>
  <c r="L25" i="8"/>
  <c r="P25" i="8"/>
  <c r="V25" i="8"/>
  <c r="AH25" i="8"/>
  <c r="H26" i="8"/>
  <c r="L26" i="8"/>
  <c r="P26" i="8"/>
  <c r="R26" i="8"/>
  <c r="V26" i="8"/>
  <c r="AH26" i="8"/>
  <c r="H27" i="8"/>
  <c r="L27" i="8"/>
  <c r="P27" i="8"/>
  <c r="R27" i="8"/>
  <c r="V27" i="8"/>
  <c r="AH27" i="8"/>
  <c r="H28" i="8"/>
  <c r="L28" i="8"/>
  <c r="P28" i="8"/>
  <c r="R28" i="8"/>
  <c r="V28" i="8"/>
  <c r="AH28" i="8"/>
  <c r="H29" i="8"/>
  <c r="L29" i="8"/>
  <c r="P29" i="8"/>
  <c r="R29" i="8"/>
  <c r="V29" i="8"/>
  <c r="AH29" i="8"/>
  <c r="H30" i="8"/>
  <c r="L30" i="8"/>
  <c r="P30" i="8"/>
  <c r="R30" i="8"/>
  <c r="V30" i="8"/>
  <c r="AH30" i="8"/>
  <c r="H31" i="8"/>
  <c r="L31" i="8"/>
  <c r="P31" i="8"/>
  <c r="R31" i="8"/>
  <c r="V31" i="8"/>
  <c r="AH31" i="8"/>
  <c r="H32" i="8"/>
  <c r="L32" i="8"/>
  <c r="P32" i="8"/>
  <c r="R32" i="8"/>
  <c r="V32" i="8"/>
  <c r="AH32" i="8"/>
  <c r="H33" i="8"/>
  <c r="L33" i="8"/>
  <c r="P33" i="8"/>
  <c r="R33" i="8"/>
  <c r="V33" i="8"/>
  <c r="AH33" i="8"/>
  <c r="H34" i="8"/>
  <c r="L34" i="8"/>
  <c r="P34" i="8"/>
  <c r="R34" i="8"/>
  <c r="V34" i="8"/>
  <c r="AH34" i="8"/>
  <c r="H35" i="8"/>
  <c r="L35" i="8"/>
  <c r="P35" i="8"/>
  <c r="R35" i="8"/>
  <c r="V35" i="8"/>
  <c r="AH35" i="8"/>
  <c r="H36" i="8"/>
  <c r="Z36" i="8" s="1"/>
  <c r="L36" i="8"/>
  <c r="P36" i="8"/>
  <c r="R36" i="8"/>
  <c r="V36" i="8"/>
  <c r="AH36" i="8"/>
  <c r="H37" i="8"/>
  <c r="L37" i="8"/>
  <c r="P37" i="8"/>
  <c r="R37" i="8"/>
  <c r="V37" i="8"/>
  <c r="AH37" i="8"/>
  <c r="H38" i="8"/>
  <c r="L38" i="8"/>
  <c r="P38" i="8"/>
  <c r="R38" i="8"/>
  <c r="V38" i="8"/>
  <c r="AH38" i="8"/>
  <c r="H39" i="8"/>
  <c r="L39" i="8"/>
  <c r="P39" i="8"/>
  <c r="R39" i="8"/>
  <c r="V39" i="8"/>
  <c r="AH39" i="8"/>
  <c r="H40" i="8"/>
  <c r="L40" i="8"/>
  <c r="P40" i="8"/>
  <c r="AH40" i="8"/>
  <c r="H41" i="8"/>
  <c r="L41" i="8"/>
  <c r="P41" i="8"/>
  <c r="R41" i="8"/>
  <c r="V41" i="8"/>
  <c r="AH41" i="8"/>
  <c r="P43" i="8" l="1"/>
  <c r="R44" i="8"/>
  <c r="V44" i="8"/>
  <c r="AH44" i="8" l="1"/>
  <c r="P44" i="8"/>
  <c r="H43" i="8"/>
  <c r="H44" i="8"/>
  <c r="R43" i="8"/>
  <c r="L44" i="8"/>
  <c r="L43" i="8"/>
  <c r="V43" i="8"/>
  <c r="AH43" i="8"/>
  <c r="F39" i="38" l="1"/>
  <c r="F38" i="38"/>
  <c r="F37" i="38"/>
  <c r="F36" i="38"/>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38" i="2"/>
  <c r="D39"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J39" i="38"/>
  <c r="P34" i="17"/>
  <c r="E39" i="38"/>
  <c r="D39" i="38"/>
  <c r="C39" i="38"/>
  <c r="B39" i="38"/>
  <c r="J38" i="38"/>
  <c r="P33" i="17"/>
  <c r="E38" i="38"/>
  <c r="D38" i="38"/>
  <c r="C38" i="38"/>
  <c r="B38" i="38"/>
  <c r="J37" i="38"/>
  <c r="P32" i="17"/>
  <c r="D37" i="38"/>
  <c r="C37" i="38"/>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B34" i="22"/>
  <c r="C34" i="22"/>
  <c r="D34" i="22"/>
  <c r="E34" i="22"/>
  <c r="F34" i="22"/>
  <c r="G34" i="22"/>
  <c r="H34" i="22"/>
  <c r="I34" i="22"/>
  <c r="J34" i="22"/>
  <c r="K34" i="22"/>
  <c r="B34" i="35"/>
  <c r="C34" i="35"/>
  <c r="D34" i="35"/>
  <c r="E34" i="35"/>
  <c r="F34" i="35"/>
  <c r="G34" i="35"/>
  <c r="B34" i="21"/>
  <c r="C34" i="21"/>
  <c r="D34" i="21"/>
  <c r="E34" i="21"/>
  <c r="F34" i="21"/>
  <c r="G34" i="21"/>
  <c r="H34" i="21"/>
  <c r="I34" i="21"/>
  <c r="L34" i="21"/>
  <c r="M34" i="21"/>
  <c r="N34" i="21"/>
  <c r="O34" i="21"/>
  <c r="P34" i="21"/>
  <c r="Q34" i="21"/>
  <c r="X34" i="21"/>
  <c r="Y34" i="21"/>
  <c r="Z34" i="21"/>
  <c r="AA34" i="21"/>
  <c r="AB34" i="21"/>
  <c r="AC34" i="21"/>
  <c r="AD34" i="21"/>
  <c r="AE34" i="21"/>
  <c r="AF34" i="21"/>
  <c r="AG34" i="21"/>
  <c r="AH34" i="21"/>
  <c r="AI34" i="21"/>
  <c r="B34" i="29"/>
  <c r="C34" i="29"/>
  <c r="D34" i="29"/>
  <c r="E34" i="29"/>
  <c r="F34" i="29"/>
  <c r="G34" i="29"/>
  <c r="H34" i="29"/>
  <c r="I34" i="29"/>
  <c r="J34" i="29"/>
  <c r="K34" i="29"/>
  <c r="L34" i="29"/>
  <c r="M34" i="29"/>
  <c r="N34" i="29"/>
  <c r="O34" i="29"/>
  <c r="P34" i="29"/>
  <c r="Q34" i="29"/>
  <c r="B34" i="19"/>
  <c r="D34" i="19"/>
  <c r="E34" i="19"/>
  <c r="F34" i="19"/>
  <c r="G34" i="19"/>
  <c r="H34" i="19"/>
  <c r="I34" i="19"/>
  <c r="J34" i="19"/>
  <c r="K34" i="19"/>
  <c r="L34" i="19"/>
  <c r="M34" i="19"/>
  <c r="N34" i="19"/>
  <c r="O34" i="19"/>
  <c r="F34" i="18"/>
  <c r="I34" i="18"/>
  <c r="J34" i="18"/>
  <c r="K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W34" i="16"/>
  <c r="W34" i="17" l="1"/>
  <c r="E34" i="17" s="1"/>
  <c r="AE35" i="17"/>
  <c r="AE34" i="17"/>
  <c r="I34" i="25"/>
  <c r="L34" i="25"/>
  <c r="O34" i="25" s="1"/>
  <c r="X34" i="16"/>
  <c r="Z34" i="16"/>
  <c r="F34" i="24"/>
  <c r="I34" i="23"/>
  <c r="Y34" i="16"/>
  <c r="C34" i="18"/>
  <c r="F34" i="23"/>
  <c r="F33" i="26" s="1"/>
  <c r="H33" i="26" s="1"/>
  <c r="J34" i="24"/>
  <c r="D33" i="27"/>
  <c r="L34" i="24"/>
  <c r="V34" i="16"/>
  <c r="X34" i="17"/>
  <c r="D34" i="25"/>
  <c r="F34" i="25" s="1"/>
  <c r="I33" i="27"/>
  <c r="V33" i="27" s="1"/>
  <c r="W33" i="27" s="1"/>
  <c r="P34" i="19"/>
  <c r="T34" i="16"/>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U22" i="28" s="1"/>
  <c r="Y22" i="28" s="1"/>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B7" i="22"/>
  <c r="C7" i="22"/>
  <c r="D7" i="22"/>
  <c r="E7" i="22"/>
  <c r="F7" i="22"/>
  <c r="G7" i="22"/>
  <c r="H7" i="22"/>
  <c r="I7" i="22"/>
  <c r="J7" i="22"/>
  <c r="K7" i="22"/>
  <c r="B8" i="22"/>
  <c r="C8" i="22"/>
  <c r="D8" i="22"/>
  <c r="E8" i="22"/>
  <c r="F8" i="22"/>
  <c r="G8" i="22"/>
  <c r="H8" i="22"/>
  <c r="I8" i="22"/>
  <c r="J8" i="22"/>
  <c r="K8" i="22"/>
  <c r="B9" i="22"/>
  <c r="C9" i="22"/>
  <c r="D9" i="22"/>
  <c r="E9" i="22"/>
  <c r="F9" i="22"/>
  <c r="G9" i="22"/>
  <c r="H9" i="22"/>
  <c r="I9" i="22"/>
  <c r="J9" i="22"/>
  <c r="K9" i="22"/>
  <c r="B10" i="22"/>
  <c r="C10" i="22"/>
  <c r="D10" i="22"/>
  <c r="E10" i="22"/>
  <c r="F10" i="22"/>
  <c r="G10" i="22"/>
  <c r="H10" i="22"/>
  <c r="I10" i="22"/>
  <c r="J10" i="22"/>
  <c r="K10" i="22"/>
  <c r="B11" i="22"/>
  <c r="C11" i="22"/>
  <c r="D11" i="22"/>
  <c r="E11" i="22"/>
  <c r="F11" i="22"/>
  <c r="G11" i="22"/>
  <c r="H11" i="22"/>
  <c r="I11" i="22"/>
  <c r="J11" i="22"/>
  <c r="K11" i="22"/>
  <c r="B12" i="22"/>
  <c r="C12" i="22"/>
  <c r="D12" i="22"/>
  <c r="E12" i="22"/>
  <c r="F12" i="22"/>
  <c r="G12" i="22"/>
  <c r="H12" i="22"/>
  <c r="I12" i="22"/>
  <c r="J12" i="22"/>
  <c r="K12" i="22"/>
  <c r="B13" i="22"/>
  <c r="C13" i="22"/>
  <c r="D13" i="22"/>
  <c r="E13" i="22"/>
  <c r="F13" i="22"/>
  <c r="G13" i="22"/>
  <c r="H13" i="22"/>
  <c r="I13" i="22"/>
  <c r="J13" i="22"/>
  <c r="K13" i="22"/>
  <c r="B14" i="22"/>
  <c r="C14" i="22"/>
  <c r="D14" i="22"/>
  <c r="E14" i="22"/>
  <c r="F14" i="22"/>
  <c r="G14" i="22"/>
  <c r="H14" i="22"/>
  <c r="I14" i="22"/>
  <c r="J14" i="22"/>
  <c r="K14" i="22"/>
  <c r="B15" i="22"/>
  <c r="C15" i="22"/>
  <c r="D15" i="22"/>
  <c r="E15" i="22"/>
  <c r="F15" i="22"/>
  <c r="G15" i="22"/>
  <c r="H15" i="22"/>
  <c r="I15" i="22"/>
  <c r="J15" i="22"/>
  <c r="K15" i="22"/>
  <c r="B16" i="22"/>
  <c r="C16" i="22"/>
  <c r="D16" i="22"/>
  <c r="E16" i="22"/>
  <c r="F16" i="22"/>
  <c r="G16" i="22"/>
  <c r="H16" i="22"/>
  <c r="I16" i="22"/>
  <c r="J16" i="22"/>
  <c r="K16" i="22"/>
  <c r="B17" i="22"/>
  <c r="C17" i="22"/>
  <c r="D17" i="22"/>
  <c r="E17" i="22"/>
  <c r="F17" i="22"/>
  <c r="G17" i="22"/>
  <c r="H17" i="22"/>
  <c r="I17" i="22"/>
  <c r="J17" i="22"/>
  <c r="K17" i="22"/>
  <c r="B18" i="22"/>
  <c r="C18" i="22"/>
  <c r="D18" i="22"/>
  <c r="E18" i="22"/>
  <c r="F18" i="22"/>
  <c r="G18" i="22"/>
  <c r="H18" i="22"/>
  <c r="I18" i="22"/>
  <c r="J18" i="22"/>
  <c r="K18" i="22"/>
  <c r="B19" i="22"/>
  <c r="C19" i="22"/>
  <c r="D19" i="22"/>
  <c r="E19" i="22"/>
  <c r="F19" i="22"/>
  <c r="G19" i="22"/>
  <c r="H19" i="22"/>
  <c r="I19" i="22"/>
  <c r="J19" i="22"/>
  <c r="K19" i="22"/>
  <c r="B20" i="22"/>
  <c r="C20" i="22"/>
  <c r="D20" i="22"/>
  <c r="E20" i="22"/>
  <c r="F20" i="22"/>
  <c r="G20" i="22"/>
  <c r="H20" i="22"/>
  <c r="I20" i="22"/>
  <c r="J20" i="22"/>
  <c r="K20" i="22"/>
  <c r="B21" i="22"/>
  <c r="C21" i="22"/>
  <c r="D21" i="22"/>
  <c r="E21" i="22"/>
  <c r="F21" i="22"/>
  <c r="G21" i="22"/>
  <c r="H21" i="22"/>
  <c r="I21" i="22"/>
  <c r="J21" i="22"/>
  <c r="K21" i="22"/>
  <c r="B22" i="22"/>
  <c r="C22" i="22"/>
  <c r="D22" i="22"/>
  <c r="E22" i="22"/>
  <c r="F22" i="22"/>
  <c r="G22" i="22"/>
  <c r="H22" i="22"/>
  <c r="I22" i="22"/>
  <c r="J22" i="22"/>
  <c r="K22" i="22"/>
  <c r="B23" i="22"/>
  <c r="C23" i="22"/>
  <c r="D23" i="22"/>
  <c r="E23" i="22"/>
  <c r="F23" i="22"/>
  <c r="G23" i="22"/>
  <c r="H23" i="22"/>
  <c r="I23" i="22"/>
  <c r="J23" i="22"/>
  <c r="K23" i="22"/>
  <c r="B24" i="22"/>
  <c r="C24" i="22"/>
  <c r="D24" i="22"/>
  <c r="E24" i="22"/>
  <c r="F24" i="22"/>
  <c r="G24" i="22"/>
  <c r="H24" i="22"/>
  <c r="I24" i="22"/>
  <c r="J24" i="22"/>
  <c r="K24" i="22"/>
  <c r="B25" i="22"/>
  <c r="C25" i="22"/>
  <c r="D25" i="22"/>
  <c r="E25" i="22"/>
  <c r="F25" i="22"/>
  <c r="G25" i="22"/>
  <c r="H25" i="22"/>
  <c r="I25" i="22"/>
  <c r="J25" i="22"/>
  <c r="K25" i="22"/>
  <c r="B26" i="22"/>
  <c r="C26" i="22"/>
  <c r="D26" i="22"/>
  <c r="E26" i="22"/>
  <c r="F26" i="22"/>
  <c r="G26" i="22"/>
  <c r="H26" i="22"/>
  <c r="I26" i="22"/>
  <c r="J26" i="22"/>
  <c r="K26" i="22"/>
  <c r="B27" i="22"/>
  <c r="C27" i="22"/>
  <c r="D27" i="22"/>
  <c r="E27" i="22"/>
  <c r="F27" i="22"/>
  <c r="G27" i="22"/>
  <c r="H27" i="22"/>
  <c r="I27" i="22"/>
  <c r="J27" i="22"/>
  <c r="K27" i="22"/>
  <c r="B28" i="22"/>
  <c r="C28" i="22"/>
  <c r="D28" i="22"/>
  <c r="E28" i="22"/>
  <c r="F28" i="22"/>
  <c r="G28" i="22"/>
  <c r="H28" i="22"/>
  <c r="I28" i="22"/>
  <c r="J28" i="22"/>
  <c r="K28" i="22"/>
  <c r="B29" i="22"/>
  <c r="C29" i="22"/>
  <c r="D29" i="22"/>
  <c r="E29" i="22"/>
  <c r="F29" i="22"/>
  <c r="G29" i="22"/>
  <c r="H29" i="22"/>
  <c r="I29" i="22"/>
  <c r="J29" i="22"/>
  <c r="K29" i="22"/>
  <c r="B30" i="22"/>
  <c r="C30" i="22"/>
  <c r="D30" i="22"/>
  <c r="E30" i="22"/>
  <c r="F30" i="22"/>
  <c r="G30" i="22"/>
  <c r="H30" i="22"/>
  <c r="I30" i="22"/>
  <c r="J30" i="22"/>
  <c r="K30" i="22"/>
  <c r="B31" i="22"/>
  <c r="C31" i="22"/>
  <c r="D31" i="22"/>
  <c r="E31" i="22"/>
  <c r="F31" i="22"/>
  <c r="G31" i="22"/>
  <c r="H31" i="22"/>
  <c r="I31" i="22"/>
  <c r="J31" i="22"/>
  <c r="K31" i="22"/>
  <c r="B32" i="22"/>
  <c r="C32" i="22"/>
  <c r="D32" i="22"/>
  <c r="E32" i="22"/>
  <c r="F32" i="22"/>
  <c r="G32" i="22"/>
  <c r="H32" i="22"/>
  <c r="I32" i="22"/>
  <c r="J32" i="22"/>
  <c r="K32" i="22"/>
  <c r="B33" i="22"/>
  <c r="C33" i="22"/>
  <c r="D33" i="22"/>
  <c r="E33" i="22"/>
  <c r="F33" i="22"/>
  <c r="G33" i="22"/>
  <c r="H33" i="22"/>
  <c r="I33" i="22"/>
  <c r="J33" i="22"/>
  <c r="K33" i="22"/>
  <c r="B7" i="35"/>
  <c r="C7" i="35"/>
  <c r="D7" i="35"/>
  <c r="E7" i="35"/>
  <c r="F7" i="35"/>
  <c r="G7" i="35"/>
  <c r="B8" i="35"/>
  <c r="C8" i="35"/>
  <c r="D8" i="35"/>
  <c r="E8" i="35"/>
  <c r="F8" i="35"/>
  <c r="G8" i="35"/>
  <c r="B9" i="35"/>
  <c r="C9" i="35"/>
  <c r="D9" i="35"/>
  <c r="E9" i="35"/>
  <c r="F9" i="35"/>
  <c r="G9" i="35"/>
  <c r="B10" i="35"/>
  <c r="C10" i="35"/>
  <c r="D10" i="35"/>
  <c r="E10" i="35"/>
  <c r="F10" i="35"/>
  <c r="G10" i="35"/>
  <c r="B11" i="35"/>
  <c r="C11" i="35"/>
  <c r="D11" i="35"/>
  <c r="E11" i="35"/>
  <c r="F11" i="35"/>
  <c r="G11" i="35"/>
  <c r="B12" i="35"/>
  <c r="C12" i="35"/>
  <c r="D12" i="35"/>
  <c r="E12" i="35"/>
  <c r="F12" i="35"/>
  <c r="G12" i="35"/>
  <c r="B13" i="35"/>
  <c r="C13" i="35"/>
  <c r="D13" i="35"/>
  <c r="E13" i="35"/>
  <c r="F13" i="35"/>
  <c r="G13" i="35"/>
  <c r="B14" i="35"/>
  <c r="C14" i="35"/>
  <c r="D14" i="35"/>
  <c r="E14" i="35"/>
  <c r="F14" i="35"/>
  <c r="G14" i="35"/>
  <c r="B15" i="35"/>
  <c r="C15" i="35"/>
  <c r="D15" i="35"/>
  <c r="E15" i="35"/>
  <c r="F15" i="35"/>
  <c r="G15" i="35"/>
  <c r="B16" i="35"/>
  <c r="C16" i="35"/>
  <c r="D16" i="35"/>
  <c r="E16" i="35"/>
  <c r="F16" i="35"/>
  <c r="G16" i="35"/>
  <c r="B17" i="35"/>
  <c r="C17" i="35"/>
  <c r="D17" i="35"/>
  <c r="E17" i="35"/>
  <c r="F17" i="35"/>
  <c r="G17" i="35"/>
  <c r="B18" i="35"/>
  <c r="C18" i="35"/>
  <c r="D18" i="35"/>
  <c r="E18" i="35"/>
  <c r="F18" i="35"/>
  <c r="G18" i="35"/>
  <c r="B19" i="35"/>
  <c r="C19" i="35"/>
  <c r="D19" i="35"/>
  <c r="E19" i="35"/>
  <c r="F19" i="35"/>
  <c r="G19" i="35"/>
  <c r="B20" i="35"/>
  <c r="C20" i="35"/>
  <c r="D20" i="35"/>
  <c r="E20" i="35"/>
  <c r="F20" i="35"/>
  <c r="G20" i="35"/>
  <c r="B21" i="35"/>
  <c r="C21" i="35"/>
  <c r="D21" i="35"/>
  <c r="E21" i="35"/>
  <c r="F21" i="35"/>
  <c r="G21" i="35"/>
  <c r="B22" i="35"/>
  <c r="C22" i="35"/>
  <c r="D22" i="35"/>
  <c r="E22" i="35"/>
  <c r="F22" i="35"/>
  <c r="G22" i="35"/>
  <c r="B23" i="35"/>
  <c r="C23" i="35"/>
  <c r="D23" i="35"/>
  <c r="E23" i="35"/>
  <c r="F23" i="35"/>
  <c r="G23" i="35"/>
  <c r="B24" i="35"/>
  <c r="C24" i="35"/>
  <c r="D24" i="35"/>
  <c r="E24" i="35"/>
  <c r="F24" i="35"/>
  <c r="G24" i="35"/>
  <c r="B25" i="35"/>
  <c r="C25" i="35"/>
  <c r="D25" i="35"/>
  <c r="E25" i="35"/>
  <c r="F25" i="35"/>
  <c r="G25" i="35"/>
  <c r="B26" i="35"/>
  <c r="C26" i="35"/>
  <c r="D26" i="35"/>
  <c r="E26" i="35"/>
  <c r="F26" i="35"/>
  <c r="G26" i="35"/>
  <c r="B27" i="35"/>
  <c r="C27" i="35"/>
  <c r="D27" i="35"/>
  <c r="E27" i="35"/>
  <c r="F27" i="35"/>
  <c r="G27" i="35"/>
  <c r="B28" i="35"/>
  <c r="C28" i="35"/>
  <c r="D28" i="35"/>
  <c r="E28" i="35"/>
  <c r="F28" i="35"/>
  <c r="G28" i="35"/>
  <c r="B29" i="35"/>
  <c r="C29" i="35"/>
  <c r="D29" i="35"/>
  <c r="E29" i="35"/>
  <c r="F29" i="35"/>
  <c r="G29" i="35"/>
  <c r="B30" i="35"/>
  <c r="C30" i="35"/>
  <c r="D30" i="35"/>
  <c r="E30" i="35"/>
  <c r="F30" i="35"/>
  <c r="G30" i="35"/>
  <c r="B31" i="35"/>
  <c r="C31" i="35"/>
  <c r="D31" i="35"/>
  <c r="E31" i="35"/>
  <c r="F31" i="35"/>
  <c r="G31" i="35"/>
  <c r="B32" i="35"/>
  <c r="C32" i="35"/>
  <c r="D32" i="35"/>
  <c r="E32" i="35"/>
  <c r="F32" i="35"/>
  <c r="G32" i="35"/>
  <c r="B33" i="35"/>
  <c r="C33" i="35"/>
  <c r="D33" i="35"/>
  <c r="E33" i="35"/>
  <c r="F33" i="35"/>
  <c r="G33" i="35"/>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33" i="21"/>
  <c r="C33" i="21"/>
  <c r="D33" i="21"/>
  <c r="E33" i="21"/>
  <c r="F33" i="21"/>
  <c r="G33" i="21"/>
  <c r="H33" i="21"/>
  <c r="I33" i="21"/>
  <c r="L33" i="21"/>
  <c r="M33" i="21"/>
  <c r="N33" i="21"/>
  <c r="O33" i="21"/>
  <c r="P33" i="21"/>
  <c r="Q33" i="21"/>
  <c r="X33" i="21"/>
  <c r="Y33" i="21"/>
  <c r="Z33" i="21"/>
  <c r="AA33" i="21"/>
  <c r="AB33" i="21"/>
  <c r="AC33" i="21"/>
  <c r="AD33" i="21"/>
  <c r="AE33" i="21"/>
  <c r="AF33" i="21"/>
  <c r="AG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F7" i="19"/>
  <c r="G7" i="19"/>
  <c r="H7" i="19"/>
  <c r="I7" i="19"/>
  <c r="J7" i="19"/>
  <c r="K7" i="19"/>
  <c r="L7" i="19"/>
  <c r="M7" i="19"/>
  <c r="N7" i="19"/>
  <c r="O7" i="19"/>
  <c r="B8" i="19"/>
  <c r="D8" i="19"/>
  <c r="E8" i="19"/>
  <c r="F8" i="19"/>
  <c r="G8" i="19"/>
  <c r="H8" i="19"/>
  <c r="I8" i="19"/>
  <c r="J8" i="19"/>
  <c r="K8" i="19"/>
  <c r="L8" i="19"/>
  <c r="M8" i="19"/>
  <c r="N8" i="19"/>
  <c r="O8" i="19"/>
  <c r="B9" i="19"/>
  <c r="D9" i="19"/>
  <c r="E9" i="19"/>
  <c r="F9" i="19"/>
  <c r="G9" i="19"/>
  <c r="H9" i="19"/>
  <c r="I9" i="19"/>
  <c r="J9" i="19"/>
  <c r="K9" i="19"/>
  <c r="L9" i="19"/>
  <c r="M9" i="19"/>
  <c r="N9" i="19"/>
  <c r="O9" i="19"/>
  <c r="B10" i="19"/>
  <c r="D10" i="19"/>
  <c r="E10" i="19"/>
  <c r="F10" i="19"/>
  <c r="G10" i="19"/>
  <c r="H10" i="19"/>
  <c r="I10" i="19"/>
  <c r="J10" i="19"/>
  <c r="K10" i="19"/>
  <c r="L10" i="19"/>
  <c r="M10" i="19"/>
  <c r="N10" i="19"/>
  <c r="O10" i="19"/>
  <c r="B11" i="19"/>
  <c r="D11" i="19"/>
  <c r="E11" i="19"/>
  <c r="F11" i="19"/>
  <c r="G11" i="19"/>
  <c r="H11" i="19"/>
  <c r="I11" i="19"/>
  <c r="J11" i="19"/>
  <c r="K11" i="19"/>
  <c r="L11" i="19"/>
  <c r="M11" i="19"/>
  <c r="N11" i="19"/>
  <c r="O11" i="19"/>
  <c r="B12" i="19"/>
  <c r="D12" i="19"/>
  <c r="E12" i="19"/>
  <c r="F12" i="19"/>
  <c r="G12" i="19"/>
  <c r="H12" i="19"/>
  <c r="I12" i="19"/>
  <c r="J12" i="19"/>
  <c r="K12" i="19"/>
  <c r="L12" i="19"/>
  <c r="M12" i="19"/>
  <c r="N12" i="19"/>
  <c r="O12" i="19"/>
  <c r="B13" i="19"/>
  <c r="D13" i="19"/>
  <c r="E13" i="19"/>
  <c r="F13" i="19"/>
  <c r="G13" i="19"/>
  <c r="H13" i="19"/>
  <c r="I13" i="19"/>
  <c r="J13" i="19"/>
  <c r="K13" i="19"/>
  <c r="L13" i="19"/>
  <c r="M13" i="19"/>
  <c r="N13" i="19"/>
  <c r="O13" i="19"/>
  <c r="B14" i="19"/>
  <c r="D14" i="19"/>
  <c r="E14" i="19"/>
  <c r="F14" i="19"/>
  <c r="G14" i="19"/>
  <c r="H14" i="19"/>
  <c r="I14" i="19"/>
  <c r="J14" i="19"/>
  <c r="K14" i="19"/>
  <c r="L14" i="19"/>
  <c r="M14" i="19"/>
  <c r="N14" i="19"/>
  <c r="O14" i="19"/>
  <c r="B15" i="19"/>
  <c r="D15" i="19"/>
  <c r="E15" i="19"/>
  <c r="F15" i="19"/>
  <c r="G15" i="19"/>
  <c r="H15" i="19"/>
  <c r="I15" i="19"/>
  <c r="J15" i="19"/>
  <c r="K15" i="19"/>
  <c r="L15" i="19"/>
  <c r="M15" i="19"/>
  <c r="N15" i="19"/>
  <c r="O15" i="19"/>
  <c r="B16" i="19"/>
  <c r="D16" i="19"/>
  <c r="E16" i="19"/>
  <c r="F16" i="19"/>
  <c r="G16" i="19"/>
  <c r="H16" i="19"/>
  <c r="I16" i="19"/>
  <c r="J16" i="19"/>
  <c r="K16" i="19"/>
  <c r="L16" i="19"/>
  <c r="M16" i="19"/>
  <c r="N16" i="19"/>
  <c r="O16" i="19"/>
  <c r="B17" i="19"/>
  <c r="D17" i="19"/>
  <c r="E17" i="19"/>
  <c r="F17" i="19"/>
  <c r="G17" i="19"/>
  <c r="H17" i="19"/>
  <c r="I17" i="19"/>
  <c r="J17" i="19"/>
  <c r="K17" i="19"/>
  <c r="L17" i="19"/>
  <c r="M17" i="19"/>
  <c r="N17" i="19"/>
  <c r="O17" i="19"/>
  <c r="B18" i="19"/>
  <c r="D18" i="19"/>
  <c r="E18" i="19"/>
  <c r="F18" i="19"/>
  <c r="G18" i="19"/>
  <c r="H18" i="19"/>
  <c r="I18" i="19"/>
  <c r="J18" i="19"/>
  <c r="K18" i="19"/>
  <c r="L18" i="19"/>
  <c r="M18" i="19"/>
  <c r="N18" i="19"/>
  <c r="O18" i="19"/>
  <c r="B19" i="19"/>
  <c r="D19" i="19"/>
  <c r="E19" i="19"/>
  <c r="F19" i="19"/>
  <c r="G19" i="19"/>
  <c r="H19" i="19"/>
  <c r="I19" i="19"/>
  <c r="J19" i="19"/>
  <c r="K19" i="19"/>
  <c r="L19" i="19"/>
  <c r="M19" i="19"/>
  <c r="N19" i="19"/>
  <c r="O19" i="19"/>
  <c r="B20" i="19"/>
  <c r="D20" i="19"/>
  <c r="E20" i="19"/>
  <c r="F20" i="19"/>
  <c r="G20" i="19"/>
  <c r="H20" i="19"/>
  <c r="I20" i="19"/>
  <c r="J20" i="19"/>
  <c r="K20" i="19"/>
  <c r="L20" i="19"/>
  <c r="M20" i="19"/>
  <c r="N20" i="19"/>
  <c r="O20" i="19"/>
  <c r="B21" i="19"/>
  <c r="D21" i="19"/>
  <c r="E21" i="19"/>
  <c r="F21" i="19"/>
  <c r="G21" i="19"/>
  <c r="H21" i="19"/>
  <c r="I21" i="19"/>
  <c r="J21" i="19"/>
  <c r="K21" i="19"/>
  <c r="L21" i="19"/>
  <c r="M21" i="19"/>
  <c r="N21" i="19"/>
  <c r="O21" i="19"/>
  <c r="B22" i="19"/>
  <c r="D22" i="19"/>
  <c r="E22" i="19"/>
  <c r="F22" i="19"/>
  <c r="G22" i="19"/>
  <c r="H22" i="19"/>
  <c r="I22" i="19"/>
  <c r="J22" i="19"/>
  <c r="K22" i="19"/>
  <c r="L22" i="19"/>
  <c r="M22" i="19"/>
  <c r="N22" i="19"/>
  <c r="O22" i="19"/>
  <c r="B23" i="19"/>
  <c r="D23" i="19"/>
  <c r="E23" i="19"/>
  <c r="F23" i="19"/>
  <c r="G23" i="19"/>
  <c r="H23" i="19"/>
  <c r="I23" i="19"/>
  <c r="J23" i="19"/>
  <c r="K23" i="19"/>
  <c r="L23" i="19"/>
  <c r="M23" i="19"/>
  <c r="N23" i="19"/>
  <c r="O23" i="19"/>
  <c r="B24" i="19"/>
  <c r="D24" i="19"/>
  <c r="E24" i="19"/>
  <c r="F24" i="19"/>
  <c r="G24" i="19"/>
  <c r="H24" i="19"/>
  <c r="I24" i="19"/>
  <c r="J24" i="19"/>
  <c r="K24" i="19"/>
  <c r="L24" i="19"/>
  <c r="M24" i="19"/>
  <c r="N24" i="19"/>
  <c r="O24" i="19"/>
  <c r="B25" i="19"/>
  <c r="D25" i="19"/>
  <c r="E25" i="19"/>
  <c r="F25" i="19"/>
  <c r="G25" i="19"/>
  <c r="H25" i="19"/>
  <c r="I25" i="19"/>
  <c r="J25" i="19"/>
  <c r="K25" i="19"/>
  <c r="L25" i="19"/>
  <c r="M25" i="19"/>
  <c r="N25" i="19"/>
  <c r="O25" i="19"/>
  <c r="B26" i="19"/>
  <c r="D26" i="19"/>
  <c r="E26" i="19"/>
  <c r="F26" i="19"/>
  <c r="G26" i="19"/>
  <c r="H26" i="19"/>
  <c r="I26" i="19"/>
  <c r="J26" i="19"/>
  <c r="K26" i="19"/>
  <c r="L26" i="19"/>
  <c r="M26" i="19"/>
  <c r="N26" i="19"/>
  <c r="O26" i="19"/>
  <c r="B27" i="19"/>
  <c r="D27" i="19"/>
  <c r="E27" i="19"/>
  <c r="F27" i="19"/>
  <c r="G27" i="19"/>
  <c r="H27" i="19"/>
  <c r="I27" i="19"/>
  <c r="J27" i="19"/>
  <c r="K27" i="19"/>
  <c r="L27" i="19"/>
  <c r="M27" i="19"/>
  <c r="N27" i="19"/>
  <c r="O27" i="19"/>
  <c r="B28" i="19"/>
  <c r="D28" i="19"/>
  <c r="E28" i="19"/>
  <c r="F28" i="19"/>
  <c r="G28" i="19"/>
  <c r="H28" i="19"/>
  <c r="I28" i="19"/>
  <c r="J28" i="19"/>
  <c r="K28" i="19"/>
  <c r="L28" i="19"/>
  <c r="M28" i="19"/>
  <c r="N28" i="19"/>
  <c r="O28" i="19"/>
  <c r="B29" i="19"/>
  <c r="D29" i="19"/>
  <c r="E29" i="19"/>
  <c r="F29" i="19"/>
  <c r="G29" i="19"/>
  <c r="H29" i="19"/>
  <c r="I29" i="19"/>
  <c r="J29" i="19"/>
  <c r="K29" i="19"/>
  <c r="L29" i="19"/>
  <c r="M29" i="19"/>
  <c r="N29" i="19"/>
  <c r="O29" i="19"/>
  <c r="B30" i="19"/>
  <c r="D30" i="19"/>
  <c r="E30" i="19"/>
  <c r="F30" i="19"/>
  <c r="G30" i="19"/>
  <c r="H30" i="19"/>
  <c r="I30" i="19"/>
  <c r="J30" i="19"/>
  <c r="K30" i="19"/>
  <c r="L30" i="19"/>
  <c r="M30" i="19"/>
  <c r="N30" i="19"/>
  <c r="O30" i="19"/>
  <c r="B31" i="19"/>
  <c r="D31" i="19"/>
  <c r="E31" i="19"/>
  <c r="F31" i="19"/>
  <c r="G31" i="19"/>
  <c r="H31" i="19"/>
  <c r="I31" i="19"/>
  <c r="J31" i="19"/>
  <c r="K31" i="19"/>
  <c r="L31" i="19"/>
  <c r="M31" i="19"/>
  <c r="N31" i="19"/>
  <c r="O31" i="19"/>
  <c r="B32" i="19"/>
  <c r="D32" i="19"/>
  <c r="E32" i="19"/>
  <c r="F32" i="19"/>
  <c r="G32" i="19"/>
  <c r="H32" i="19"/>
  <c r="I32" i="19"/>
  <c r="J32" i="19"/>
  <c r="K32" i="19"/>
  <c r="L32" i="19"/>
  <c r="M32" i="19"/>
  <c r="N32" i="19"/>
  <c r="O32" i="19"/>
  <c r="B33" i="19"/>
  <c r="D33" i="19"/>
  <c r="E33" i="19"/>
  <c r="F33" i="19"/>
  <c r="G33" i="19"/>
  <c r="H33" i="19"/>
  <c r="I33" i="19"/>
  <c r="J33" i="19"/>
  <c r="K33" i="19"/>
  <c r="L33" i="19"/>
  <c r="M33" i="19"/>
  <c r="N33" i="19"/>
  <c r="O33" i="19"/>
  <c r="F7" i="18"/>
  <c r="I7" i="18"/>
  <c r="J7" i="18"/>
  <c r="K7" i="18"/>
  <c r="L7" i="18"/>
  <c r="M7" i="18"/>
  <c r="N7" i="18"/>
  <c r="O7" i="18"/>
  <c r="P7" i="18"/>
  <c r="Q7" i="18"/>
  <c r="F8" i="18"/>
  <c r="I8" i="18"/>
  <c r="J8" i="18"/>
  <c r="K8" i="18"/>
  <c r="L8" i="18"/>
  <c r="M8" i="18"/>
  <c r="N8" i="18"/>
  <c r="O8" i="18"/>
  <c r="P8" i="18"/>
  <c r="Q8" i="18"/>
  <c r="D9" i="25"/>
  <c r="F9" i="18"/>
  <c r="I9" i="18"/>
  <c r="J9" i="18"/>
  <c r="K9" i="18"/>
  <c r="L9" i="18"/>
  <c r="M9" i="18"/>
  <c r="N9" i="18"/>
  <c r="O9" i="18"/>
  <c r="P9" i="18"/>
  <c r="Q9" i="18"/>
  <c r="F10" i="18"/>
  <c r="I10" i="18"/>
  <c r="J10" i="18"/>
  <c r="K10" i="18"/>
  <c r="L10" i="18"/>
  <c r="M10" i="18"/>
  <c r="N10" i="18"/>
  <c r="O10" i="18"/>
  <c r="P10" i="18"/>
  <c r="Q10" i="18"/>
  <c r="F11" i="18"/>
  <c r="I11" i="18"/>
  <c r="J11" i="18"/>
  <c r="K11" i="18"/>
  <c r="L11" i="18"/>
  <c r="M11" i="18"/>
  <c r="N11" i="18"/>
  <c r="O11" i="18"/>
  <c r="P11" i="18"/>
  <c r="Q11" i="18"/>
  <c r="D12" i="25"/>
  <c r="F12" i="18"/>
  <c r="I12" i="18"/>
  <c r="J12" i="18"/>
  <c r="K12" i="18"/>
  <c r="L12" i="18"/>
  <c r="M12" i="18"/>
  <c r="N12" i="18"/>
  <c r="O12" i="18"/>
  <c r="P12" i="18"/>
  <c r="Q12" i="18"/>
  <c r="F13" i="18"/>
  <c r="I13" i="18"/>
  <c r="J13" i="18"/>
  <c r="K13" i="18"/>
  <c r="L13" i="18"/>
  <c r="M13" i="18"/>
  <c r="N13" i="18"/>
  <c r="O13" i="18"/>
  <c r="P13" i="18"/>
  <c r="Q13" i="18"/>
  <c r="D14" i="25"/>
  <c r="F14" i="18"/>
  <c r="I14" i="18"/>
  <c r="J14" i="18"/>
  <c r="K14" i="18"/>
  <c r="L14" i="18"/>
  <c r="M14" i="18"/>
  <c r="N14" i="18"/>
  <c r="O14" i="18"/>
  <c r="P14" i="18"/>
  <c r="Q14" i="18"/>
  <c r="F15" i="18"/>
  <c r="I15" i="18"/>
  <c r="J15" i="18"/>
  <c r="K15" i="18"/>
  <c r="L15" i="18"/>
  <c r="M15" i="18"/>
  <c r="N15" i="18"/>
  <c r="O15" i="18"/>
  <c r="P15" i="18"/>
  <c r="Q15" i="18"/>
  <c r="F16" i="18"/>
  <c r="I16" i="18"/>
  <c r="J16" i="18"/>
  <c r="K16" i="18"/>
  <c r="L16" i="18"/>
  <c r="M16" i="18"/>
  <c r="N16" i="18"/>
  <c r="O16" i="18"/>
  <c r="P16" i="18"/>
  <c r="Q16" i="18"/>
  <c r="D17" i="25"/>
  <c r="F17" i="18"/>
  <c r="I17" i="18"/>
  <c r="J17" i="18"/>
  <c r="K17" i="18"/>
  <c r="L17" i="18"/>
  <c r="M17" i="18"/>
  <c r="N17" i="18"/>
  <c r="O17" i="18"/>
  <c r="P17" i="18"/>
  <c r="Q17" i="18"/>
  <c r="D18" i="25"/>
  <c r="F18" i="18"/>
  <c r="I18" i="18"/>
  <c r="J18" i="18"/>
  <c r="K18" i="18"/>
  <c r="L18" i="18"/>
  <c r="M18" i="18"/>
  <c r="N18" i="18"/>
  <c r="O18" i="18"/>
  <c r="P18" i="18"/>
  <c r="Q18" i="18"/>
  <c r="D19" i="25"/>
  <c r="F19" i="18"/>
  <c r="I19" i="18"/>
  <c r="J19" i="18"/>
  <c r="K19" i="18"/>
  <c r="L19" i="18"/>
  <c r="M19" i="18"/>
  <c r="N19" i="18"/>
  <c r="O19" i="18"/>
  <c r="P19" i="18"/>
  <c r="Q19" i="18"/>
  <c r="F20" i="18"/>
  <c r="I20" i="18"/>
  <c r="J20" i="18"/>
  <c r="K20" i="18"/>
  <c r="L20" i="18"/>
  <c r="M20" i="18"/>
  <c r="N20" i="18"/>
  <c r="O20" i="18"/>
  <c r="P20" i="18"/>
  <c r="Q20" i="18"/>
  <c r="F21" i="18"/>
  <c r="I21" i="18"/>
  <c r="J21" i="18"/>
  <c r="K21" i="18"/>
  <c r="L21" i="18"/>
  <c r="M21" i="18"/>
  <c r="N21" i="18"/>
  <c r="O21" i="18"/>
  <c r="P21" i="18"/>
  <c r="Q21" i="18"/>
  <c r="F22" i="18"/>
  <c r="I22" i="18"/>
  <c r="J22" i="18"/>
  <c r="K22" i="18"/>
  <c r="L22" i="18"/>
  <c r="M22" i="18"/>
  <c r="N22" i="18"/>
  <c r="O22" i="18"/>
  <c r="P22" i="18"/>
  <c r="Q22" i="18"/>
  <c r="F23" i="18"/>
  <c r="I23" i="18"/>
  <c r="J23" i="18"/>
  <c r="K23" i="18"/>
  <c r="L23" i="18"/>
  <c r="M23" i="18"/>
  <c r="N23" i="18"/>
  <c r="O23" i="18"/>
  <c r="P23" i="18"/>
  <c r="Q23" i="18"/>
  <c r="F24" i="18"/>
  <c r="I24" i="18"/>
  <c r="J24" i="18"/>
  <c r="K24" i="18"/>
  <c r="L24" i="18"/>
  <c r="M24" i="18"/>
  <c r="N24" i="18"/>
  <c r="O24" i="18"/>
  <c r="P24" i="18"/>
  <c r="Q24" i="18"/>
  <c r="D25" i="25"/>
  <c r="F25" i="18"/>
  <c r="I25" i="18"/>
  <c r="J25" i="18"/>
  <c r="K25" i="18"/>
  <c r="L25" i="18"/>
  <c r="M25" i="18"/>
  <c r="N25" i="18"/>
  <c r="O25" i="18"/>
  <c r="P25" i="18"/>
  <c r="Q25" i="18"/>
  <c r="D26" i="25"/>
  <c r="F26" i="18"/>
  <c r="I26" i="18"/>
  <c r="J26" i="18"/>
  <c r="K26" i="18"/>
  <c r="L26" i="18"/>
  <c r="M26" i="18"/>
  <c r="N26" i="18"/>
  <c r="O26" i="18"/>
  <c r="P26" i="18"/>
  <c r="Q26" i="18"/>
  <c r="D27" i="25"/>
  <c r="F27" i="18"/>
  <c r="I27" i="18"/>
  <c r="J27" i="18"/>
  <c r="K27" i="18"/>
  <c r="L27" i="18"/>
  <c r="M27" i="18"/>
  <c r="N27" i="18"/>
  <c r="O27" i="18"/>
  <c r="P27" i="18"/>
  <c r="Q27" i="18"/>
  <c r="D28" i="25"/>
  <c r="F28" i="18"/>
  <c r="I28" i="18"/>
  <c r="J28" i="18"/>
  <c r="K28" i="18"/>
  <c r="L28" i="18"/>
  <c r="M28" i="18"/>
  <c r="N28" i="18"/>
  <c r="O28" i="18"/>
  <c r="P28" i="18"/>
  <c r="Q28" i="18"/>
  <c r="F29" i="18"/>
  <c r="I29" i="18"/>
  <c r="J29" i="18"/>
  <c r="K29" i="18"/>
  <c r="L29" i="18"/>
  <c r="M29" i="18"/>
  <c r="N29" i="18"/>
  <c r="O29" i="18"/>
  <c r="P29" i="18"/>
  <c r="Q29" i="18"/>
  <c r="D30" i="25"/>
  <c r="F30" i="18"/>
  <c r="I30" i="18"/>
  <c r="J30" i="18"/>
  <c r="K30" i="18"/>
  <c r="L30" i="18"/>
  <c r="M30" i="18"/>
  <c r="N30" i="18"/>
  <c r="O30" i="18"/>
  <c r="P30" i="18"/>
  <c r="Q30" i="18"/>
  <c r="F31" i="18"/>
  <c r="I31" i="18"/>
  <c r="J31" i="18"/>
  <c r="K31" i="18"/>
  <c r="L31" i="18"/>
  <c r="M31" i="18"/>
  <c r="N31" i="18"/>
  <c r="O31" i="18"/>
  <c r="P31" i="18"/>
  <c r="Q31" i="18"/>
  <c r="F32" i="18"/>
  <c r="I32" i="18"/>
  <c r="J32" i="18"/>
  <c r="K32" i="18"/>
  <c r="L32" i="18"/>
  <c r="M32" i="18"/>
  <c r="N32" i="18"/>
  <c r="O32" i="18"/>
  <c r="P32" i="18"/>
  <c r="Q32" i="18"/>
  <c r="F33" i="18"/>
  <c r="I33" i="18"/>
  <c r="J33" i="18"/>
  <c r="K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W7" i="16"/>
  <c r="B8" i="16"/>
  <c r="G8" i="16"/>
  <c r="H8" i="16"/>
  <c r="I8" i="16"/>
  <c r="J8" i="16"/>
  <c r="K8" i="16"/>
  <c r="O8" i="16"/>
  <c r="P8" i="16"/>
  <c r="Q8" i="16"/>
  <c r="R8" i="16"/>
  <c r="S8" i="16"/>
  <c r="W8" i="16"/>
  <c r="B9" i="16"/>
  <c r="M9" i="16"/>
  <c r="G9" i="16"/>
  <c r="H9" i="16"/>
  <c r="I9" i="16"/>
  <c r="J9" i="16"/>
  <c r="K9" i="16"/>
  <c r="O9" i="16"/>
  <c r="P9" i="16"/>
  <c r="Q9" i="16"/>
  <c r="R9" i="16"/>
  <c r="S9" i="16"/>
  <c r="W9" i="16"/>
  <c r="B10" i="16"/>
  <c r="G10" i="16"/>
  <c r="H10" i="16"/>
  <c r="I10" i="16"/>
  <c r="J10" i="16"/>
  <c r="K10" i="16"/>
  <c r="O10" i="16"/>
  <c r="P10" i="16"/>
  <c r="Q10" i="16"/>
  <c r="R10" i="16"/>
  <c r="S10" i="16"/>
  <c r="W10" i="16"/>
  <c r="B11" i="16"/>
  <c r="G11" i="16"/>
  <c r="H11" i="16"/>
  <c r="I11" i="16"/>
  <c r="J11" i="16"/>
  <c r="K11" i="16"/>
  <c r="O11" i="16"/>
  <c r="P11" i="16"/>
  <c r="Q11" i="16"/>
  <c r="R11" i="16"/>
  <c r="S11" i="16"/>
  <c r="W11" i="16"/>
  <c r="B12" i="16"/>
  <c r="G12" i="16"/>
  <c r="H12" i="16"/>
  <c r="I12" i="16"/>
  <c r="J12" i="16"/>
  <c r="K12" i="16"/>
  <c r="O12" i="16"/>
  <c r="P12" i="16"/>
  <c r="Q12" i="16"/>
  <c r="R12" i="16"/>
  <c r="S12" i="16"/>
  <c r="W12" i="16"/>
  <c r="B13" i="16"/>
  <c r="G13" i="16"/>
  <c r="H13" i="16"/>
  <c r="I13" i="16"/>
  <c r="J13" i="16"/>
  <c r="K13" i="16"/>
  <c r="O13" i="16"/>
  <c r="P13" i="16"/>
  <c r="Q13" i="16"/>
  <c r="R13" i="16"/>
  <c r="S13" i="16"/>
  <c r="W13" i="16"/>
  <c r="B14" i="16"/>
  <c r="G14" i="16"/>
  <c r="H14" i="16"/>
  <c r="I14" i="16"/>
  <c r="J14" i="16"/>
  <c r="K14" i="16"/>
  <c r="O14" i="16"/>
  <c r="P14" i="16"/>
  <c r="Q14" i="16"/>
  <c r="R14" i="16"/>
  <c r="S14" i="16"/>
  <c r="W14" i="16"/>
  <c r="B15" i="16"/>
  <c r="G15" i="16"/>
  <c r="H15" i="16"/>
  <c r="I15" i="16"/>
  <c r="J15" i="16"/>
  <c r="K15" i="16"/>
  <c r="O15" i="16"/>
  <c r="P15" i="16"/>
  <c r="Q15" i="16"/>
  <c r="R15" i="16"/>
  <c r="S15" i="16"/>
  <c r="W15" i="16"/>
  <c r="B16" i="16"/>
  <c r="G16" i="16"/>
  <c r="H16" i="16"/>
  <c r="I16" i="16"/>
  <c r="J16" i="16"/>
  <c r="K16" i="16"/>
  <c r="O16" i="16"/>
  <c r="P16" i="16"/>
  <c r="Q16" i="16"/>
  <c r="R16" i="16"/>
  <c r="S16" i="16"/>
  <c r="W16" i="16"/>
  <c r="B17" i="16"/>
  <c r="M17" i="16"/>
  <c r="G17" i="16"/>
  <c r="H17" i="16"/>
  <c r="I17" i="16"/>
  <c r="J17" i="16"/>
  <c r="K17" i="16"/>
  <c r="O17" i="16"/>
  <c r="P17" i="16"/>
  <c r="Q17" i="16"/>
  <c r="R17" i="16"/>
  <c r="S17" i="16"/>
  <c r="W17" i="16"/>
  <c r="B18" i="16"/>
  <c r="G18" i="16"/>
  <c r="H18" i="16"/>
  <c r="I18" i="16"/>
  <c r="J18" i="16"/>
  <c r="K18" i="16"/>
  <c r="O18" i="16"/>
  <c r="P18" i="16"/>
  <c r="Q18" i="16"/>
  <c r="R18" i="16"/>
  <c r="S18" i="16"/>
  <c r="W18" i="16"/>
  <c r="B19" i="16"/>
  <c r="G19" i="16"/>
  <c r="H19" i="16"/>
  <c r="I19" i="16"/>
  <c r="J19" i="16"/>
  <c r="K19" i="16"/>
  <c r="O19" i="16"/>
  <c r="P19" i="16"/>
  <c r="Q19" i="16"/>
  <c r="R19" i="16"/>
  <c r="S19" i="16"/>
  <c r="W19" i="16"/>
  <c r="B20" i="16"/>
  <c r="G20" i="16"/>
  <c r="H20" i="16"/>
  <c r="I20" i="16"/>
  <c r="J20" i="16"/>
  <c r="K20" i="16"/>
  <c r="O20" i="16"/>
  <c r="P20" i="16"/>
  <c r="Q20" i="16"/>
  <c r="R20" i="16"/>
  <c r="S20" i="16"/>
  <c r="W20" i="16"/>
  <c r="B21" i="16"/>
  <c r="G21" i="16"/>
  <c r="H21" i="16"/>
  <c r="I21" i="16"/>
  <c r="J21" i="16"/>
  <c r="K21" i="16"/>
  <c r="O21" i="16"/>
  <c r="P21" i="16"/>
  <c r="Q21" i="16"/>
  <c r="R21" i="16"/>
  <c r="S21" i="16"/>
  <c r="W21" i="16"/>
  <c r="B22" i="16"/>
  <c r="G22" i="16"/>
  <c r="H22" i="16"/>
  <c r="I22" i="16"/>
  <c r="J22" i="16"/>
  <c r="K22" i="16"/>
  <c r="O22" i="16"/>
  <c r="P22" i="16"/>
  <c r="Q22" i="16"/>
  <c r="R22" i="16"/>
  <c r="S22" i="16"/>
  <c r="W22" i="16"/>
  <c r="B23" i="16"/>
  <c r="G23" i="16"/>
  <c r="H23" i="16"/>
  <c r="I23" i="16"/>
  <c r="J23" i="16"/>
  <c r="K23" i="16"/>
  <c r="O23" i="16"/>
  <c r="P23" i="16"/>
  <c r="Q23" i="16"/>
  <c r="R23" i="16"/>
  <c r="S23" i="16"/>
  <c r="W23" i="16"/>
  <c r="B24" i="16"/>
  <c r="G24" i="16"/>
  <c r="H24" i="16"/>
  <c r="I24" i="16"/>
  <c r="J24" i="16"/>
  <c r="K24" i="16"/>
  <c r="O24" i="16"/>
  <c r="P24" i="16"/>
  <c r="Q24" i="16"/>
  <c r="R24" i="16"/>
  <c r="S24" i="16"/>
  <c r="W24" i="16"/>
  <c r="B25" i="16"/>
  <c r="G25" i="16"/>
  <c r="H25" i="16"/>
  <c r="I25" i="16"/>
  <c r="J25" i="16"/>
  <c r="K25" i="16"/>
  <c r="O25" i="16"/>
  <c r="P25" i="16"/>
  <c r="Q25" i="16"/>
  <c r="R25" i="16"/>
  <c r="S25" i="16"/>
  <c r="W25" i="16"/>
  <c r="B26" i="16"/>
  <c r="G26" i="16"/>
  <c r="H26" i="16"/>
  <c r="I26" i="16"/>
  <c r="J26" i="16"/>
  <c r="K26" i="16"/>
  <c r="O26" i="16"/>
  <c r="P26" i="16"/>
  <c r="Q26" i="16"/>
  <c r="R26" i="16"/>
  <c r="S26" i="16"/>
  <c r="W26" i="16"/>
  <c r="B27" i="16"/>
  <c r="G27" i="16"/>
  <c r="H27" i="16"/>
  <c r="I27" i="16"/>
  <c r="J27" i="16"/>
  <c r="K27" i="16"/>
  <c r="O27" i="16"/>
  <c r="P27" i="16"/>
  <c r="Q27" i="16"/>
  <c r="R27" i="16"/>
  <c r="S27" i="16"/>
  <c r="W27" i="16"/>
  <c r="B28" i="16"/>
  <c r="G28" i="16"/>
  <c r="H28" i="16"/>
  <c r="I28" i="16"/>
  <c r="J28" i="16"/>
  <c r="K28" i="16"/>
  <c r="O28" i="16"/>
  <c r="P28" i="16"/>
  <c r="Q28" i="16"/>
  <c r="R28" i="16"/>
  <c r="S28" i="16"/>
  <c r="W28" i="16"/>
  <c r="B29" i="16"/>
  <c r="G29" i="16"/>
  <c r="H29" i="16"/>
  <c r="I29" i="16"/>
  <c r="J29" i="16"/>
  <c r="K29" i="16"/>
  <c r="O29" i="16"/>
  <c r="P29" i="16"/>
  <c r="Q29" i="16"/>
  <c r="R29" i="16"/>
  <c r="S29" i="16"/>
  <c r="W29" i="16"/>
  <c r="B30" i="16"/>
  <c r="G30" i="16"/>
  <c r="H30" i="16"/>
  <c r="I30" i="16"/>
  <c r="J30" i="16"/>
  <c r="K30" i="16"/>
  <c r="O30" i="16"/>
  <c r="P30" i="16"/>
  <c r="Q30" i="16"/>
  <c r="R30" i="16"/>
  <c r="S30" i="16"/>
  <c r="W30" i="16"/>
  <c r="B31" i="16"/>
  <c r="G31" i="16"/>
  <c r="H31" i="16"/>
  <c r="I31" i="16"/>
  <c r="J31" i="16"/>
  <c r="K31" i="16"/>
  <c r="O31" i="16"/>
  <c r="P31" i="16"/>
  <c r="Q31" i="16"/>
  <c r="R31" i="16"/>
  <c r="S31" i="16"/>
  <c r="W31" i="16"/>
  <c r="B32" i="16"/>
  <c r="G32" i="16"/>
  <c r="H32" i="16"/>
  <c r="I32" i="16"/>
  <c r="J32" i="16"/>
  <c r="K32" i="16"/>
  <c r="O32" i="16"/>
  <c r="P32" i="16"/>
  <c r="Q32" i="16"/>
  <c r="R32" i="16"/>
  <c r="S32" i="16"/>
  <c r="W32" i="16"/>
  <c r="B33" i="16"/>
  <c r="G33" i="16"/>
  <c r="H33" i="16"/>
  <c r="I33" i="16"/>
  <c r="J33" i="16"/>
  <c r="K33" i="16"/>
  <c r="O33" i="16"/>
  <c r="P33" i="16"/>
  <c r="Q33" i="16"/>
  <c r="R33" i="16"/>
  <c r="S33" i="16"/>
  <c r="W33" i="16"/>
  <c r="U9" i="28" l="1"/>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Z7" i="16"/>
  <c r="Y27" i="16"/>
  <c r="Y24" i="16"/>
  <c r="Z20" i="16"/>
  <c r="Y14" i="16"/>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Z33" i="16"/>
  <c r="Z32" i="16"/>
  <c r="Z23" i="16"/>
  <c r="X8" i="16"/>
  <c r="X28" i="16"/>
  <c r="X15" i="16"/>
  <c r="X12" i="16"/>
  <c r="X24" i="16"/>
  <c r="B13" i="25"/>
  <c r="J18" i="24"/>
  <c r="T9" i="16"/>
  <c r="X33" i="16"/>
  <c r="Y30" i="16"/>
  <c r="X31" i="16"/>
  <c r="Z29" i="16"/>
  <c r="Z8" i="16"/>
  <c r="Y7" i="16"/>
  <c r="I23" i="25"/>
  <c r="I11" i="25"/>
  <c r="I7" i="25"/>
  <c r="AD6" i="27"/>
  <c r="AE6" i="27" s="1"/>
  <c r="N9" i="28"/>
  <c r="R9" i="28" s="1"/>
  <c r="X23" i="16"/>
  <c r="R31" i="27"/>
  <c r="S31" i="27" s="1"/>
  <c r="AE15" i="28"/>
  <c r="Z30" i="16"/>
  <c r="X19" i="16"/>
  <c r="Z31" i="27"/>
  <c r="AA31" i="27" s="1"/>
  <c r="AE22" i="28"/>
  <c r="Y19" i="16"/>
  <c r="Y18" i="16"/>
  <c r="Y12" i="16"/>
  <c r="X7" i="16"/>
  <c r="BG13" i="28"/>
  <c r="BK13" i="28" s="1"/>
  <c r="BB20" i="28"/>
  <c r="BF20" i="28" s="1"/>
  <c r="AE24" i="28"/>
  <c r="L21" i="16"/>
  <c r="L28" i="25"/>
  <c r="O28" i="25" s="1"/>
  <c r="L26" i="25"/>
  <c r="O26" i="25" s="1"/>
  <c r="L24" i="25"/>
  <c r="O24" i="25" s="1"/>
  <c r="L7" i="24"/>
  <c r="X29" i="16"/>
  <c r="X16" i="16"/>
  <c r="AD15" i="27"/>
  <c r="AE15" i="27" s="1"/>
  <c r="R9" i="27"/>
  <c r="S9" i="27" s="1"/>
  <c r="Z27" i="16"/>
  <c r="X27" i="16"/>
  <c r="Z24" i="16"/>
  <c r="V21" i="16"/>
  <c r="T16" i="16"/>
  <c r="V10" i="16"/>
  <c r="X9" i="16"/>
  <c r="Y8"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Y31" i="16"/>
  <c r="Z26" i="16"/>
  <c r="Y23" i="16"/>
  <c r="Y22" i="16"/>
  <c r="V17" i="16"/>
  <c r="Y16" i="16"/>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V24" i="16"/>
  <c r="Y15" i="16"/>
  <c r="V12" i="16"/>
  <c r="U17" i="16"/>
  <c r="L31" i="16"/>
  <c r="X32" i="17"/>
  <c r="X22" i="17"/>
  <c r="X16" i="17"/>
  <c r="L15" i="24"/>
  <c r="L32" i="24"/>
  <c r="L8" i="25"/>
  <c r="O8" i="25" s="1"/>
  <c r="L24" i="16"/>
  <c r="L27" i="16"/>
  <c r="L17" i="16"/>
  <c r="X26" i="17"/>
  <c r="X24" i="17"/>
  <c r="X14" i="17"/>
  <c r="X8" i="17"/>
  <c r="P17" i="19"/>
  <c r="P13" i="19"/>
  <c r="T13" i="16"/>
  <c r="L16" i="16"/>
  <c r="L13" i="16"/>
  <c r="L28" i="16"/>
  <c r="L28" i="24"/>
  <c r="F26" i="24"/>
  <c r="F25" i="24"/>
  <c r="J24" i="24"/>
  <c r="J23" i="24"/>
  <c r="L22" i="24"/>
  <c r="L12" i="24"/>
  <c r="L22" i="25"/>
  <c r="O22" i="25" s="1"/>
  <c r="V16" i="16"/>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T21" i="16"/>
  <c r="U9" i="16"/>
  <c r="F19" i="25"/>
  <c r="N19" i="25" s="1"/>
  <c r="P10" i="19"/>
  <c r="B23" i="23"/>
  <c r="F18" i="24"/>
  <c r="J16" i="24"/>
  <c r="L14" i="24"/>
  <c r="L21" i="25"/>
  <c r="O21" i="25" s="1"/>
  <c r="B29" i="25"/>
  <c r="V33" i="16"/>
  <c r="V28" i="16"/>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T27" i="16"/>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Z31" i="16"/>
  <c r="T31" i="16"/>
  <c r="T28" i="16"/>
  <c r="X17" i="16"/>
  <c r="V13" i="16"/>
  <c r="Y11" i="16"/>
  <c r="V8"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Y33" i="16"/>
  <c r="T32" i="16"/>
  <c r="Y29" i="16"/>
  <c r="Z28" i="16"/>
  <c r="Y26" i="16"/>
  <c r="X25" i="16"/>
  <c r="Y20" i="16"/>
  <c r="V19" i="16"/>
  <c r="Z16" i="16"/>
  <c r="Z15" i="16"/>
  <c r="Z12" i="16"/>
  <c r="Y10" i="16"/>
  <c r="V9"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V29" i="16"/>
  <c r="L29" i="16"/>
  <c r="T29" i="16"/>
  <c r="L25" i="16"/>
  <c r="V25" i="16"/>
  <c r="V18"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V26" i="16"/>
  <c r="T25" i="16"/>
  <c r="T24" i="16"/>
  <c r="L20" i="16"/>
  <c r="V20" i="16"/>
  <c r="T17" i="16"/>
  <c r="L8" i="16"/>
  <c r="X18" i="17"/>
  <c r="P26" i="19"/>
  <c r="F26" i="23"/>
  <c r="F19" i="24"/>
  <c r="J13" i="24"/>
  <c r="J7" i="24"/>
  <c r="F27" i="25"/>
  <c r="F26" i="25"/>
  <c r="N26" i="25" s="1"/>
  <c r="L25" i="25"/>
  <c r="O25" i="25" s="1"/>
  <c r="T33" i="16"/>
  <c r="V32" i="16"/>
  <c r="L32" i="16"/>
  <c r="T20" i="16"/>
  <c r="T12" i="16"/>
  <c r="V11" i="16"/>
  <c r="T8"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T23" i="16"/>
  <c r="L22" i="16"/>
  <c r="T22" i="16"/>
  <c r="L15" i="16"/>
  <c r="T15" i="16"/>
  <c r="L14" i="16"/>
  <c r="T14" i="16"/>
  <c r="L7" i="16"/>
  <c r="T7" i="16"/>
  <c r="V30" i="16"/>
  <c r="X26" i="16"/>
  <c r="Z22" i="16"/>
  <c r="X21" i="16"/>
  <c r="Y21" i="16"/>
  <c r="Z21" i="16"/>
  <c r="Z19" i="16"/>
  <c r="X18" i="16"/>
  <c r="Z14" i="16"/>
  <c r="X13" i="16"/>
  <c r="Y13" i="16"/>
  <c r="Z13" i="16"/>
  <c r="Z11" i="16"/>
  <c r="X10" i="16"/>
  <c r="V31" i="16"/>
  <c r="X30" i="16"/>
  <c r="V27" i="16"/>
  <c r="L26" i="16"/>
  <c r="T26" i="16"/>
  <c r="L19" i="16"/>
  <c r="T19" i="16"/>
  <c r="L18" i="16"/>
  <c r="T18" i="16"/>
  <c r="L11" i="16"/>
  <c r="T11" i="16"/>
  <c r="L10" i="16"/>
  <c r="T10" i="16"/>
  <c r="Y32" i="16"/>
  <c r="L30" i="16"/>
  <c r="T30" i="16"/>
  <c r="Y28" i="16"/>
  <c r="Y25" i="16"/>
  <c r="Z25" i="16"/>
  <c r="V23" i="16"/>
  <c r="V22" i="16"/>
  <c r="X22" i="16"/>
  <c r="Z18" i="16"/>
  <c r="Y17" i="16"/>
  <c r="Z17" i="16"/>
  <c r="V15" i="16"/>
  <c r="V14" i="16"/>
  <c r="X14" i="16"/>
  <c r="Z10" i="16"/>
  <c r="Y9" i="16"/>
  <c r="Z9" i="16"/>
  <c r="V7"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X36" i="3"/>
  <c r="V37" i="3"/>
  <c r="W37" i="3"/>
  <c r="X37" i="3"/>
  <c r="V38" i="3"/>
  <c r="W38" i="3"/>
  <c r="X38" i="3"/>
  <c r="B12" i="2"/>
  <c r="B7" i="17" s="1"/>
  <c r="C12" i="2"/>
  <c r="E12" i="2"/>
  <c r="E7" i="16" s="1"/>
  <c r="M7" i="16" s="1"/>
  <c r="G12" i="2"/>
  <c r="H12" i="2"/>
  <c r="J12" i="2"/>
  <c r="K12" i="2"/>
  <c r="L12" i="2"/>
  <c r="N12" i="2"/>
  <c r="S12" i="2"/>
  <c r="B13" i="2"/>
  <c r="B8" i="17" s="1"/>
  <c r="C13" i="2"/>
  <c r="E13" i="2"/>
  <c r="E8" i="16" s="1"/>
  <c r="M8" i="16" s="1"/>
  <c r="G13" i="2"/>
  <c r="H13" i="2"/>
  <c r="J13" i="2"/>
  <c r="K13" i="2"/>
  <c r="L13" i="2"/>
  <c r="N13" i="2"/>
  <c r="S13" i="2"/>
  <c r="B14" i="2"/>
  <c r="AD16" i="8" s="1"/>
  <c r="C14" i="2"/>
  <c r="G14" i="2"/>
  <c r="H14" i="2"/>
  <c r="J14" i="2"/>
  <c r="K14" i="2"/>
  <c r="L14" i="2"/>
  <c r="N14" i="2"/>
  <c r="S14" i="2"/>
  <c r="B15" i="2"/>
  <c r="B10" i="17" s="1"/>
  <c r="C15" i="2"/>
  <c r="E15" i="2"/>
  <c r="E10" i="16" s="1"/>
  <c r="M10" i="16" s="1"/>
  <c r="G15" i="2"/>
  <c r="H15" i="2"/>
  <c r="J15" i="2"/>
  <c r="K15" i="2"/>
  <c r="L15" i="2"/>
  <c r="N15" i="2"/>
  <c r="S15" i="2"/>
  <c r="B16" i="2"/>
  <c r="C16" i="2"/>
  <c r="E16" i="2"/>
  <c r="E11" i="16" s="1"/>
  <c r="U11" i="16" s="1"/>
  <c r="G16" i="2"/>
  <c r="H16" i="2"/>
  <c r="J16" i="2"/>
  <c r="K16" i="2"/>
  <c r="L16" i="2"/>
  <c r="N16" i="2"/>
  <c r="S16" i="2"/>
  <c r="B17" i="2"/>
  <c r="C17" i="2"/>
  <c r="E17" i="2"/>
  <c r="E12" i="16" s="1"/>
  <c r="M12" i="16" s="1"/>
  <c r="G17" i="2"/>
  <c r="H17" i="2"/>
  <c r="J17" i="2"/>
  <c r="K17" i="2"/>
  <c r="L17" i="2"/>
  <c r="N17" i="2"/>
  <c r="S17" i="2"/>
  <c r="B18" i="2"/>
  <c r="C18" i="2"/>
  <c r="E18" i="2"/>
  <c r="E13" i="16" s="1"/>
  <c r="M13" i="16" s="1"/>
  <c r="G18" i="2"/>
  <c r="H18" i="2"/>
  <c r="J18" i="2"/>
  <c r="K18" i="2"/>
  <c r="L18" i="2"/>
  <c r="N18" i="2"/>
  <c r="S18" i="2"/>
  <c r="B19" i="2"/>
  <c r="C19" i="2"/>
  <c r="E19" i="2"/>
  <c r="G19" i="2"/>
  <c r="H19" i="2"/>
  <c r="J19" i="2"/>
  <c r="K19" i="2"/>
  <c r="L19" i="2"/>
  <c r="N19" i="2"/>
  <c r="S19" i="2"/>
  <c r="B20" i="2"/>
  <c r="B15" i="17" s="1"/>
  <c r="C20" i="2"/>
  <c r="E20" i="2"/>
  <c r="G20" i="2"/>
  <c r="H20" i="2"/>
  <c r="J20" i="2"/>
  <c r="K20" i="2"/>
  <c r="L20" i="2"/>
  <c r="N20" i="2"/>
  <c r="S20" i="2"/>
  <c r="B21" i="2"/>
  <c r="C21" i="2"/>
  <c r="E21" i="2"/>
  <c r="G21" i="2"/>
  <c r="H21" i="2"/>
  <c r="J21" i="2"/>
  <c r="K21" i="2"/>
  <c r="L21" i="2"/>
  <c r="N21" i="2"/>
  <c r="S21" i="2"/>
  <c r="B22" i="2"/>
  <c r="AD24" i="8" s="1"/>
  <c r="C22" i="2"/>
  <c r="G22" i="2"/>
  <c r="H22" i="2"/>
  <c r="J22" i="2"/>
  <c r="K22" i="2"/>
  <c r="L22" i="2"/>
  <c r="N22" i="2"/>
  <c r="S22" i="2"/>
  <c r="B23" i="2"/>
  <c r="B18" i="17" s="1"/>
  <c r="C23" i="2"/>
  <c r="E23" i="2"/>
  <c r="E18" i="16" s="1"/>
  <c r="M18" i="16" s="1"/>
  <c r="G23" i="2"/>
  <c r="H23" i="2"/>
  <c r="J23" i="2"/>
  <c r="K23" i="2"/>
  <c r="L23" i="2"/>
  <c r="N23" i="2"/>
  <c r="S23" i="2"/>
  <c r="B24" i="2"/>
  <c r="B19" i="17" s="1"/>
  <c r="C24" i="2"/>
  <c r="E24" i="2"/>
  <c r="E19" i="16" s="1"/>
  <c r="U19" i="16" s="1"/>
  <c r="G24" i="2"/>
  <c r="H24" i="2"/>
  <c r="J24" i="2"/>
  <c r="K24" i="2"/>
  <c r="L24" i="2"/>
  <c r="N24" i="2"/>
  <c r="S24" i="2"/>
  <c r="B25" i="2"/>
  <c r="B20" i="17" s="1"/>
  <c r="C25" i="2"/>
  <c r="E25" i="2"/>
  <c r="E20" i="16" s="1"/>
  <c r="M20" i="16" s="1"/>
  <c r="G25" i="2"/>
  <c r="H25" i="2"/>
  <c r="J25" i="2"/>
  <c r="K25" i="2"/>
  <c r="L25" i="2"/>
  <c r="N25" i="2"/>
  <c r="S25" i="2"/>
  <c r="B26" i="2"/>
  <c r="B21" i="17" s="1"/>
  <c r="C26" i="2"/>
  <c r="E26" i="2"/>
  <c r="E21" i="16" s="1"/>
  <c r="M21" i="16" s="1"/>
  <c r="G26" i="2"/>
  <c r="H26" i="2"/>
  <c r="J26" i="2"/>
  <c r="K26" i="2"/>
  <c r="L26" i="2"/>
  <c r="S26" i="2"/>
  <c r="B27" i="2"/>
  <c r="B22" i="17" s="1"/>
  <c r="C27" i="2"/>
  <c r="E27" i="2"/>
  <c r="E22" i="16" s="1"/>
  <c r="M22" i="16" s="1"/>
  <c r="G27" i="2"/>
  <c r="H27" i="2"/>
  <c r="J27" i="2"/>
  <c r="K27" i="2"/>
  <c r="L27" i="2"/>
  <c r="N27" i="2"/>
  <c r="S27" i="2"/>
  <c r="B28" i="2"/>
  <c r="B23" i="17" s="1"/>
  <c r="C28" i="2"/>
  <c r="E28" i="2"/>
  <c r="E23" i="16" s="1"/>
  <c r="M23" i="16" s="1"/>
  <c r="G28" i="2"/>
  <c r="H28" i="2"/>
  <c r="J28" i="2"/>
  <c r="K28" i="2"/>
  <c r="L28" i="2"/>
  <c r="N28" i="2"/>
  <c r="S28" i="2"/>
  <c r="B29" i="2"/>
  <c r="B24" i="17" s="1"/>
  <c r="C29" i="2"/>
  <c r="E29" i="2"/>
  <c r="E24" i="16" s="1"/>
  <c r="M24" i="16" s="1"/>
  <c r="G29" i="2"/>
  <c r="H29" i="2"/>
  <c r="J29" i="2"/>
  <c r="K29" i="2"/>
  <c r="L29" i="2"/>
  <c r="N29" i="2"/>
  <c r="S29" i="2"/>
  <c r="B30" i="2"/>
  <c r="B25" i="17" s="1"/>
  <c r="C30" i="2"/>
  <c r="E30" i="2"/>
  <c r="E25" i="16" s="1"/>
  <c r="M25" i="16" s="1"/>
  <c r="G30" i="2"/>
  <c r="H30" i="2"/>
  <c r="J30" i="2"/>
  <c r="K30" i="2"/>
  <c r="L30" i="2"/>
  <c r="N30" i="2"/>
  <c r="S30" i="2"/>
  <c r="B31" i="2"/>
  <c r="B26" i="17" s="1"/>
  <c r="C31" i="2"/>
  <c r="E31" i="2"/>
  <c r="E26" i="16" s="1"/>
  <c r="M26" i="16" s="1"/>
  <c r="G31" i="2"/>
  <c r="H31" i="2"/>
  <c r="J31" i="2"/>
  <c r="K31" i="2"/>
  <c r="L31" i="2"/>
  <c r="N31" i="2"/>
  <c r="S31" i="2"/>
  <c r="B32" i="2"/>
  <c r="B27" i="17" s="1"/>
  <c r="C32" i="2"/>
  <c r="E32" i="2"/>
  <c r="E27" i="16" s="1"/>
  <c r="M27" i="16" s="1"/>
  <c r="G32" i="2"/>
  <c r="H32" i="2"/>
  <c r="J32" i="2"/>
  <c r="K32" i="2"/>
  <c r="L32" i="2"/>
  <c r="N32" i="2"/>
  <c r="S32" i="2"/>
  <c r="B33" i="2"/>
  <c r="B28" i="17" s="1"/>
  <c r="C33" i="2"/>
  <c r="E33" i="2"/>
  <c r="E28" i="16" s="1"/>
  <c r="U28" i="16" s="1"/>
  <c r="G33" i="2"/>
  <c r="H33" i="2"/>
  <c r="J33" i="2"/>
  <c r="K33" i="2"/>
  <c r="L33" i="2"/>
  <c r="S33" i="2"/>
  <c r="B34" i="2"/>
  <c r="C34" i="2"/>
  <c r="G34" i="2"/>
  <c r="H34" i="2"/>
  <c r="J34" i="2"/>
  <c r="K34" i="2"/>
  <c r="L34" i="2"/>
  <c r="S34" i="2"/>
  <c r="B35" i="2"/>
  <c r="B30" i="17" s="1"/>
  <c r="C35" i="2"/>
  <c r="E35" i="2"/>
  <c r="Z37" i="8" s="1"/>
  <c r="G35" i="2"/>
  <c r="H35" i="2"/>
  <c r="J35" i="2"/>
  <c r="K35" i="2"/>
  <c r="L35" i="2"/>
  <c r="N35" i="2"/>
  <c r="S35" i="2"/>
  <c r="B36" i="2"/>
  <c r="B31" i="17" s="1"/>
  <c r="C36" i="2"/>
  <c r="E36" i="2"/>
  <c r="Z38" i="8" s="1"/>
  <c r="G36" i="2"/>
  <c r="H36" i="2"/>
  <c r="J36" i="2"/>
  <c r="K36" i="2"/>
  <c r="L36" i="2"/>
  <c r="N36" i="2"/>
  <c r="S36" i="2"/>
  <c r="B37" i="2"/>
  <c r="B32" i="17" s="1"/>
  <c r="C37" i="2"/>
  <c r="E37" i="2"/>
  <c r="Z39" i="8" s="1"/>
  <c r="G37" i="2"/>
  <c r="H37" i="2"/>
  <c r="J37" i="2"/>
  <c r="K37" i="2"/>
  <c r="L37" i="2"/>
  <c r="N37" i="2"/>
  <c r="Q37" i="2" s="1"/>
  <c r="S37" i="2"/>
  <c r="B38" i="2"/>
  <c r="C38" i="2"/>
  <c r="E38" i="2"/>
  <c r="G38" i="2"/>
  <c r="H38" i="2"/>
  <c r="J38" i="2"/>
  <c r="K38" i="2"/>
  <c r="L38" i="2"/>
  <c r="N38" i="2"/>
  <c r="Q38" i="2" s="1"/>
  <c r="S38" i="2"/>
  <c r="B11" i="2"/>
  <c r="C11" i="2"/>
  <c r="E11" i="2"/>
  <c r="E6" i="16" s="1"/>
  <c r="G11" i="2"/>
  <c r="H11" i="2"/>
  <c r="J11" i="2"/>
  <c r="K11" i="2"/>
  <c r="L11" i="2"/>
  <c r="N11" i="2"/>
  <c r="S11" i="2"/>
  <c r="B39" i="2"/>
  <c r="C39" i="2"/>
  <c r="E39" i="2"/>
  <c r="G39" i="2"/>
  <c r="H39" i="2"/>
  <c r="J39" i="2"/>
  <c r="K39" i="2"/>
  <c r="L39" i="2"/>
  <c r="U39" i="2" s="1"/>
  <c r="N39" i="2"/>
  <c r="Q39" i="2" s="1"/>
  <c r="B33" i="17" l="1"/>
  <c r="Q38" i="3"/>
  <c r="Z41" i="8"/>
  <c r="Z40" i="8"/>
  <c r="B29" i="17"/>
  <c r="B34" i="17"/>
  <c r="D41" i="8"/>
  <c r="E15" i="16"/>
  <c r="M15" i="16" s="1"/>
  <c r="AD22" i="8"/>
  <c r="Z22" i="8"/>
  <c r="E16" i="16"/>
  <c r="M16" i="16" s="1"/>
  <c r="AD23" i="8"/>
  <c r="E14" i="16"/>
  <c r="M14" i="16" s="1"/>
  <c r="AD21" i="8"/>
  <c r="Z21" i="8"/>
  <c r="G38" i="3"/>
  <c r="I38" i="3" s="1"/>
  <c r="E38" i="3"/>
  <c r="T40" i="8" s="1"/>
  <c r="J38" i="3"/>
  <c r="X40" i="8" s="1"/>
  <c r="B38" i="3"/>
  <c r="D38" i="3" s="1"/>
  <c r="M29" i="16"/>
  <c r="B34" i="3"/>
  <c r="D34" i="3" s="1"/>
  <c r="E34" i="16"/>
  <c r="M34" i="16" s="1"/>
  <c r="B39" i="3"/>
  <c r="E33" i="16"/>
  <c r="M33" i="16" s="1"/>
  <c r="E32" i="16"/>
  <c r="U32" i="16" s="1"/>
  <c r="B37" i="3"/>
  <c r="D37" i="3" s="1"/>
  <c r="E31" i="16"/>
  <c r="M31" i="16" s="1"/>
  <c r="B36" i="3"/>
  <c r="D36" i="3" s="1"/>
  <c r="E30" i="16"/>
  <c r="U30" i="16" s="1"/>
  <c r="B35" i="3"/>
  <c r="D35" i="3" s="1"/>
  <c r="P39" i="2"/>
  <c r="P37" i="2"/>
  <c r="P36" i="2"/>
  <c r="P38" i="2"/>
  <c r="P35" i="2"/>
  <c r="B16" i="17"/>
  <c r="Q21" i="3"/>
  <c r="B9" i="17"/>
  <c r="Z16" i="8"/>
  <c r="B17" i="17"/>
  <c r="Z24" i="8"/>
  <c r="M11" i="16"/>
  <c r="U23" i="16"/>
  <c r="H24" i="26"/>
  <c r="U24" i="16"/>
  <c r="U26" i="16"/>
  <c r="U10" i="16"/>
  <c r="U25" i="16"/>
  <c r="AB16" i="17"/>
  <c r="U27" i="16"/>
  <c r="U21" i="16"/>
  <c r="M28" i="16"/>
  <c r="Q19" i="3"/>
  <c r="B14" i="17"/>
  <c r="U18" i="16"/>
  <c r="U7" i="16"/>
  <c r="Q17" i="3"/>
  <c r="B12" i="17"/>
  <c r="U20" i="16"/>
  <c r="Q11" i="3"/>
  <c r="B6" i="17"/>
  <c r="Q18" i="3"/>
  <c r="B13" i="17"/>
  <c r="Q16" i="3"/>
  <c r="B11" i="17"/>
  <c r="M19" i="16"/>
  <c r="U22" i="16"/>
  <c r="U13" i="16"/>
  <c r="U12" i="16"/>
  <c r="U8" i="16"/>
  <c r="AB17" i="17"/>
  <c r="AB33" i="17"/>
  <c r="AB29" i="17"/>
  <c r="AD40" i="8"/>
  <c r="AD18" i="8"/>
  <c r="Z18" i="8"/>
  <c r="AD37" i="8"/>
  <c r="AD26" i="8"/>
  <c r="Z26" i="8"/>
  <c r="Z23" i="8"/>
  <c r="Z30" i="8"/>
  <c r="AD30" i="8"/>
  <c r="AD36" i="8"/>
  <c r="Z32" i="8"/>
  <c r="AD32" i="8"/>
  <c r="AD25" i="8"/>
  <c r="Z25" i="8"/>
  <c r="Z15" i="8"/>
  <c r="AD15" i="8"/>
  <c r="AD13" i="8"/>
  <c r="Z13" i="8"/>
  <c r="AD33" i="8"/>
  <c r="Z33" i="8"/>
  <c r="Z29" i="8"/>
  <c r="AD29" i="8"/>
  <c r="AD19" i="8"/>
  <c r="Z19" i="8"/>
  <c r="AD41" i="8"/>
  <c r="AD38" i="8"/>
  <c r="Z34" i="8"/>
  <c r="AD34" i="8"/>
  <c r="AD27" i="8"/>
  <c r="Z27" i="8"/>
  <c r="Z20" i="8"/>
  <c r="AD20" i="8"/>
  <c r="AD39" i="8"/>
  <c r="Z35" i="8"/>
  <c r="AD35" i="8"/>
  <c r="AD31" i="8"/>
  <c r="Z31" i="8"/>
  <c r="Z28" i="8"/>
  <c r="AD28" i="8"/>
  <c r="AD17" i="8"/>
  <c r="Z17" i="8"/>
  <c r="Z14" i="8"/>
  <c r="AD14" i="8"/>
  <c r="AB28" i="17"/>
  <c r="AB21" i="17"/>
  <c r="AB9" i="17"/>
  <c r="AB25" i="17"/>
  <c r="AB13" i="17"/>
  <c r="E13" i="8"/>
  <c r="D13" i="8"/>
  <c r="AJ13" i="8"/>
  <c r="E37" i="8"/>
  <c r="AJ37" i="8"/>
  <c r="D37" i="8"/>
  <c r="E29" i="8"/>
  <c r="AJ29" i="8"/>
  <c r="D29" i="8"/>
  <c r="E26" i="8"/>
  <c r="D26" i="8"/>
  <c r="AJ26" i="8"/>
  <c r="D23" i="8"/>
  <c r="AJ23" i="8"/>
  <c r="E23" i="8"/>
  <c r="E41" i="8"/>
  <c r="AJ41" i="8"/>
  <c r="AJ34" i="8"/>
  <c r="D34" i="8"/>
  <c r="E34" i="8"/>
  <c r="D27" i="8"/>
  <c r="AJ27" i="8"/>
  <c r="E27" i="8"/>
  <c r="D24" i="8"/>
  <c r="E24" i="8"/>
  <c r="AJ24" i="8"/>
  <c r="E20" i="8"/>
  <c r="D20" i="8"/>
  <c r="AJ20" i="8"/>
  <c r="D39" i="8"/>
  <c r="E39" i="8"/>
  <c r="AJ39" i="8"/>
  <c r="AJ35" i="8"/>
  <c r="D35" i="8"/>
  <c r="E35" i="8"/>
  <c r="E31" i="8"/>
  <c r="D31" i="8"/>
  <c r="AJ31" i="8"/>
  <c r="AJ28" i="8"/>
  <c r="E28" i="8"/>
  <c r="D28" i="8"/>
  <c r="E21" i="8"/>
  <c r="AJ21" i="8"/>
  <c r="D21" i="8"/>
  <c r="D17" i="8"/>
  <c r="AJ17" i="8"/>
  <c r="E17" i="8"/>
  <c r="E14" i="8"/>
  <c r="D14" i="8"/>
  <c r="AJ14" i="8"/>
  <c r="AJ33" i="8"/>
  <c r="E33" i="8"/>
  <c r="D33" i="8"/>
  <c r="AJ19" i="8"/>
  <c r="E19" i="8"/>
  <c r="D19" i="8"/>
  <c r="F14" i="2"/>
  <c r="AJ16" i="8"/>
  <c r="E16" i="8"/>
  <c r="D16" i="8"/>
  <c r="AJ38" i="8"/>
  <c r="D38" i="8"/>
  <c r="E38" i="8"/>
  <c r="D30" i="8"/>
  <c r="AJ30" i="8"/>
  <c r="E30" i="8"/>
  <c r="E40" i="8"/>
  <c r="AJ40" i="8"/>
  <c r="D40" i="8"/>
  <c r="D36" i="8"/>
  <c r="E36" i="8"/>
  <c r="AJ36" i="8"/>
  <c r="E32" i="8"/>
  <c r="D32" i="8"/>
  <c r="AJ32" i="8"/>
  <c r="E25" i="8"/>
  <c r="D25" i="8"/>
  <c r="AJ25" i="8"/>
  <c r="D22" i="8"/>
  <c r="AJ22" i="8"/>
  <c r="E22" i="8"/>
  <c r="E18" i="8"/>
  <c r="D18" i="8"/>
  <c r="AJ18" i="8"/>
  <c r="AJ15" i="8"/>
  <c r="E15" i="8"/>
  <c r="D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R14" i="3"/>
  <c r="Q14" i="3"/>
  <c r="D34" i="16"/>
  <c r="N34" i="16" s="1"/>
  <c r="E23" i="3"/>
  <c r="T25" i="8" s="1"/>
  <c r="H9" i="25"/>
  <c r="Y13" i="17"/>
  <c r="H12" i="25"/>
  <c r="H30" i="23"/>
  <c r="H7" i="25"/>
  <c r="F23" i="2"/>
  <c r="Y12" i="17"/>
  <c r="H24" i="23"/>
  <c r="H11" i="25"/>
  <c r="Y16" i="17"/>
  <c r="H17" i="25"/>
  <c r="H26" i="23"/>
  <c r="Y30" i="17"/>
  <c r="U32" i="2"/>
  <c r="P28" i="2"/>
  <c r="P24" i="2"/>
  <c r="Q21" i="2"/>
  <c r="J23" i="8" s="1"/>
  <c r="P18" i="2"/>
  <c r="Q32" i="2"/>
  <c r="J34" i="8" s="1"/>
  <c r="P27" i="2"/>
  <c r="U16" i="2"/>
  <c r="P16" i="2"/>
  <c r="U12" i="2"/>
  <c r="J40" i="8"/>
  <c r="U36" i="2"/>
  <c r="P34" i="2"/>
  <c r="U18" i="2"/>
  <c r="U24" i="2"/>
  <c r="P21" i="2"/>
  <c r="U20" i="2"/>
  <c r="F39" i="2"/>
  <c r="D32" i="16"/>
  <c r="N32" i="16" s="1"/>
  <c r="D25" i="16"/>
  <c r="N25" i="16" s="1"/>
  <c r="R21" i="3"/>
  <c r="D31" i="16"/>
  <c r="N31" i="16" s="1"/>
  <c r="B32" i="3"/>
  <c r="D32" i="3" s="1"/>
  <c r="G18" i="3"/>
  <c r="I18" i="3" s="1"/>
  <c r="D10" i="16"/>
  <c r="N10" i="16" s="1"/>
  <c r="H19" i="25"/>
  <c r="V11" i="2"/>
  <c r="N13" i="8" s="1"/>
  <c r="R37" i="3"/>
  <c r="D30" i="16"/>
  <c r="N30" i="16" s="1"/>
  <c r="D27" i="16"/>
  <c r="N27" i="16" s="1"/>
  <c r="F31" i="2"/>
  <c r="R30" i="3"/>
  <c r="J27" i="3"/>
  <c r="X29" i="8" s="1"/>
  <c r="D19" i="16"/>
  <c r="N19" i="16" s="1"/>
  <c r="D16" i="16"/>
  <c r="N16" i="16" s="1"/>
  <c r="B17" i="3"/>
  <c r="D17" i="3" s="1"/>
  <c r="D9" i="16"/>
  <c r="N9" i="16" s="1"/>
  <c r="H30" i="25"/>
  <c r="Y9" i="17"/>
  <c r="Y15" i="17"/>
  <c r="R35" i="3"/>
  <c r="D29" i="16"/>
  <c r="N29" i="16" s="1"/>
  <c r="F29" i="2"/>
  <c r="D18" i="16"/>
  <c r="N18" i="16" s="1"/>
  <c r="D14" i="16"/>
  <c r="N14" i="16" s="1"/>
  <c r="R18" i="3"/>
  <c r="D11" i="16"/>
  <c r="N11" i="16" s="1"/>
  <c r="J35" i="3"/>
  <c r="X37" i="8" s="1"/>
  <c r="D28" i="16"/>
  <c r="N28" i="16" s="1"/>
  <c r="D24" i="16"/>
  <c r="N24" i="16" s="1"/>
  <c r="G28" i="3"/>
  <c r="D20" i="16"/>
  <c r="N20" i="16" s="1"/>
  <c r="G24" i="3"/>
  <c r="D17" i="16"/>
  <c r="N17" i="16" s="1"/>
  <c r="J21" i="3"/>
  <c r="X23" i="8" s="1"/>
  <c r="R20" i="3"/>
  <c r="B14" i="3"/>
  <c r="D14" i="3" s="1"/>
  <c r="D7" i="16"/>
  <c r="N7" i="16" s="1"/>
  <c r="Y26" i="17"/>
  <c r="D33" i="16"/>
  <c r="N33" i="16" s="1"/>
  <c r="J34" i="3"/>
  <c r="X36" i="8" s="1"/>
  <c r="D26" i="16"/>
  <c r="N26" i="16" s="1"/>
  <c r="D22" i="16"/>
  <c r="N22" i="16" s="1"/>
  <c r="E26" i="3"/>
  <c r="T28" i="8" s="1"/>
  <c r="B23" i="3"/>
  <c r="D23" i="3" s="1"/>
  <c r="R22" i="3"/>
  <c r="D15" i="16"/>
  <c r="N15" i="16" s="1"/>
  <c r="E19" i="3"/>
  <c r="T21" i="8" s="1"/>
  <c r="D12" i="16"/>
  <c r="N12" i="16" s="1"/>
  <c r="B16" i="3"/>
  <c r="D16" i="3" s="1"/>
  <c r="R15" i="3"/>
  <c r="D8" i="16"/>
  <c r="N8" i="16" s="1"/>
  <c r="R12" i="3"/>
  <c r="Y24" i="17"/>
  <c r="Y22" i="17"/>
  <c r="U21" i="2"/>
  <c r="U30" i="2"/>
  <c r="U26" i="2"/>
  <c r="P26" i="2"/>
  <c r="P14" i="2"/>
  <c r="H27" i="25"/>
  <c r="H25" i="25"/>
  <c r="Y11" i="17"/>
  <c r="Y17" i="17"/>
  <c r="H32" i="23"/>
  <c r="Y19" i="17"/>
  <c r="Q13" i="2"/>
  <c r="H22" i="25"/>
  <c r="Y7" i="17"/>
  <c r="Y14" i="17"/>
  <c r="H18" i="25"/>
  <c r="Y25" i="17"/>
  <c r="H32" i="25"/>
  <c r="Y33" i="17"/>
  <c r="Q36" i="2"/>
  <c r="J38" i="8" s="1"/>
  <c r="Q30" i="2"/>
  <c r="J32" i="8" s="1"/>
  <c r="E32" i="3"/>
  <c r="T34" i="8" s="1"/>
  <c r="H14" i="25"/>
  <c r="N27" i="25"/>
  <c r="H26" i="25"/>
  <c r="Y21" i="17"/>
  <c r="N33" i="25"/>
  <c r="H33" i="25"/>
  <c r="N13" i="25"/>
  <c r="H13" i="25"/>
  <c r="U28" i="2"/>
  <c r="G26" i="3"/>
  <c r="I26" i="3" s="1"/>
  <c r="P11" i="2"/>
  <c r="F11" i="2"/>
  <c r="Q34" i="2"/>
  <c r="J36" i="8" s="1"/>
  <c r="U29" i="2"/>
  <c r="F27" i="2"/>
  <c r="U22" i="2"/>
  <c r="P22" i="2"/>
  <c r="P20" i="2"/>
  <c r="U17" i="2"/>
  <c r="F17" i="2"/>
  <c r="U13" i="2"/>
  <c r="Q37" i="3"/>
  <c r="Q35" i="3"/>
  <c r="E24" i="3"/>
  <c r="T26" i="8" s="1"/>
  <c r="E9" i="17"/>
  <c r="E33" i="17"/>
  <c r="H16" i="25"/>
  <c r="H24" i="25"/>
  <c r="H31" i="25"/>
  <c r="H22" i="23"/>
  <c r="H15" i="25"/>
  <c r="Y10" i="17"/>
  <c r="Y18" i="17"/>
  <c r="G17" i="3"/>
  <c r="I17" i="3" s="1"/>
  <c r="U25" i="2"/>
  <c r="U23" i="2"/>
  <c r="J24" i="3"/>
  <c r="X26" i="8" s="1"/>
  <c r="Y20" i="17"/>
  <c r="U11" i="2"/>
  <c r="U31" i="2"/>
  <c r="P30" i="2"/>
  <c r="V29" i="2"/>
  <c r="N31" i="8" s="1"/>
  <c r="U27" i="2"/>
  <c r="F25" i="2"/>
  <c r="U14" i="2"/>
  <c r="E22" i="17"/>
  <c r="H21" i="25"/>
  <c r="H29" i="25"/>
  <c r="N29" i="25"/>
  <c r="N8" i="25"/>
  <c r="H8" i="25"/>
  <c r="R19" i="3"/>
  <c r="H23" i="25"/>
  <c r="H28" i="25"/>
  <c r="E31" i="17"/>
  <c r="Y31" i="17"/>
  <c r="V37" i="2"/>
  <c r="N39" i="8" s="1"/>
  <c r="Q24" i="3"/>
  <c r="Q22" i="2"/>
  <c r="J24" i="8" s="1"/>
  <c r="V18" i="2"/>
  <c r="N20" i="8" s="1"/>
  <c r="D13" i="16"/>
  <c r="N13" i="16" s="1"/>
  <c r="Q15" i="3"/>
  <c r="E17" i="17"/>
  <c r="H10" i="25"/>
  <c r="E32" i="17"/>
  <c r="Y32" i="17"/>
  <c r="V28" i="2"/>
  <c r="N30" i="8" s="1"/>
  <c r="D23" i="16"/>
  <c r="N23" i="16" s="1"/>
  <c r="Q28" i="23"/>
  <c r="F27" i="26"/>
  <c r="H27" i="26" s="1"/>
  <c r="Y29" i="17"/>
  <c r="Q28" i="2"/>
  <c r="J30" i="8" s="1"/>
  <c r="H28" i="23"/>
  <c r="Q22" i="23"/>
  <c r="F21" i="26"/>
  <c r="H21" i="26" s="1"/>
  <c r="E23" i="17"/>
  <c r="Y23" i="17"/>
  <c r="E8" i="17"/>
  <c r="Y8" i="17"/>
  <c r="Q31" i="2"/>
  <c r="J33" i="8" s="1"/>
  <c r="Q17" i="2"/>
  <c r="V13" i="2"/>
  <c r="N15" i="8" s="1"/>
  <c r="E29" i="3"/>
  <c r="T31" i="8" s="1"/>
  <c r="Q22" i="3"/>
  <c r="J18" i="3"/>
  <c r="X20" i="8" s="1"/>
  <c r="Q30" i="23"/>
  <c r="F29" i="26"/>
  <c r="H29" i="26" s="1"/>
  <c r="E27" i="17"/>
  <c r="Y27" i="17"/>
  <c r="J41" i="8"/>
  <c r="J39" i="8"/>
  <c r="Q35" i="2"/>
  <c r="J37" i="8" s="1"/>
  <c r="Q29" i="2"/>
  <c r="J31" i="8" s="1"/>
  <c r="V26" i="2"/>
  <c r="N28" i="8" s="1"/>
  <c r="D21" i="16"/>
  <c r="N21" i="16" s="1"/>
  <c r="Q25" i="2"/>
  <c r="J27" i="8" s="1"/>
  <c r="Q25" i="3"/>
  <c r="V21" i="2"/>
  <c r="N23" i="8" s="1"/>
  <c r="V19" i="2"/>
  <c r="N21" i="8" s="1"/>
  <c r="Q18" i="2"/>
  <c r="Q30" i="3"/>
  <c r="Q20" i="3"/>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U37" i="2"/>
  <c r="G33" i="3"/>
  <c r="I33" i="3" s="1"/>
  <c r="E33" i="3"/>
  <c r="T35" i="8" s="1"/>
  <c r="F33" i="2"/>
  <c r="Q32" i="3"/>
  <c r="R32" i="3"/>
  <c r="V20" i="2"/>
  <c r="N22" i="8" s="1"/>
  <c r="Q20" i="2"/>
  <c r="J22" i="8" s="1"/>
  <c r="J13" i="3"/>
  <c r="X15" i="8" s="1"/>
  <c r="G13" i="3"/>
  <c r="I13" i="3" s="1"/>
  <c r="F13" i="2"/>
  <c r="B13" i="3"/>
  <c r="D13" i="3" s="1"/>
  <c r="E13" i="3"/>
  <c r="T15" i="8" s="1"/>
  <c r="J33" i="3"/>
  <c r="X35" i="8" s="1"/>
  <c r="R16" i="3"/>
  <c r="E35" i="3"/>
  <c r="T37" i="8" s="1"/>
  <c r="AB37" i="8" s="1"/>
  <c r="G35" i="3"/>
  <c r="I35" i="3" s="1"/>
  <c r="F35" i="2"/>
  <c r="U34" i="2"/>
  <c r="Q34" i="3"/>
  <c r="R34" i="3"/>
  <c r="R33" i="3"/>
  <c r="R29" i="3"/>
  <c r="Q29" i="3"/>
  <c r="G21" i="3"/>
  <c r="I21" i="3" s="1"/>
  <c r="B21" i="3"/>
  <c r="D21" i="3" s="1"/>
  <c r="F21" i="2"/>
  <c r="R17" i="3"/>
  <c r="F16" i="2"/>
  <c r="G16" i="3"/>
  <c r="I16" i="3" s="1"/>
  <c r="J16" i="3"/>
  <c r="X18" i="8" s="1"/>
  <c r="E16" i="3"/>
  <c r="T18" i="8" s="1"/>
  <c r="E21" i="3"/>
  <c r="T23" i="8" s="1"/>
  <c r="Q11" i="2"/>
  <c r="G37" i="3"/>
  <c r="I37" i="3" s="1"/>
  <c r="F37" i="2"/>
  <c r="E37" i="3"/>
  <c r="T39" i="8" s="1"/>
  <c r="Q36" i="3"/>
  <c r="R36" i="3"/>
  <c r="V33" i="2"/>
  <c r="N35" i="8" s="1"/>
  <c r="U33" i="2"/>
  <c r="F30" i="2"/>
  <c r="E30" i="3"/>
  <c r="T32" i="8" s="1"/>
  <c r="J30" i="3"/>
  <c r="X32" i="8" s="1"/>
  <c r="G30" i="3"/>
  <c r="I30" i="3" s="1"/>
  <c r="B30" i="3"/>
  <c r="D30" i="3" s="1"/>
  <c r="J29" i="3"/>
  <c r="X31" i="8" s="1"/>
  <c r="B29" i="3"/>
  <c r="D29" i="3" s="1"/>
  <c r="G29" i="3"/>
  <c r="I29" i="3" s="1"/>
  <c r="V27" i="2"/>
  <c r="N29" i="8" s="1"/>
  <c r="Q26" i="2"/>
  <c r="J28" i="8" s="1"/>
  <c r="V24" i="2"/>
  <c r="N26" i="8" s="1"/>
  <c r="R24" i="3"/>
  <c r="G19" i="3"/>
  <c r="I19" i="3" s="1"/>
  <c r="B19" i="3"/>
  <c r="D19" i="3" s="1"/>
  <c r="J19" i="3"/>
  <c r="X21" i="8" s="1"/>
  <c r="F19" i="2"/>
  <c r="V14" i="2"/>
  <c r="N16" i="8" s="1"/>
  <c r="Q14" i="2"/>
  <c r="P12" i="2"/>
  <c r="Q12" i="2"/>
  <c r="J14" i="8" s="1"/>
  <c r="F12" i="2"/>
  <c r="E12" i="3"/>
  <c r="T14" i="8" s="1"/>
  <c r="J12" i="3"/>
  <c r="X14" i="8" s="1"/>
  <c r="G12" i="3"/>
  <c r="I12" i="3" s="1"/>
  <c r="B12" i="3"/>
  <c r="D12" i="3" s="1"/>
  <c r="J37" i="3"/>
  <c r="X39" i="8" s="1"/>
  <c r="B33" i="3"/>
  <c r="D33" i="3" s="1"/>
  <c r="R27" i="3"/>
  <c r="R25" i="3"/>
  <c r="U38" i="2"/>
  <c r="V35" i="2"/>
  <c r="N37" i="8" s="1"/>
  <c r="U35" i="2"/>
  <c r="Q33" i="2"/>
  <c r="J35" i="8" s="1"/>
  <c r="Q33" i="3"/>
  <c r="P32" i="2"/>
  <c r="R31" i="3"/>
  <c r="Q31" i="3"/>
  <c r="V30" i="2"/>
  <c r="N32" i="8" s="1"/>
  <c r="Q24" i="2"/>
  <c r="J26" i="8" s="1"/>
  <c r="V22" i="2"/>
  <c r="N24" i="8" s="1"/>
  <c r="F20" i="2"/>
  <c r="E20" i="3"/>
  <c r="T22" i="8" s="1"/>
  <c r="G20" i="3"/>
  <c r="I20" i="3" s="1"/>
  <c r="B20" i="3"/>
  <c r="D20" i="3" s="1"/>
  <c r="J20" i="3"/>
  <c r="X22" i="8" s="1"/>
  <c r="J15" i="3"/>
  <c r="X17" i="8" s="1"/>
  <c r="B15" i="3"/>
  <c r="D15" i="3" s="1"/>
  <c r="F15" i="2"/>
  <c r="E15" i="3"/>
  <c r="T17" i="8" s="1"/>
  <c r="R38" i="3"/>
  <c r="G15" i="3"/>
  <c r="I15" i="3" s="1"/>
  <c r="F38" i="2"/>
  <c r="F36" i="2"/>
  <c r="J36" i="3"/>
  <c r="X38" i="8" s="1"/>
  <c r="G36" i="3"/>
  <c r="I36" i="3" s="1"/>
  <c r="G34" i="3"/>
  <c r="I34" i="3" s="1"/>
  <c r="P33" i="2"/>
  <c r="F32" i="2"/>
  <c r="G32" i="3"/>
  <c r="I32" i="3" s="1"/>
  <c r="J31" i="3"/>
  <c r="X33" i="8" s="1"/>
  <c r="B31" i="3"/>
  <c r="D31" i="3" s="1"/>
  <c r="E31" i="3"/>
  <c r="T33" i="8" s="1"/>
  <c r="R28" i="3"/>
  <c r="Q28" i="3"/>
  <c r="Q27" i="2"/>
  <c r="J29" i="8" s="1"/>
  <c r="Q27" i="3"/>
  <c r="R26" i="3"/>
  <c r="E25" i="3"/>
  <c r="T27" i="8" s="1"/>
  <c r="J25" i="3"/>
  <c r="X27" i="8" s="1"/>
  <c r="G25" i="3"/>
  <c r="I25" i="3" s="1"/>
  <c r="B25" i="3"/>
  <c r="D25" i="3" s="1"/>
  <c r="Q23" i="2"/>
  <c r="J25" i="8" s="1"/>
  <c r="R23" i="3"/>
  <c r="Q23" i="3"/>
  <c r="U19" i="2"/>
  <c r="V16" i="2"/>
  <c r="N18" i="8" s="1"/>
  <c r="U15" i="2"/>
  <c r="P13" i="2"/>
  <c r="E36" i="3"/>
  <c r="T38" i="8" s="1"/>
  <c r="J32" i="3"/>
  <c r="X34" i="8" s="1"/>
  <c r="G31" i="3"/>
  <c r="I31" i="3" s="1"/>
  <c r="P29" i="2"/>
  <c r="F28" i="2"/>
  <c r="E28" i="3"/>
  <c r="T30" i="8" s="1"/>
  <c r="J28" i="3"/>
  <c r="X30" i="8" s="1"/>
  <c r="F26" i="2"/>
  <c r="B26" i="3"/>
  <c r="D26" i="3" s="1"/>
  <c r="J26" i="3"/>
  <c r="X28" i="8" s="1"/>
  <c r="F22" i="2"/>
  <c r="E22" i="3"/>
  <c r="T24" i="8" s="1"/>
  <c r="J22" i="3"/>
  <c r="X24" i="8" s="1"/>
  <c r="B22" i="3"/>
  <c r="D22" i="3" s="1"/>
  <c r="Q19" i="2"/>
  <c r="P17" i="2"/>
  <c r="Q16" i="2"/>
  <c r="Q15" i="2"/>
  <c r="E14" i="3"/>
  <c r="T16" i="8" s="1"/>
  <c r="J14" i="3"/>
  <c r="X16" i="8" s="1"/>
  <c r="G14" i="3"/>
  <c r="I14" i="3" s="1"/>
  <c r="R13" i="3"/>
  <c r="Q13" i="3"/>
  <c r="E34" i="3"/>
  <c r="T36" i="8" s="1"/>
  <c r="B28" i="3"/>
  <c r="D28" i="3" s="1"/>
  <c r="Q26" i="3"/>
  <c r="G22" i="3"/>
  <c r="I22" i="3" s="1"/>
  <c r="G27" i="3"/>
  <c r="I27" i="3" s="1"/>
  <c r="E27" i="3"/>
  <c r="T29" i="8" s="1"/>
  <c r="P25" i="2"/>
  <c r="F24" i="2"/>
  <c r="J23" i="3"/>
  <c r="X25" i="8" s="1"/>
  <c r="G23" i="3"/>
  <c r="I23" i="3" s="1"/>
  <c r="P19" i="2"/>
  <c r="F18" i="2"/>
  <c r="B18" i="3"/>
  <c r="D18" i="3" s="1"/>
  <c r="E18" i="3"/>
  <c r="T20" i="8" s="1"/>
  <c r="E17" i="3"/>
  <c r="T19" i="8" s="1"/>
  <c r="J17" i="3"/>
  <c r="X19" i="8" s="1"/>
  <c r="V12" i="2"/>
  <c r="N14" i="8" s="1"/>
  <c r="B27" i="3"/>
  <c r="D27" i="3" s="1"/>
  <c r="B24" i="3"/>
  <c r="D24" i="3" s="1"/>
  <c r="Q12" i="3"/>
  <c r="V25" i="2"/>
  <c r="N27" i="8" s="1"/>
  <c r="V17" i="2"/>
  <c r="N19" i="8" s="1"/>
  <c r="V38" i="2"/>
  <c r="N40" i="8" s="1"/>
  <c r="V36" i="2"/>
  <c r="N38" i="8" s="1"/>
  <c r="V34" i="2"/>
  <c r="N36" i="8" s="1"/>
  <c r="V32" i="2"/>
  <c r="N34" i="8" s="1"/>
  <c r="V31" i="2"/>
  <c r="N33" i="8" s="1"/>
  <c r="P31" i="2"/>
  <c r="V23" i="2"/>
  <c r="N25" i="8" s="1"/>
  <c r="P23" i="2"/>
  <c r="V15" i="2"/>
  <c r="N17" i="8" s="1"/>
  <c r="P15" i="2"/>
  <c r="V39" i="2"/>
  <c r="N41" i="8" s="1"/>
  <c r="U29" i="16" l="1"/>
  <c r="U34" i="16"/>
  <c r="AA9" i="17"/>
  <c r="U14" i="16"/>
  <c r="AA28" i="17"/>
  <c r="U33" i="16"/>
  <c r="U16" i="16"/>
  <c r="U15" i="16"/>
  <c r="M30" i="16"/>
  <c r="M32" i="16"/>
  <c r="U31" i="16"/>
  <c r="AA16" i="17"/>
  <c r="AA13" i="17"/>
  <c r="AA17" i="17"/>
  <c r="AA33" i="17"/>
  <c r="AA29" i="17"/>
  <c r="J18" i="8"/>
  <c r="AB18" i="8" s="1"/>
  <c r="M16" i="3"/>
  <c r="J13" i="8"/>
  <c r="AF37" i="8"/>
  <c r="J21" i="8"/>
  <c r="AB21" i="8" s="1"/>
  <c r="M19" i="3"/>
  <c r="J16" i="8"/>
  <c r="AB16" i="8" s="1"/>
  <c r="M14" i="3"/>
  <c r="J19" i="8"/>
  <c r="AB19" i="8" s="1"/>
  <c r="M17" i="3"/>
  <c r="J17" i="8"/>
  <c r="AB17" i="8" s="1"/>
  <c r="M15" i="3"/>
  <c r="J20" i="8"/>
  <c r="AB20" i="8" s="1"/>
  <c r="M18" i="3"/>
  <c r="J15" i="8"/>
  <c r="AB15" i="8" s="1"/>
  <c r="M13" i="3"/>
  <c r="AA25" i="17"/>
  <c r="AA27" i="17"/>
  <c r="AF36" i="8"/>
  <c r="AA21" i="17"/>
  <c r="AF38" i="8"/>
  <c r="AF20" i="8"/>
  <c r="AB24" i="8"/>
  <c r="AF17" i="8"/>
  <c r="AF25" i="8"/>
  <c r="AF27" i="8"/>
  <c r="AF14" i="8"/>
  <c r="AB26" i="8"/>
  <c r="AF26" i="8"/>
  <c r="AF35" i="8"/>
  <c r="AF23" i="8"/>
  <c r="AF28" i="8"/>
  <c r="AF15" i="8"/>
  <c r="AB40" i="8"/>
  <c r="AF32" i="8"/>
  <c r="AB28" i="8"/>
  <c r="AB31" i="8"/>
  <c r="AF30" i="8"/>
  <c r="AB34" i="8"/>
  <c r="AF33" i="8"/>
  <c r="AF40" i="8"/>
  <c r="AB29" i="8"/>
  <c r="AB35" i="8"/>
  <c r="AF16" i="8"/>
  <c r="AF29" i="8"/>
  <c r="AB22" i="8"/>
  <c r="AB27" i="8"/>
  <c r="AB33" i="8"/>
  <c r="AB30" i="8"/>
  <c r="AF31" i="8"/>
  <c r="AB32" i="8"/>
  <c r="AF34" i="8"/>
  <c r="AF19" i="8"/>
  <c r="AF18" i="8"/>
  <c r="AB25" i="8"/>
  <c r="AF24" i="8"/>
  <c r="AB14" i="8"/>
  <c r="AF22" i="8"/>
  <c r="AF21" i="8"/>
  <c r="AB39" i="8"/>
  <c r="AF39" i="8"/>
  <c r="AB36" i="8"/>
  <c r="AB38" i="8"/>
  <c r="AB23" i="8"/>
  <c r="AA32" i="17"/>
  <c r="AA20" i="17"/>
  <c r="AA14" i="17"/>
  <c r="AA19" i="17"/>
  <c r="AA18" i="17"/>
  <c r="AA12" i="17"/>
  <c r="AA24" i="17"/>
  <c r="AA30" i="17"/>
  <c r="AA15" i="17"/>
  <c r="AA23" i="17"/>
  <c r="AA8" i="17"/>
  <c r="AA11" i="17"/>
  <c r="AA7" i="17"/>
  <c r="AA22" i="17"/>
  <c r="M23" i="3"/>
  <c r="N27" i="3"/>
  <c r="N21" i="3"/>
  <c r="M32" i="3"/>
  <c r="N34" i="3"/>
  <c r="N35" i="3"/>
  <c r="M35" i="3"/>
  <c r="M25" i="3"/>
  <c r="I24" i="3"/>
  <c r="I28" i="3"/>
  <c r="M38" i="3"/>
  <c r="M26" i="3"/>
  <c r="M21" i="3"/>
  <c r="N13" i="3"/>
  <c r="N18" i="3"/>
  <c r="M34" i="3"/>
  <c r="N29" i="3"/>
  <c r="N19" i="3"/>
  <c r="N24" i="3"/>
  <c r="M30" i="3"/>
  <c r="M29" i="3"/>
  <c r="N37" i="3"/>
  <c r="N28" i="3"/>
  <c r="M36" i="3"/>
  <c r="M31" i="3"/>
  <c r="M24" i="3"/>
  <c r="N36" i="3"/>
  <c r="N26" i="3"/>
  <c r="M28" i="3"/>
  <c r="N16" i="3"/>
  <c r="M22" i="3"/>
  <c r="N38" i="3"/>
  <c r="N25" i="3"/>
  <c r="N12" i="3"/>
  <c r="M12" i="3"/>
  <c r="M27" i="3"/>
  <c r="H31" i="26"/>
  <c r="M37" i="3"/>
  <c r="H23" i="26"/>
  <c r="N23" i="3"/>
  <c r="N22" i="3"/>
  <c r="N31" i="3"/>
  <c r="N15" i="3"/>
  <c r="N30" i="3"/>
  <c r="M20" i="3"/>
  <c r="N32" i="3"/>
  <c r="N17" i="3"/>
  <c r="N14" i="3"/>
  <c r="M33" i="3"/>
  <c r="N33" i="3"/>
  <c r="N20" i="3"/>
  <c r="S6" i="16" l="1"/>
  <c r="S5" i="16"/>
  <c r="S40" i="16" l="1"/>
  <c r="S38" i="16"/>
  <c r="S39" i="16"/>
  <c r="S37" i="16"/>
  <c r="S36" i="16"/>
  <c r="G10" i="38" l="1"/>
  <c r="N10" i="2"/>
  <c r="N44" i="2" s="1"/>
  <c r="K10" i="2"/>
  <c r="K44" i="2" s="1"/>
  <c r="K6" i="16" l="1"/>
  <c r="J6" i="16"/>
  <c r="I6" i="16"/>
  <c r="H6" i="16"/>
  <c r="G6" i="16"/>
  <c r="R6" i="16"/>
  <c r="Q6" i="16"/>
  <c r="P6" i="16"/>
  <c r="O6" i="16"/>
  <c r="P5" i="16"/>
  <c r="K5" i="16"/>
  <c r="J5" i="16"/>
  <c r="I5" i="16"/>
  <c r="H5" i="16"/>
  <c r="G5" i="16"/>
  <c r="K6" i="17"/>
  <c r="H6" i="17"/>
  <c r="H5" i="17"/>
  <c r="K5" i="17"/>
  <c r="P40" i="16" l="1"/>
  <c r="P36" i="16"/>
  <c r="P38" i="16"/>
  <c r="P39" i="16"/>
  <c r="P37" i="16"/>
  <c r="G39" i="38" l="1"/>
  <c r="G11" i="38" l="1"/>
  <c r="AH45" i="8"/>
  <c r="G13" i="38"/>
  <c r="G21" i="38"/>
  <c r="G29" i="38"/>
  <c r="G37" i="38"/>
  <c r="G14" i="38"/>
  <c r="G18" i="38"/>
  <c r="G22" i="38"/>
  <c r="G26" i="38"/>
  <c r="G30" i="38"/>
  <c r="G34" i="38"/>
  <c r="G38" i="38"/>
  <c r="G17" i="38"/>
  <c r="G25" i="38"/>
  <c r="G33" i="38"/>
  <c r="G15" i="38"/>
  <c r="G19" i="38"/>
  <c r="G23" i="38"/>
  <c r="G27" i="38"/>
  <c r="G31" i="38"/>
  <c r="G35" i="38"/>
  <c r="G12" i="38"/>
  <c r="G16" i="38"/>
  <c r="G20" i="38"/>
  <c r="G24" i="38"/>
  <c r="G28" i="38"/>
  <c r="G32" i="38"/>
  <c r="G36" i="38"/>
  <c r="C10" i="2"/>
  <c r="G41" i="38" l="1"/>
  <c r="O5" i="24" l="1"/>
  <c r="N5" i="24"/>
  <c r="M5" i="24"/>
  <c r="O6" i="24"/>
  <c r="N6" i="24"/>
  <c r="M6" i="24"/>
  <c r="N38" i="24" l="1"/>
  <c r="M40" i="24"/>
  <c r="O40" i="24"/>
  <c r="M38" i="24"/>
  <c r="N36" i="24"/>
  <c r="M37" i="24"/>
  <c r="N37" i="24"/>
  <c r="M36" i="24"/>
  <c r="N40" i="24"/>
  <c r="O37" i="24"/>
  <c r="O36" i="24"/>
  <c r="O38" i="24"/>
  <c r="F6" i="18"/>
  <c r="F5" i="18"/>
  <c r="V39" i="3" l="1"/>
  <c r="W39" i="3"/>
  <c r="X39" i="3"/>
  <c r="E10" i="2" l="1"/>
  <c r="E44" i="2" l="1"/>
  <c r="E5" i="16"/>
  <c r="B6" i="19" l="1"/>
  <c r="B5" i="19"/>
  <c r="B3" i="8" l="1"/>
  <c r="B2" i="8"/>
  <c r="A9" i="38"/>
  <c r="A8" i="38"/>
  <c r="D4" i="38"/>
  <c r="E3" i="33"/>
  <c r="B8" i="33" s="1"/>
  <c r="B7" i="33" s="1"/>
  <c r="B6" i="33" s="1"/>
  <c r="G17" i="4" l="1"/>
  <c r="F17" i="4"/>
  <c r="E17" i="4"/>
  <c r="D17" i="4"/>
  <c r="C17" i="4"/>
  <c r="G16" i="4"/>
  <c r="F16" i="4"/>
  <c r="E16" i="4"/>
  <c r="D16" i="4"/>
  <c r="C16" i="4"/>
  <c r="G15" i="4"/>
  <c r="F15" i="4"/>
  <c r="E15" i="4"/>
  <c r="D15" i="4"/>
  <c r="C15" i="4"/>
  <c r="G14" i="4"/>
  <c r="F14" i="4"/>
  <c r="E14" i="4"/>
  <c r="D14" i="4"/>
  <c r="C14" i="4"/>
  <c r="G13" i="4"/>
  <c r="F13" i="4"/>
  <c r="E13" i="4"/>
  <c r="D13" i="4"/>
  <c r="C13" i="4"/>
  <c r="G10" i="4"/>
  <c r="F10" i="4"/>
  <c r="E10" i="4"/>
  <c r="D10" i="4"/>
  <c r="C10" i="4"/>
  <c r="G9" i="4"/>
  <c r="F9" i="4"/>
  <c r="E9" i="4"/>
  <c r="D9" i="4"/>
  <c r="C9" i="4"/>
  <c r="G8" i="4"/>
  <c r="F8" i="4"/>
  <c r="E8" i="4"/>
  <c r="D8" i="4"/>
  <c r="C8" i="4"/>
  <c r="G7" i="4"/>
  <c r="F7" i="4"/>
  <c r="E7" i="4"/>
  <c r="D7" i="4"/>
  <c r="C7" i="4"/>
  <c r="G6" i="4"/>
  <c r="F6" i="4"/>
  <c r="E6" i="4"/>
  <c r="D6" i="4"/>
  <c r="C6" i="4"/>
  <c r="I8" i="4" l="1"/>
  <c r="I9" i="4"/>
  <c r="I10" i="4"/>
  <c r="I7" i="4"/>
  <c r="I14" i="4"/>
  <c r="H9" i="4"/>
  <c r="I15" i="4"/>
  <c r="I17" i="4"/>
  <c r="I16" i="4"/>
  <c r="H17" i="4"/>
  <c r="H8" i="4"/>
  <c r="H16" i="4"/>
  <c r="H7" i="4"/>
  <c r="H15" i="4"/>
  <c r="H10" i="4"/>
  <c r="H14" i="4"/>
  <c r="G6" i="35" l="1"/>
  <c r="F6" i="35"/>
  <c r="E6" i="35"/>
  <c r="D6" i="35"/>
  <c r="C6" i="35"/>
  <c r="B6" i="35"/>
  <c r="G5" i="35"/>
  <c r="F5" i="35"/>
  <c r="E5" i="35"/>
  <c r="D5" i="35"/>
  <c r="C5" i="35"/>
  <c r="B5" i="35"/>
  <c r="J2" i="35"/>
  <c r="A4" i="35"/>
  <c r="A3" i="35"/>
  <c r="D39" i="35" l="1"/>
  <c r="E39" i="35"/>
  <c r="B39" i="35"/>
  <c r="F39" i="35"/>
  <c r="C39" i="35"/>
  <c r="G39" i="35"/>
  <c r="D40" i="35"/>
  <c r="G40" i="35"/>
  <c r="C40" i="35"/>
  <c r="E40" i="35"/>
  <c r="F40" i="35"/>
  <c r="B40" i="35"/>
  <c r="D36" i="35"/>
  <c r="B38" i="35"/>
  <c r="F38" i="35"/>
  <c r="E36" i="35"/>
  <c r="C38" i="35"/>
  <c r="G38" i="35"/>
  <c r="B36" i="35"/>
  <c r="F36" i="35"/>
  <c r="D38" i="35"/>
  <c r="C36" i="35"/>
  <c r="G36" i="35"/>
  <c r="E38" i="35"/>
  <c r="A3" i="28"/>
  <c r="A2" i="28"/>
  <c r="A3" i="27"/>
  <c r="A2" i="27"/>
  <c r="A3" i="26"/>
  <c r="A2" i="26"/>
  <c r="A4" i="25"/>
  <c r="A3" i="25"/>
  <c r="A4" i="24"/>
  <c r="A3" i="24"/>
  <c r="A4" i="23"/>
  <c r="A3" i="23"/>
  <c r="A4" i="22"/>
  <c r="A3" i="22"/>
  <c r="A4" i="21"/>
  <c r="A3" i="21"/>
  <c r="A4" i="29"/>
  <c r="A3" i="29"/>
  <c r="A4" i="19"/>
  <c r="A3" i="19"/>
  <c r="A4" i="18"/>
  <c r="A3" i="18"/>
  <c r="A4" i="17"/>
  <c r="A3" i="17"/>
  <c r="K7" i="35" l="1"/>
  <c r="K4" i="3"/>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S44" i="2" s="1"/>
  <c r="L10" i="2"/>
  <c r="L44" i="2" s="1"/>
  <c r="X11" i="3"/>
  <c r="W11" i="3"/>
  <c r="V11" i="3"/>
  <c r="X10" i="3"/>
  <c r="W10" i="3"/>
  <c r="V10" i="3"/>
  <c r="J10" i="2"/>
  <c r="K6" i="25"/>
  <c r="K5" i="25"/>
  <c r="E6" i="25"/>
  <c r="E5" i="25"/>
  <c r="C5" i="26"/>
  <c r="C4" i="26"/>
  <c r="M6" i="23"/>
  <c r="J6" i="23"/>
  <c r="M5" i="23"/>
  <c r="J5" i="23"/>
  <c r="J39" i="22"/>
  <c r="J6" i="22"/>
  <c r="I6" i="22"/>
  <c r="H6" i="22"/>
  <c r="G6" i="22"/>
  <c r="G38" i="22" s="1"/>
  <c r="F6" i="22"/>
  <c r="E6" i="22"/>
  <c r="D6" i="22"/>
  <c r="C6" i="22"/>
  <c r="B6" i="22"/>
  <c r="J5" i="22"/>
  <c r="I5" i="22"/>
  <c r="H5" i="22"/>
  <c r="F5" i="22"/>
  <c r="E5" i="22"/>
  <c r="D5" i="22"/>
  <c r="C5" i="22"/>
  <c r="B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AD12" i="8" l="1"/>
  <c r="Z12" i="8"/>
  <c r="V41" i="3"/>
  <c r="B35" i="25"/>
  <c r="D12" i="8"/>
  <c r="AJ12" i="8"/>
  <c r="E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R11" i="3"/>
  <c r="R10" i="3"/>
  <c r="Q10" i="3"/>
  <c r="V42" i="3"/>
  <c r="U42" i="3"/>
  <c r="D39" i="23"/>
  <c r="U41" i="3"/>
  <c r="B44" i="2"/>
  <c r="B11" i="3"/>
  <c r="B10" i="3"/>
  <c r="Z44" i="8" l="1"/>
  <c r="Z43" i="8"/>
  <c r="AD43" i="8"/>
  <c r="AD44" i="8"/>
  <c r="D43" i="8"/>
  <c r="D44" i="8"/>
  <c r="D45" i="8"/>
  <c r="D46" i="8"/>
  <c r="E46" i="8"/>
  <c r="E44" i="8"/>
  <c r="E43" i="8"/>
  <c r="E45" i="8"/>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N42" i="2"/>
  <c r="E37" i="19"/>
  <c r="L38" i="21"/>
  <c r="Y37" i="21"/>
  <c r="AN9" i="27"/>
  <c r="G38" i="27"/>
  <c r="I38" i="18"/>
  <c r="I6" i="23"/>
  <c r="AF37" i="21"/>
  <c r="AG38" i="21"/>
  <c r="AX38" i="28"/>
  <c r="I5" i="25"/>
  <c r="BN4" i="28"/>
  <c r="M36" i="21"/>
  <c r="M40" i="21" s="1"/>
  <c r="AN18" i="27"/>
  <c r="Q36" i="29"/>
  <c r="Q39" i="29" s="1"/>
  <c r="AN21" i="27"/>
  <c r="U40" i="17"/>
  <c r="Z38" i="28"/>
  <c r="AG35" i="17"/>
  <c r="B38" i="22"/>
  <c r="B38" i="17"/>
  <c r="F10" i="2"/>
  <c r="E43" i="2"/>
  <c r="H38" i="22"/>
  <c r="H40" i="24"/>
  <c r="L36" i="18"/>
  <c r="F39" i="16"/>
  <c r="G36" i="19"/>
  <c r="P6" i="19"/>
  <c r="B6" i="25"/>
  <c r="F37" i="18"/>
  <c r="P5" i="19"/>
  <c r="X37" i="27"/>
  <c r="X35" i="27"/>
  <c r="C41" i="2"/>
  <c r="E37" i="24"/>
  <c r="P37" i="18"/>
  <c r="Q39" i="18"/>
  <c r="L6" i="24"/>
  <c r="R37" i="16"/>
  <c r="J40" i="18"/>
  <c r="G36" i="22"/>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C38" i="22"/>
  <c r="I36" i="22"/>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B36" i="22"/>
  <c r="D38" i="22"/>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E36" i="22"/>
  <c r="E38"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C36" i="22"/>
  <c r="F36" i="22"/>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I38" i="22"/>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H36" i="22"/>
  <c r="D36" i="22"/>
  <c r="J38" i="22"/>
  <c r="F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AK35" i="21" s="1"/>
  <c r="I34" i="26"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N41" i="2"/>
  <c r="L38" i="18"/>
  <c r="C38" i="17"/>
  <c r="L39" i="18"/>
  <c r="W12" i="8" l="1"/>
  <c r="S12" i="8"/>
  <c r="AJ35" i="21"/>
  <c r="R35" i="23"/>
  <c r="D34" i="26"/>
  <c r="G34" i="26" s="1"/>
  <c r="J34" i="26"/>
  <c r="I12" i="8"/>
  <c r="Q12" i="8"/>
  <c r="AI12" i="8"/>
  <c r="M12" i="8"/>
  <c r="AE12" i="8"/>
  <c r="AA12" i="8"/>
  <c r="AK12" i="8"/>
  <c r="F12" i="8"/>
  <c r="G12" i="8"/>
  <c r="U4" i="28"/>
  <c r="Y4" i="28" s="1"/>
  <c r="U5" i="28"/>
  <c r="Y5" i="28" s="1"/>
  <c r="L25" i="23"/>
  <c r="AJ45" i="8"/>
  <c r="B10" i="8"/>
  <c r="C10" i="8" s="1"/>
  <c r="B6" i="8"/>
  <c r="C6" i="8" s="1"/>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B7" i="8"/>
  <c r="C7" i="8" s="1"/>
  <c r="B9" i="8"/>
  <c r="C9" i="8" s="1"/>
  <c r="C12" i="8"/>
  <c r="AL25" i="27"/>
  <c r="B5" i="8"/>
  <c r="C5" i="8" s="1"/>
  <c r="B8" i="8"/>
  <c r="C8" i="8" s="1"/>
  <c r="B11" i="8"/>
  <c r="C11" i="8" s="1"/>
  <c r="B13" i="8"/>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B42" i="3"/>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B41" i="3"/>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B44" i="3"/>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W13" i="8" l="1"/>
  <c r="S13" i="8"/>
  <c r="D24" i="26"/>
  <c r="G24" i="26" s="1"/>
  <c r="R25" i="23"/>
  <c r="F13" i="8"/>
  <c r="M13" i="8"/>
  <c r="Q13" i="8"/>
  <c r="G13" i="8"/>
  <c r="AI13" i="8"/>
  <c r="I13" i="8"/>
  <c r="AA13" i="8"/>
  <c r="AE13" i="8"/>
  <c r="AK13" i="8"/>
  <c r="H10" i="38"/>
  <c r="I10" i="38" s="1"/>
  <c r="C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S14" i="8"/>
  <c r="W14" i="8"/>
  <c r="G14" i="8"/>
  <c r="AI14" i="8"/>
  <c r="Q14" i="8"/>
  <c r="AK14" i="8"/>
  <c r="I14" i="8"/>
  <c r="AE14" i="8"/>
  <c r="F14" i="8"/>
  <c r="M14" i="8"/>
  <c r="AA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4" i="8"/>
  <c r="B15" i="8"/>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W15" i="8" l="1"/>
  <c r="S15" i="8"/>
  <c r="M15" i="8"/>
  <c r="AE15" i="8"/>
  <c r="AK15" i="8"/>
  <c r="AI15" i="8"/>
  <c r="F15" i="8"/>
  <c r="Q15" i="8"/>
  <c r="I15" i="8"/>
  <c r="G15" i="8"/>
  <c r="AA15" i="8"/>
  <c r="S13" i="3" s="1"/>
  <c r="H12" i="38"/>
  <c r="C15" i="8"/>
  <c r="B16" i="8"/>
  <c r="S16" i="8" l="1"/>
  <c r="W16" i="8"/>
  <c r="G16" i="8"/>
  <c r="AI16" i="8"/>
  <c r="F16" i="8"/>
  <c r="M16" i="8"/>
  <c r="Q16" i="8"/>
  <c r="AK16" i="8"/>
  <c r="I16" i="8"/>
  <c r="AE16" i="8"/>
  <c r="AA16" i="8"/>
  <c r="I12" i="38"/>
  <c r="H13" i="38"/>
  <c r="I13" i="38" s="1"/>
  <c r="B17" i="8"/>
  <c r="C16" i="8"/>
  <c r="S17" i="8" l="1"/>
  <c r="W17" i="8"/>
  <c r="Q17" i="8"/>
  <c r="F17" i="8"/>
  <c r="M17" i="8"/>
  <c r="AE17" i="8"/>
  <c r="AK17" i="8"/>
  <c r="I17" i="8"/>
  <c r="G17" i="8"/>
  <c r="AI17" i="8"/>
  <c r="AA17" i="8"/>
  <c r="H14" i="38"/>
  <c r="C17" i="8"/>
  <c r="B18" i="8"/>
  <c r="S18" i="8" l="1"/>
  <c r="W18" i="8"/>
  <c r="AI18" i="8"/>
  <c r="M18" i="8"/>
  <c r="Q18" i="8"/>
  <c r="I18" i="8"/>
  <c r="AA18" i="8"/>
  <c r="AE18" i="8"/>
  <c r="F18" i="8"/>
  <c r="AK18" i="8"/>
  <c r="G18" i="8"/>
  <c r="H15" i="38"/>
  <c r="I15" i="38" s="1"/>
  <c r="I14" i="38"/>
  <c r="B19" i="8"/>
  <c r="C18" i="8"/>
  <c r="S19" i="8" l="1"/>
  <c r="W19" i="8"/>
  <c r="M19" i="8"/>
  <c r="I19" i="8"/>
  <c r="AI19" i="8"/>
  <c r="Q19" i="8"/>
  <c r="F19" i="8"/>
  <c r="AA19" i="8"/>
  <c r="O19" i="8"/>
  <c r="AE19" i="8"/>
  <c r="AK19" i="8"/>
  <c r="G19" i="8"/>
  <c r="K19" i="8"/>
  <c r="H16" i="38"/>
  <c r="B20" i="8"/>
  <c r="C19" i="8"/>
  <c r="W20" i="8" l="1"/>
  <c r="Y20" i="8"/>
  <c r="S20" i="8"/>
  <c r="U20" i="8"/>
  <c r="I20" i="8"/>
  <c r="Q20" i="8"/>
  <c r="M20" i="8"/>
  <c r="AI20" i="8"/>
  <c r="AE20" i="8"/>
  <c r="F20" i="8"/>
  <c r="G20" i="8"/>
  <c r="AA20" i="8"/>
  <c r="AK20" i="8"/>
  <c r="O20" i="8"/>
  <c r="AC20" i="8"/>
  <c r="K20" i="8"/>
  <c r="AG20" i="8"/>
  <c r="H17" i="38"/>
  <c r="I17" i="38" s="1"/>
  <c r="I16" i="38"/>
  <c r="C20" i="8"/>
  <c r="B21" i="8"/>
  <c r="W21" i="8" l="1"/>
  <c r="Y21" i="8"/>
  <c r="S21" i="8"/>
  <c r="U21" i="8"/>
  <c r="Q21" i="8"/>
  <c r="M21" i="8"/>
  <c r="AI21" i="8"/>
  <c r="I21" i="8"/>
  <c r="AA21" i="8"/>
  <c r="O21" i="8"/>
  <c r="AE21" i="8"/>
  <c r="G21" i="8"/>
  <c r="F21" i="8"/>
  <c r="AK21" i="8"/>
  <c r="AG21" i="8"/>
  <c r="AC21" i="8"/>
  <c r="K21" i="8"/>
  <c r="H18" i="38"/>
  <c r="I18" i="38" s="1"/>
  <c r="C21" i="8"/>
  <c r="B22" i="8"/>
  <c r="W22" i="8" l="1"/>
  <c r="Y22" i="8"/>
  <c r="S22" i="8"/>
  <c r="U22" i="8"/>
  <c r="M22" i="8"/>
  <c r="AI22" i="8"/>
  <c r="Q22" i="8"/>
  <c r="I22" i="8"/>
  <c r="AE22" i="8"/>
  <c r="AA22" i="8"/>
  <c r="AK22" i="8"/>
  <c r="O22" i="8"/>
  <c r="G22" i="8"/>
  <c r="F22" i="8"/>
  <c r="K22" i="8"/>
  <c r="AC22" i="8"/>
  <c r="AG22" i="8"/>
  <c r="H19" i="38"/>
  <c r="I19" i="38" s="1"/>
  <c r="C22" i="8"/>
  <c r="B23" i="8"/>
  <c r="W23" i="8" l="1"/>
  <c r="Y23" i="8"/>
  <c r="S23" i="8"/>
  <c r="U23" i="8"/>
  <c r="M23" i="8"/>
  <c r="Q23" i="8"/>
  <c r="I23" i="8"/>
  <c r="AI23" i="8"/>
  <c r="O23" i="8"/>
  <c r="G23" i="8"/>
  <c r="F23" i="8"/>
  <c r="AE23" i="8"/>
  <c r="AA23" i="8"/>
  <c r="AK23" i="8"/>
  <c r="K23" i="8"/>
  <c r="AC23" i="8"/>
  <c r="AG23" i="8"/>
  <c r="H20" i="38"/>
  <c r="I20" i="38" s="1"/>
  <c r="B24" i="8"/>
  <c r="C23" i="8"/>
  <c r="W24" i="8" l="1"/>
  <c r="Y24" i="8"/>
  <c r="S24" i="8"/>
  <c r="U24" i="8"/>
  <c r="AI24" i="8"/>
  <c r="I24" i="8"/>
  <c r="M24" i="8"/>
  <c r="Q24" i="8"/>
  <c r="AE24" i="8"/>
  <c r="F24" i="8"/>
  <c r="G24" i="8"/>
  <c r="AA24" i="8"/>
  <c r="S22" i="3" s="1"/>
  <c r="O24" i="8"/>
  <c r="AK24" i="8"/>
  <c r="K24" i="8"/>
  <c r="AC24" i="8"/>
  <c r="AG24" i="8"/>
  <c r="H21" i="38"/>
  <c r="I21" i="38" s="1"/>
  <c r="B25" i="8"/>
  <c r="C24" i="8"/>
  <c r="W25" i="8" l="1"/>
  <c r="Y25" i="8"/>
  <c r="S25" i="8"/>
  <c r="U25" i="8"/>
  <c r="Q25" i="8"/>
  <c r="I25" i="8"/>
  <c r="AI25" i="8"/>
  <c r="M25" i="8"/>
  <c r="AA25" i="8"/>
  <c r="K25" i="8"/>
  <c r="O25" i="8"/>
  <c r="AK25" i="8"/>
  <c r="AE25" i="8"/>
  <c r="G25" i="8"/>
  <c r="F25" i="8"/>
  <c r="AC25" i="8"/>
  <c r="AG25" i="8"/>
  <c r="H22" i="38"/>
  <c r="I22" i="38" s="1"/>
  <c r="C25" i="8"/>
  <c r="B26" i="8"/>
  <c r="W26" i="8" l="1"/>
  <c r="Y26" i="8"/>
  <c r="S26" i="8"/>
  <c r="U26" i="8"/>
  <c r="AI26" i="8"/>
  <c r="Q26" i="8"/>
  <c r="M26" i="8"/>
  <c r="I26" i="8"/>
  <c r="AE26" i="8"/>
  <c r="AA26" i="8"/>
  <c r="G26" i="8"/>
  <c r="O26" i="8"/>
  <c r="F26" i="8"/>
  <c r="AK26" i="8"/>
  <c r="K26" i="8"/>
  <c r="AG26" i="8"/>
  <c r="AC26" i="8"/>
  <c r="H23" i="38"/>
  <c r="I23" i="38" s="1"/>
  <c r="B27" i="8"/>
  <c r="C26" i="8"/>
  <c r="W27" i="8" l="1"/>
  <c r="Y27" i="8"/>
  <c r="S27" i="8"/>
  <c r="U27" i="8"/>
  <c r="AI27" i="8"/>
  <c r="M27" i="8"/>
  <c r="I27" i="8"/>
  <c r="Q27" i="8"/>
  <c r="AA27" i="8"/>
  <c r="AK27" i="8"/>
  <c r="F27" i="8"/>
  <c r="AE27" i="8"/>
  <c r="G27" i="8"/>
  <c r="O27" i="8"/>
  <c r="K27" i="8"/>
  <c r="AC27" i="8"/>
  <c r="AG27" i="8"/>
  <c r="H24" i="38"/>
  <c r="I24" i="38" s="1"/>
  <c r="C27" i="8"/>
  <c r="B28" i="8"/>
  <c r="W28" i="8" l="1"/>
  <c r="S28" i="8"/>
  <c r="U28" i="8"/>
  <c r="Y28" i="8"/>
  <c r="M28" i="8"/>
  <c r="Q28" i="8"/>
  <c r="AI28" i="8"/>
  <c r="I28" i="8"/>
  <c r="F28" i="8"/>
  <c r="G28" i="8"/>
  <c r="AA28" i="8"/>
  <c r="K28" i="8"/>
  <c r="O28" i="8"/>
  <c r="AE28" i="8"/>
  <c r="AK28" i="8"/>
  <c r="AG28" i="8"/>
  <c r="AC28" i="8"/>
  <c r="H25" i="38"/>
  <c r="I25" i="38" s="1"/>
  <c r="C28" i="8"/>
  <c r="B29" i="8"/>
  <c r="S29" i="8" l="1"/>
  <c r="W29" i="8"/>
  <c r="Y29" i="8"/>
  <c r="U29" i="8"/>
  <c r="I29" i="8"/>
  <c r="M29" i="8"/>
  <c r="Q29" i="8"/>
  <c r="AI29" i="8"/>
  <c r="AE29" i="8"/>
  <c r="O29" i="8"/>
  <c r="G29" i="8"/>
  <c r="K29" i="8"/>
  <c r="F29" i="8"/>
  <c r="AA29" i="8"/>
  <c r="AK29" i="8"/>
  <c r="AG29" i="8"/>
  <c r="AC29" i="8"/>
  <c r="H26" i="38"/>
  <c r="I26" i="38" s="1"/>
  <c r="C29" i="8"/>
  <c r="B30" i="8"/>
  <c r="S30" i="8" l="1"/>
  <c r="W30" i="8"/>
  <c r="U30" i="8"/>
  <c r="Y30" i="8"/>
  <c r="Q30" i="8"/>
  <c r="AI30" i="8"/>
  <c r="I30" i="8"/>
  <c r="M30" i="8"/>
  <c r="K30" i="8"/>
  <c r="G30" i="8"/>
  <c r="AE30" i="8"/>
  <c r="O30" i="8"/>
  <c r="AA30" i="8"/>
  <c r="AK30" i="8"/>
  <c r="F30" i="8"/>
  <c r="AG30" i="8"/>
  <c r="AC30" i="8"/>
  <c r="H27" i="38"/>
  <c r="I27" i="38" s="1"/>
  <c r="B31" i="8"/>
  <c r="C30" i="8"/>
  <c r="S31" i="8" l="1"/>
  <c r="W31" i="8"/>
  <c r="U31" i="8"/>
  <c r="Y31" i="8"/>
  <c r="AI31" i="8"/>
  <c r="I31" i="8"/>
  <c r="M31" i="8"/>
  <c r="Q31" i="8"/>
  <c r="AE31" i="8"/>
  <c r="G31" i="8"/>
  <c r="O31" i="8"/>
  <c r="F31" i="8"/>
  <c r="K31" i="8"/>
  <c r="AA31" i="8"/>
  <c r="AK31" i="8"/>
  <c r="AC31" i="8"/>
  <c r="AG31" i="8"/>
  <c r="C31" i="8"/>
  <c r="H28" i="38"/>
  <c r="I28" i="38" s="1"/>
  <c r="B32" i="8"/>
  <c r="W32" i="8" l="1"/>
  <c r="S32" i="8"/>
  <c r="Y32" i="8"/>
  <c r="U32" i="8"/>
  <c r="M32" i="8"/>
  <c r="AI32" i="8"/>
  <c r="I32" i="8"/>
  <c r="Q32" i="8"/>
  <c r="AA32" i="8"/>
  <c r="F32" i="8"/>
  <c r="AE32" i="8"/>
  <c r="K32" i="8"/>
  <c r="O32" i="8"/>
  <c r="AK32" i="8"/>
  <c r="G32" i="8"/>
  <c r="AG32" i="8"/>
  <c r="AC32" i="8"/>
  <c r="C32" i="8"/>
  <c r="H29" i="38"/>
  <c r="I29" i="38" s="1"/>
  <c r="B33" i="8"/>
  <c r="W33" i="8" l="1"/>
  <c r="S33" i="8"/>
  <c r="Y33" i="8"/>
  <c r="U33" i="8"/>
  <c r="I33" i="8"/>
  <c r="M33" i="8"/>
  <c r="AI33" i="8"/>
  <c r="Q33" i="8"/>
  <c r="O33" i="8"/>
  <c r="AK33" i="8"/>
  <c r="K33" i="8"/>
  <c r="AE33" i="8"/>
  <c r="F33" i="8"/>
  <c r="AA33" i="8"/>
  <c r="G33" i="8"/>
  <c r="AC33" i="8"/>
  <c r="AG33" i="8"/>
  <c r="C33" i="8"/>
  <c r="H30" i="38"/>
  <c r="I30" i="38" s="1"/>
  <c r="B34" i="8"/>
  <c r="AA34" i="8" s="1"/>
  <c r="S34" i="8" l="1"/>
  <c r="W34" i="8"/>
  <c r="Y34" i="8"/>
  <c r="U34" i="8"/>
  <c r="AI34" i="8"/>
  <c r="Q34" i="8"/>
  <c r="I34" i="8"/>
  <c r="M34" i="8"/>
  <c r="F34" i="8"/>
  <c r="G34" i="8"/>
  <c r="AE34" i="8"/>
  <c r="O34" i="8"/>
  <c r="AK34" i="8"/>
  <c r="K34" i="8"/>
  <c r="AG34" i="8"/>
  <c r="AC34" i="8"/>
  <c r="C34" i="8"/>
  <c r="H31" i="38"/>
  <c r="I31" i="38" s="1"/>
  <c r="B35" i="8"/>
  <c r="AA35" i="8" s="1"/>
  <c r="W35" i="8" l="1"/>
  <c r="Y35" i="8"/>
  <c r="S35" i="8"/>
  <c r="U35" i="8"/>
  <c r="I35" i="8"/>
  <c r="AI35" i="8"/>
  <c r="M35" i="8"/>
  <c r="Q35" i="8"/>
  <c r="AE35" i="8"/>
  <c r="G35" i="8"/>
  <c r="AK35" i="8"/>
  <c r="F35" i="8"/>
  <c r="K35" i="8"/>
  <c r="O35" i="8"/>
  <c r="AC35" i="8"/>
  <c r="AG35" i="8"/>
  <c r="C35" i="8"/>
  <c r="B36" i="8"/>
  <c r="AA36" i="8" s="1"/>
  <c r="H32" i="38"/>
  <c r="I32" i="38" s="1"/>
  <c r="W36" i="8" l="1"/>
  <c r="Y36" i="8"/>
  <c r="S36" i="8"/>
  <c r="U36" i="8"/>
  <c r="I36" i="8"/>
  <c r="AI36" i="8"/>
  <c r="Q36" i="8"/>
  <c r="M36" i="8"/>
  <c r="AE36" i="8"/>
  <c r="T34" i="3" s="1"/>
  <c r="K36" i="8"/>
  <c r="F36" i="8"/>
  <c r="S34" i="3"/>
  <c r="G36" i="8"/>
  <c r="O36" i="8"/>
  <c r="AK36" i="8"/>
  <c r="AC36" i="8"/>
  <c r="AG36" i="8"/>
  <c r="C36" i="8"/>
  <c r="B37" i="8"/>
  <c r="AA37" i="8" s="1"/>
  <c r="H33" i="38"/>
  <c r="I33" i="38" s="1"/>
  <c r="W37" i="8" l="1"/>
  <c r="Y37" i="8"/>
  <c r="S37" i="8"/>
  <c r="U37" i="8"/>
  <c r="AI37" i="8"/>
  <c r="M37" i="8"/>
  <c r="Q37" i="8"/>
  <c r="I37" i="8"/>
  <c r="AE37" i="8"/>
  <c r="T35" i="3" s="1"/>
  <c r="AK37" i="8"/>
  <c r="F37" i="8"/>
  <c r="G37" i="8"/>
  <c r="S35" i="3"/>
  <c r="K37" i="8"/>
  <c r="O37" i="8"/>
  <c r="AC37" i="8"/>
  <c r="AG37" i="8"/>
  <c r="C37" i="8"/>
  <c r="B38" i="8"/>
  <c r="AA38" i="8" s="1"/>
  <c r="H34" i="38"/>
  <c r="I34" i="38" s="1"/>
  <c r="W38" i="8" l="1"/>
  <c r="Y38" i="8"/>
  <c r="S38" i="8"/>
  <c r="U38" i="8"/>
  <c r="M38" i="8"/>
  <c r="Q38" i="8"/>
  <c r="AI38" i="8"/>
  <c r="I38" i="8"/>
  <c r="G38" i="8"/>
  <c r="O38" i="8"/>
  <c r="S36" i="3"/>
  <c r="F38" i="8"/>
  <c r="AK38" i="8"/>
  <c r="K38" i="8"/>
  <c r="AE38" i="8"/>
  <c r="T36" i="3" s="1"/>
  <c r="AG38" i="8"/>
  <c r="AC38" i="8"/>
  <c r="C38" i="8"/>
  <c r="B39" i="8"/>
  <c r="AA39" i="8" s="1"/>
  <c r="S37" i="3" s="1"/>
  <c r="H35" i="38"/>
  <c r="I35" i="38" s="1"/>
  <c r="W39" i="8" l="1"/>
  <c r="Y39" i="8"/>
  <c r="S39" i="8"/>
  <c r="U39" i="8"/>
  <c r="M39" i="8"/>
  <c r="AI39" i="8"/>
  <c r="Q39" i="8"/>
  <c r="I39" i="8"/>
  <c r="AK39" i="8"/>
  <c r="G39" i="8"/>
  <c r="K39" i="8"/>
  <c r="AE39" i="8"/>
  <c r="T37" i="3" s="1"/>
  <c r="O39" i="8"/>
  <c r="F39" i="8"/>
  <c r="AC39" i="8"/>
  <c r="AG39" i="8"/>
  <c r="C39" i="8"/>
  <c r="B40" i="8"/>
  <c r="AA40" i="8" s="1"/>
  <c r="H36" i="38"/>
  <c r="I36" i="38" s="1"/>
  <c r="S40" i="8" l="1"/>
  <c r="M40" i="8"/>
  <c r="I40" i="8"/>
  <c r="AI40" i="8"/>
  <c r="K40" i="8"/>
  <c r="AK40" i="8"/>
  <c r="AE40" i="8"/>
  <c r="T38" i="3" s="1"/>
  <c r="O40" i="8"/>
  <c r="AG40" i="8"/>
  <c r="AC40" i="8"/>
  <c r="W40" i="8"/>
  <c r="Y40" i="8"/>
  <c r="U40" i="8"/>
  <c r="Q40" i="8"/>
  <c r="G40" i="8"/>
  <c r="S38" i="3"/>
  <c r="F40" i="8"/>
  <c r="C40" i="8"/>
  <c r="B41" i="8"/>
  <c r="AA41" i="8" s="1"/>
  <c r="H37" i="38"/>
  <c r="I37" i="38" s="1"/>
  <c r="M41" i="8" l="1"/>
  <c r="T39" i="2" s="1"/>
  <c r="I41" i="8"/>
  <c r="O39" i="2" s="1"/>
  <c r="B42" i="8"/>
  <c r="AA42" i="8" s="1"/>
  <c r="AI41" i="8"/>
  <c r="H39" i="38" s="1"/>
  <c r="I39" i="38" s="1"/>
  <c r="K41" i="8"/>
  <c r="R39" i="2" s="1"/>
  <c r="AE41" i="8"/>
  <c r="T39" i="3" s="1"/>
  <c r="S39" i="3"/>
  <c r="AK41" i="8"/>
  <c r="O41" i="8"/>
  <c r="S41" i="8"/>
  <c r="W41" i="8"/>
  <c r="Q41" i="8"/>
  <c r="G41" i="8"/>
  <c r="F41" i="8"/>
  <c r="C41" i="8"/>
  <c r="H38" i="38"/>
  <c r="I38" i="38" s="1"/>
  <c r="Q42" i="8" l="1"/>
  <c r="M42" i="8"/>
  <c r="T40" i="2" s="1"/>
  <c r="I42" i="8"/>
  <c r="O40" i="2" s="1"/>
  <c r="AI42" i="8"/>
  <c r="H40" i="38" s="1"/>
  <c r="AE42" i="8"/>
  <c r="T40" i="3" s="1"/>
  <c r="AK42" i="8"/>
  <c r="O42" i="8"/>
  <c r="S40" i="3"/>
  <c r="K42" i="8"/>
  <c r="C40" i="3"/>
  <c r="H40" i="3"/>
  <c r="I40" i="38" l="1"/>
  <c r="S44" i="8"/>
  <c r="S43" i="8"/>
  <c r="W43" i="8"/>
  <c r="W44" i="8"/>
  <c r="AA43" i="8"/>
  <c r="AA44" i="8"/>
  <c r="F45" i="8"/>
  <c r="F46" i="8"/>
  <c r="F44" i="8"/>
  <c r="F43" i="8"/>
  <c r="G44" i="8"/>
  <c r="G46" i="8"/>
  <c r="G43" i="8"/>
  <c r="G45" i="8"/>
  <c r="I43" i="8"/>
  <c r="I44" i="8"/>
  <c r="M44" i="8"/>
  <c r="M43" i="8"/>
  <c r="AI45" i="8"/>
  <c r="AI43" i="8"/>
  <c r="AI44" i="8"/>
  <c r="AE43" i="8"/>
  <c r="AE44" i="8"/>
  <c r="AK45" i="8"/>
  <c r="AK43" i="8"/>
  <c r="AK44" i="8"/>
  <c r="Q43" i="8"/>
  <c r="Q44" i="8"/>
  <c r="H44" i="38" l="1"/>
  <c r="H41" i="38"/>
  <c r="I44" i="38" l="1"/>
  <c r="I41" i="38"/>
  <c r="I42" i="38"/>
  <c r="R40" i="2" l="1"/>
  <c r="U6" i="16"/>
  <c r="G11" i="3"/>
  <c r="J11" i="3"/>
  <c r="X13" i="8" s="1"/>
  <c r="W40" i="2"/>
  <c r="U5" i="16"/>
  <c r="J10" i="3"/>
  <c r="X12" i="8" s="1"/>
  <c r="Y12" i="8" s="1"/>
  <c r="G10" i="3"/>
  <c r="E10" i="3"/>
  <c r="T12" i="8" s="1"/>
  <c r="U12" i="8" s="1"/>
  <c r="M5" i="16"/>
  <c r="M6" i="16"/>
  <c r="E11" i="3"/>
  <c r="T13" i="8" l="1"/>
  <c r="U15" i="8" s="1"/>
  <c r="M11" i="3"/>
  <c r="Y17" i="8"/>
  <c r="Y13" i="8"/>
  <c r="Y18" i="8"/>
  <c r="Y16" i="8"/>
  <c r="Y14" i="8"/>
  <c r="Y15" i="8"/>
  <c r="Y19" i="8"/>
  <c r="AF13" i="8"/>
  <c r="AG19" i="8" s="1"/>
  <c r="C23" i="3"/>
  <c r="C22" i="3"/>
  <c r="C18" i="3"/>
  <c r="C17" i="3"/>
  <c r="C19" i="3"/>
  <c r="H14" i="3"/>
  <c r="H11" i="3"/>
  <c r="H16" i="3"/>
  <c r="H12" i="3"/>
  <c r="H13" i="3"/>
  <c r="H18" i="3"/>
  <c r="H17" i="3"/>
  <c r="C21" i="3"/>
  <c r="C14" i="3"/>
  <c r="C15" i="3"/>
  <c r="C16" i="3"/>
  <c r="C11" i="3"/>
  <c r="C12" i="3"/>
  <c r="C13" i="3"/>
  <c r="H19" i="3"/>
  <c r="C20" i="3"/>
  <c r="H35" i="3"/>
  <c r="H37" i="3"/>
  <c r="C35" i="3"/>
  <c r="H36" i="3"/>
  <c r="C37" i="3"/>
  <c r="C36" i="3"/>
  <c r="H20" i="3"/>
  <c r="H15" i="3"/>
  <c r="H38" i="3"/>
  <c r="U16" i="8" l="1"/>
  <c r="F14" i="3" s="1"/>
  <c r="U14" i="8"/>
  <c r="F12" i="3" s="1"/>
  <c r="AB13" i="8"/>
  <c r="AC19" i="8" s="1"/>
  <c r="U18" i="8"/>
  <c r="F16" i="3" s="1"/>
  <c r="U17" i="8"/>
  <c r="F15" i="3" s="1"/>
  <c r="U13" i="8"/>
  <c r="F11" i="3" s="1"/>
  <c r="U19" i="8"/>
  <c r="F17" i="3" s="1"/>
  <c r="F22" i="3"/>
  <c r="K20" i="3"/>
  <c r="K35" i="3"/>
  <c r="K17" i="3"/>
  <c r="F35" i="3"/>
  <c r="K19" i="3"/>
  <c r="F13" i="3"/>
  <c r="K18" i="3"/>
  <c r="F18" i="3"/>
  <c r="F36" i="3"/>
  <c r="K36" i="3"/>
  <c r="K14" i="3"/>
  <c r="K11" i="3"/>
  <c r="K15" i="3"/>
  <c r="K12" i="3"/>
  <c r="K16" i="3"/>
  <c r="K13" i="3"/>
  <c r="F21" i="3"/>
  <c r="F20" i="3"/>
  <c r="F37" i="3"/>
  <c r="K38" i="3"/>
  <c r="F19" i="3"/>
  <c r="K37" i="3"/>
  <c r="W39" i="2"/>
  <c r="H10" i="3"/>
  <c r="F23" i="3"/>
  <c r="C10" i="3"/>
  <c r="K10" i="3" l="1"/>
  <c r="F10" i="3"/>
  <c r="O20" i="2" l="1"/>
  <c r="O25" i="2"/>
  <c r="O21" i="2"/>
  <c r="O24" i="2"/>
  <c r="O22" i="2"/>
  <c r="O23" i="2"/>
  <c r="R21" i="2" l="1"/>
  <c r="R22" i="2"/>
  <c r="R23" i="2"/>
  <c r="R24" i="2"/>
  <c r="R25" i="2"/>
  <c r="R20" i="2"/>
  <c r="S23" i="3"/>
  <c r="L6" i="17"/>
  <c r="S21" i="3"/>
  <c r="S20" i="3"/>
  <c r="F5" i="19"/>
  <c r="F6" i="19"/>
  <c r="K5" i="18"/>
  <c r="K6" i="18"/>
  <c r="P45" i="8" l="1"/>
  <c r="O22" i="3"/>
  <c r="O20" i="3"/>
  <c r="O21" i="3"/>
  <c r="Y6" i="16"/>
  <c r="T6" i="16"/>
  <c r="Z6" i="16"/>
  <c r="I11" i="3"/>
  <c r="Y5" i="16"/>
  <c r="T5" i="16"/>
  <c r="Z5" i="16"/>
  <c r="I10" i="3"/>
  <c r="V6" i="16"/>
  <c r="V5" i="16"/>
  <c r="V10" i="2"/>
  <c r="N12" i="8" s="1"/>
  <c r="U10" i="2"/>
  <c r="K36" i="18"/>
  <c r="K37" i="18"/>
  <c r="K40" i="18"/>
  <c r="K38" i="18"/>
  <c r="F37" i="19"/>
  <c r="F40" i="19"/>
  <c r="F38" i="19"/>
  <c r="F36" i="19"/>
  <c r="L6" i="16"/>
  <c r="D11" i="3"/>
  <c r="D10" i="3"/>
  <c r="N6" i="16"/>
  <c r="Q10" i="2"/>
  <c r="J12" i="8" s="1"/>
  <c r="P10" i="2"/>
  <c r="O23" i="3"/>
  <c r="W6" i="16"/>
  <c r="W5" i="16"/>
  <c r="I40" i="16"/>
  <c r="Q40" i="16"/>
  <c r="V44" i="3"/>
  <c r="U44" i="3"/>
  <c r="AF12" i="8" l="1"/>
  <c r="AG12" i="8" s="1"/>
  <c r="O12" i="8"/>
  <c r="AB12" i="8"/>
  <c r="AC12" i="8" s="1"/>
  <c r="K12" i="8"/>
  <c r="N43" i="8"/>
  <c r="N44" i="8"/>
  <c r="O18" i="8"/>
  <c r="O13" i="8"/>
  <c r="O14" i="8"/>
  <c r="O15" i="8"/>
  <c r="O16" i="8"/>
  <c r="O17" i="8"/>
  <c r="J44" i="8"/>
  <c r="J43" i="8"/>
  <c r="K18" i="8"/>
  <c r="K13" i="8"/>
  <c r="K14" i="8"/>
  <c r="K15" i="8"/>
  <c r="K16" i="8"/>
  <c r="K17" i="8"/>
  <c r="C32" i="3"/>
  <c r="H29" i="3"/>
  <c r="H32" i="3"/>
  <c r="O38" i="2"/>
  <c r="H28" i="3"/>
  <c r="Q45" i="8"/>
  <c r="H45" i="8"/>
  <c r="C31" i="3"/>
  <c r="C30" i="3"/>
  <c r="C28" i="3"/>
  <c r="C29" i="3"/>
  <c r="R45" i="8"/>
  <c r="C25" i="3"/>
  <c r="C27" i="3"/>
  <c r="H27" i="3"/>
  <c r="V45" i="8"/>
  <c r="H26" i="3"/>
  <c r="H22" i="3"/>
  <c r="H24" i="3"/>
  <c r="H25" i="3"/>
  <c r="H23" i="3"/>
  <c r="H31" i="3"/>
  <c r="O19" i="2"/>
  <c r="L45" i="8"/>
  <c r="H30" i="3"/>
  <c r="O37" i="2"/>
  <c r="T23" i="2"/>
  <c r="T36" i="2"/>
  <c r="T30" i="2"/>
  <c r="O34" i="2"/>
  <c r="O32" i="2"/>
  <c r="O26" i="2"/>
  <c r="O30" i="2"/>
  <c r="O28" i="2"/>
  <c r="O31" i="2"/>
  <c r="O29" i="2"/>
  <c r="O27" i="2"/>
  <c r="T22" i="2"/>
  <c r="T21" i="2"/>
  <c r="T27" i="2"/>
  <c r="T25" i="2"/>
  <c r="T24" i="2"/>
  <c r="T26" i="2"/>
  <c r="T18" i="2"/>
  <c r="T34" i="2"/>
  <c r="O13" i="2"/>
  <c r="O14" i="2"/>
  <c r="O12" i="2"/>
  <c r="O15" i="2"/>
  <c r="O16" i="2"/>
  <c r="O11" i="2"/>
  <c r="T31" i="2"/>
  <c r="T37" i="2"/>
  <c r="T17" i="2"/>
  <c r="T28" i="2"/>
  <c r="T29" i="2"/>
  <c r="O17" i="2"/>
  <c r="O33" i="2"/>
  <c r="O18" i="2"/>
  <c r="O36" i="2"/>
  <c r="O35" i="2"/>
  <c r="T14" i="2"/>
  <c r="T11" i="2"/>
  <c r="T15" i="2"/>
  <c r="T12" i="2"/>
  <c r="T13" i="2"/>
  <c r="T16" i="2"/>
  <c r="T20" i="2"/>
  <c r="T35" i="2"/>
  <c r="T19" i="2"/>
  <c r="T32" i="2"/>
  <c r="T33" i="2"/>
  <c r="C34" i="3"/>
  <c r="H34" i="3"/>
  <c r="C33" i="3"/>
  <c r="Z37" i="16"/>
  <c r="Z38" i="16"/>
  <c r="Z36" i="16"/>
  <c r="T38" i="16"/>
  <c r="T40" i="16"/>
  <c r="T36" i="16"/>
  <c r="T37" i="16"/>
  <c r="T39" i="16"/>
  <c r="Y38" i="16"/>
  <c r="Y40" i="16"/>
  <c r="Y36" i="16"/>
  <c r="Y37" i="16"/>
  <c r="O40" i="16"/>
  <c r="H33" i="3"/>
  <c r="H21" i="3"/>
  <c r="T38" i="2"/>
  <c r="N10" i="3"/>
  <c r="V44" i="2"/>
  <c r="V43" i="2"/>
  <c r="V41" i="2"/>
  <c r="V42" i="2"/>
  <c r="N11" i="3"/>
  <c r="H40" i="17"/>
  <c r="R40" i="16"/>
  <c r="H37" i="17"/>
  <c r="H36" i="17"/>
  <c r="H38" i="17"/>
  <c r="U42" i="2"/>
  <c r="U41" i="2"/>
  <c r="V39" i="16"/>
  <c r="V40" i="16"/>
  <c r="V36" i="16"/>
  <c r="V38" i="16"/>
  <c r="V37" i="16"/>
  <c r="L5" i="16"/>
  <c r="G38" i="16"/>
  <c r="G37" i="16"/>
  <c r="G36" i="16"/>
  <c r="X6" i="16"/>
  <c r="C26" i="3"/>
  <c r="K37" i="17"/>
  <c r="L5" i="17"/>
  <c r="K36" i="17"/>
  <c r="K38" i="17"/>
  <c r="Q42" i="2"/>
  <c r="M10" i="3"/>
  <c r="Q41" i="2"/>
  <c r="Q43" i="2"/>
  <c r="Q44" i="2"/>
  <c r="L40" i="17"/>
  <c r="K40" i="16"/>
  <c r="K40" i="17"/>
  <c r="M40" i="17"/>
  <c r="N40" i="17"/>
  <c r="X5" i="16"/>
  <c r="K38" i="16"/>
  <c r="K37" i="16"/>
  <c r="N5" i="16"/>
  <c r="K36" i="16"/>
  <c r="I36" i="16"/>
  <c r="I38" i="16"/>
  <c r="I37" i="16"/>
  <c r="AG18" i="8" l="1"/>
  <c r="AG13" i="8"/>
  <c r="AG14" i="8"/>
  <c r="AG15" i="8"/>
  <c r="AG16" i="8"/>
  <c r="AG17" i="8"/>
  <c r="K44" i="8"/>
  <c r="K43" i="8"/>
  <c r="AC18" i="8"/>
  <c r="AC13" i="8"/>
  <c r="AC14" i="8"/>
  <c r="AC15" i="8"/>
  <c r="AC16" i="8"/>
  <c r="AC17" i="8"/>
  <c r="O44" i="8"/>
  <c r="O43" i="8"/>
  <c r="T24" i="3"/>
  <c r="T32" i="3"/>
  <c r="T30" i="3"/>
  <c r="T22" i="3"/>
  <c r="T20" i="3"/>
  <c r="I45" i="8"/>
  <c r="J45" i="8"/>
  <c r="T23" i="3"/>
  <c r="T33" i="3"/>
  <c r="N45" i="8"/>
  <c r="W45" i="8"/>
  <c r="S45" i="8"/>
  <c r="AD45" i="8"/>
  <c r="T12" i="3"/>
  <c r="T15" i="3"/>
  <c r="T13" i="3"/>
  <c r="T26" i="3"/>
  <c r="W37" i="2"/>
  <c r="M45" i="8"/>
  <c r="S33" i="3"/>
  <c r="C24" i="3"/>
  <c r="T21" i="3"/>
  <c r="T19" i="3"/>
  <c r="T27" i="3"/>
  <c r="T29" i="3"/>
  <c r="S19" i="3"/>
  <c r="S17" i="3"/>
  <c r="Z45" i="8"/>
  <c r="S16" i="3"/>
  <c r="S12" i="3"/>
  <c r="S15" i="3"/>
  <c r="S14" i="3"/>
  <c r="S32" i="3"/>
  <c r="W30" i="2"/>
  <c r="W18" i="2"/>
  <c r="K30" i="3"/>
  <c r="K31" i="3"/>
  <c r="R36" i="2"/>
  <c r="R37" i="2"/>
  <c r="W17" i="2"/>
  <c r="W35" i="2"/>
  <c r="R38" i="2"/>
  <c r="R14" i="2"/>
  <c r="R12" i="2"/>
  <c r="R11" i="2"/>
  <c r="R15" i="2"/>
  <c r="R16" i="2"/>
  <c r="R13" i="2"/>
  <c r="R34" i="2"/>
  <c r="W34" i="2"/>
  <c r="R18" i="2"/>
  <c r="R35" i="2"/>
  <c r="F30" i="3"/>
  <c r="F27" i="3"/>
  <c r="F26" i="3"/>
  <c r="F29" i="3"/>
  <c r="F28" i="3"/>
  <c r="F24" i="3"/>
  <c r="F25" i="3"/>
  <c r="W24" i="2"/>
  <c r="W33" i="2"/>
  <c r="W27" i="2"/>
  <c r="W32" i="2"/>
  <c r="W21" i="2"/>
  <c r="W25" i="2"/>
  <c r="K27" i="3"/>
  <c r="K26" i="3"/>
  <c r="K22" i="3"/>
  <c r="K25" i="3"/>
  <c r="K23" i="3"/>
  <c r="K24" i="3"/>
  <c r="F33" i="3"/>
  <c r="K32" i="3"/>
  <c r="R17" i="2"/>
  <c r="F31" i="3"/>
  <c r="W29" i="2"/>
  <c r="W23" i="2"/>
  <c r="F32" i="3"/>
  <c r="R32" i="2"/>
  <c r="R31" i="2"/>
  <c r="R27" i="2"/>
  <c r="R29" i="2"/>
  <c r="R26" i="2"/>
  <c r="R30" i="2"/>
  <c r="R28" i="2"/>
  <c r="R33" i="2"/>
  <c r="R19" i="2"/>
  <c r="O19" i="3"/>
  <c r="W36" i="2"/>
  <c r="W28" i="2"/>
  <c r="W20" i="2"/>
  <c r="W26" i="2"/>
  <c r="W19" i="2"/>
  <c r="W31" i="2"/>
  <c r="W16" i="2"/>
  <c r="W12" i="2"/>
  <c r="W15" i="2"/>
  <c r="W11" i="2"/>
  <c r="W14" i="2"/>
  <c r="W13" i="2"/>
  <c r="W22" i="2"/>
  <c r="K33" i="3"/>
  <c r="K29" i="3"/>
  <c r="K28" i="3"/>
  <c r="K34" i="3"/>
  <c r="F34" i="3"/>
  <c r="W38" i="2"/>
  <c r="U44" i="2"/>
  <c r="T31" i="3"/>
  <c r="T25" i="3"/>
  <c r="T28" i="3"/>
  <c r="T10" i="2"/>
  <c r="T18" i="3"/>
  <c r="T16" i="3"/>
  <c r="T14" i="3"/>
  <c r="T11" i="3"/>
  <c r="T17" i="3"/>
  <c r="L40" i="16"/>
  <c r="L38" i="16"/>
  <c r="L39" i="16"/>
  <c r="L37" i="16"/>
  <c r="L36" i="16"/>
  <c r="S30" i="3"/>
  <c r="S27" i="3"/>
  <c r="S26" i="3"/>
  <c r="S25" i="3"/>
  <c r="S29" i="3"/>
  <c r="S28" i="3"/>
  <c r="S24" i="3"/>
  <c r="S31" i="3"/>
  <c r="X37" i="16"/>
  <c r="X36" i="16"/>
  <c r="X38" i="16"/>
  <c r="S18" i="3"/>
  <c r="O10" i="2"/>
  <c r="L38" i="17"/>
  <c r="L37" i="17"/>
  <c r="L36" i="17"/>
  <c r="L39" i="17"/>
  <c r="N36" i="16"/>
  <c r="N37" i="16"/>
  <c r="N38" i="16"/>
  <c r="N40" i="16"/>
  <c r="N39" i="16"/>
  <c r="S11" i="3"/>
  <c r="P37" i="3" l="1"/>
  <c r="AE45" i="8"/>
  <c r="K21" i="3"/>
  <c r="W10" i="2"/>
  <c r="O45" i="8"/>
  <c r="R10" i="2"/>
  <c r="K45" i="8"/>
  <c r="AA45" i="8"/>
  <c r="O35" i="3"/>
  <c r="O17" i="3"/>
  <c r="P33" i="3"/>
  <c r="P13" i="3"/>
  <c r="P14" i="3"/>
  <c r="P11" i="3"/>
  <c r="P15" i="3"/>
  <c r="P12" i="3"/>
  <c r="P16" i="3"/>
  <c r="P27" i="3"/>
  <c r="P25" i="3"/>
  <c r="P29" i="3"/>
  <c r="O30" i="3"/>
  <c r="O24" i="3"/>
  <c r="O25" i="3"/>
  <c r="O27" i="3"/>
  <c r="O29" i="3"/>
  <c r="O26" i="3"/>
  <c r="O28" i="3"/>
  <c r="P30" i="3"/>
  <c r="P20" i="3"/>
  <c r="P21" i="3"/>
  <c r="O32" i="3"/>
  <c r="O12" i="3"/>
  <c r="O16" i="3"/>
  <c r="O11" i="3"/>
  <c r="O15" i="3"/>
  <c r="O14" i="3"/>
  <c r="O13" i="3"/>
  <c r="O37" i="3"/>
  <c r="P26" i="3"/>
  <c r="P19" i="3"/>
  <c r="P23" i="3"/>
  <c r="P34" i="3"/>
  <c r="P36" i="3"/>
  <c r="O33" i="3"/>
  <c r="O31" i="3"/>
  <c r="O18" i="3"/>
  <c r="O34" i="3"/>
  <c r="P22" i="3"/>
  <c r="P18" i="3"/>
  <c r="P28" i="3"/>
  <c r="P32" i="3"/>
  <c r="P31" i="3"/>
  <c r="P24" i="3"/>
  <c r="P17" i="3"/>
  <c r="P35" i="3"/>
  <c r="O36" i="3"/>
  <c r="P38" i="3"/>
  <c r="T41" i="2"/>
  <c r="Z40" i="16"/>
  <c r="O41" i="2"/>
  <c r="W41" i="2"/>
  <c r="T10" i="3"/>
  <c r="D36" i="17"/>
  <c r="D40" i="17"/>
  <c r="D38" i="17"/>
  <c r="D37" i="17"/>
  <c r="S10" i="3"/>
  <c r="R41" i="2"/>
  <c r="P10" i="3" l="1"/>
  <c r="O10" i="3"/>
  <c r="C38" i="3" l="1"/>
  <c r="F38" i="3" l="1"/>
  <c r="O38" i="3" l="1"/>
  <c r="R39" i="3" l="1"/>
  <c r="J39" i="3"/>
  <c r="G39" i="3"/>
  <c r="X41" i="8" l="1"/>
  <c r="K40" i="3" s="1"/>
  <c r="U37" i="16"/>
  <c r="U36" i="16"/>
  <c r="U40" i="16"/>
  <c r="U39" i="16"/>
  <c r="U38" i="16"/>
  <c r="N39" i="3"/>
  <c r="J43" i="3"/>
  <c r="J44" i="3"/>
  <c r="J42" i="3"/>
  <c r="J41" i="3"/>
  <c r="I39" i="3"/>
  <c r="G44" i="3"/>
  <c r="G41" i="3"/>
  <c r="G42" i="3"/>
  <c r="R44" i="3"/>
  <c r="R41" i="3"/>
  <c r="R42" i="3"/>
  <c r="AF41" i="8" l="1"/>
  <c r="Y41" i="8"/>
  <c r="Y44" i="8" s="1"/>
  <c r="X44" i="8"/>
  <c r="X43" i="8"/>
  <c r="X45" i="8"/>
  <c r="T41" i="3"/>
  <c r="I44" i="3"/>
  <c r="N41" i="3"/>
  <c r="N43" i="3"/>
  <c r="N42" i="3"/>
  <c r="N44" i="3"/>
  <c r="I41" i="3"/>
  <c r="I42" i="3"/>
  <c r="H39" i="3"/>
  <c r="AG41" i="8" l="1"/>
  <c r="AG42" i="8"/>
  <c r="Y43" i="8"/>
  <c r="Y45" i="8"/>
  <c r="AF43" i="8"/>
  <c r="AF44" i="8"/>
  <c r="AF45" i="8"/>
  <c r="H41" i="3"/>
  <c r="K39" i="3"/>
  <c r="AG44" i="8" l="1"/>
  <c r="P40" i="3"/>
  <c r="AG43" i="8"/>
  <c r="AG45" i="8"/>
  <c r="P39" i="3"/>
  <c r="K41" i="3"/>
  <c r="K44" i="3"/>
  <c r="P41" i="3" l="1"/>
  <c r="W36" i="16"/>
  <c r="W40" i="16"/>
  <c r="W37" i="16"/>
  <c r="W38" i="16"/>
  <c r="K42" i="2"/>
  <c r="K41" i="2"/>
  <c r="P41" i="2" l="1"/>
  <c r="P42" i="2"/>
  <c r="Q39" i="3" l="1"/>
  <c r="E39" i="3"/>
  <c r="D39" i="3"/>
  <c r="T41" i="8" l="1"/>
  <c r="T45" i="8" s="1"/>
  <c r="M37" i="16"/>
  <c r="M39" i="16"/>
  <c r="M38" i="16"/>
  <c r="M36" i="16"/>
  <c r="M40" i="16"/>
  <c r="G40" i="16"/>
  <c r="D42" i="3"/>
  <c r="D41" i="3"/>
  <c r="E43" i="3"/>
  <c r="E42" i="3"/>
  <c r="E44" i="3"/>
  <c r="E41" i="3"/>
  <c r="M39" i="3"/>
  <c r="Q44" i="3"/>
  <c r="Q41" i="3"/>
  <c r="Q42" i="3"/>
  <c r="F40" i="3" l="1"/>
  <c r="AB41" i="8"/>
  <c r="U41" i="8"/>
  <c r="T44" i="8"/>
  <c r="T43" i="8"/>
  <c r="D44" i="3"/>
  <c r="P44" i="2"/>
  <c r="C39" i="3"/>
  <c r="M41" i="3"/>
  <c r="M43" i="3"/>
  <c r="M42" i="3"/>
  <c r="M44" i="3"/>
  <c r="AC41" i="8" l="1"/>
  <c r="AC42" i="8"/>
  <c r="O40" i="3" s="1"/>
  <c r="U45" i="8"/>
  <c r="U43" i="8"/>
  <c r="U44" i="8"/>
  <c r="AB43" i="8"/>
  <c r="AB44" i="8"/>
  <c r="AB45" i="8"/>
  <c r="S41" i="3"/>
  <c r="C41" i="3"/>
  <c r="X40" i="16"/>
  <c r="F39" i="3"/>
  <c r="AC45" i="8" l="1"/>
  <c r="AC43" i="8"/>
  <c r="AC44" i="8"/>
  <c r="O39" i="3"/>
  <c r="F41" i="3"/>
  <c r="F44" i="3"/>
  <c r="O41" i="3" l="1"/>
  <c r="K39" i="22" l="1"/>
  <c r="K40" i="22"/>
  <c r="J40" i="22" l="1"/>
  <c r="E40" i="22" l="1"/>
  <c r="H40" i="22"/>
  <c r="C40" i="22"/>
  <c r="F40" i="22"/>
  <c r="I40" i="22"/>
  <c r="B40" i="22"/>
  <c r="D40" i="22"/>
  <c r="G40" i="22"/>
  <c r="I39" i="22" l="1"/>
  <c r="O9" i="22" s="1"/>
  <c r="H39" i="22"/>
  <c r="O13" i="22" s="1"/>
  <c r="G39" i="22"/>
  <c r="O12" i="22" s="1"/>
  <c r="C39" i="22" l="1"/>
  <c r="E39" i="22"/>
  <c r="B39" i="22"/>
  <c r="D39" i="22"/>
  <c r="F39" i="22"/>
  <c r="O11" i="22" l="1"/>
  <c r="O10" i="22"/>
  <c r="O6" i="22"/>
  <c r="P12" i="22" s="1"/>
  <c r="P11" i="22" l="1"/>
  <c r="K6" i="35"/>
  <c r="L7" i="35" s="1"/>
  <c r="P10" i="22"/>
  <c r="P9" i="22"/>
  <c r="P13" i="22"/>
  <c r="L11" i="3" l="1"/>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10" i="2"/>
  <c r="M41" i="2" l="1"/>
  <c r="M42" i="2"/>
  <c r="M44" i="2"/>
  <c r="L41" i="3"/>
  <c r="L44" i="3"/>
</calcChain>
</file>

<file path=xl/sharedStrings.xml><?xml version="1.0" encoding="utf-8"?>
<sst xmlns="http://schemas.openxmlformats.org/spreadsheetml/2006/main" count="1867" uniqueCount="826">
  <si>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</si>
  <si>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</si>
  <si>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</si>
  <si>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</si>
  <si>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</si>
  <si>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</si>
  <si>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</si>
  <si>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</si>
  <si>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</si>
  <si>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</si>
  <si>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</si>
  <si>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</si>
  <si>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</si>
  <si>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</si>
  <si>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</si>
  <si>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</si>
  <si>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</si>
  <si>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</si>
  <si>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</si>
  <si>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</si>
  <si>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</si>
  <si>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</si>
  <si>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</si>
  <si>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</si>
  <si>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</si>
  <si>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</si>
  <si>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</si>
  <si>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</si>
  <si>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</si>
  <si>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</si>
  <si>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</si>
  <si>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</si>
  <si>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</si>
  <si>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</si>
  <si>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</si>
  <si>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</si>
  <si>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</si>
  <si>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</si>
  <si>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</si>
  <si>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</si>
  <si>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</si>
  <si>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</si>
  <si>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</si>
  <si>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</si>
  <si>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</si>
  <si>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</si>
  <si>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</si>
  <si>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</si>
  <si>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</si>
  <si>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</si>
  <si>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</si>
  <si>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</si>
  <si>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</si>
  <si>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</si>
  <si>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</si>
  <si>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</si>
  <si>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</si>
  <si>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</si>
  <si>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</si>
  <si>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</si>
  <si>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</si>
  <si>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</si>
  <si>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</si>
  <si>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</si>
  <si>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</si>
  <si>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</si>
  <si>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</si>
  <si>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</si>
  <si>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</si>
  <si>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</si>
  <si>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</si>
  <si>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</si>
  <si>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</si>
  <si>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</si>
  <si>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</si>
  <si>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</si>
  <si>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</si>
  <si>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</si>
  <si>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</si>
  <si>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</si>
  <si>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</si>
  <si>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</si>
  <si>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</si>
  <si>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</si>
  <si>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</si>
  <si>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</si>
  <si>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</si>
  <si>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</si>
  <si>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</si>
  <si>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</si>
  <si>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</si>
  <si>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</si>
  <si>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</si>
  <si>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</si>
  <si>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</si>
  <si>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</si>
  <si>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</si>
  <si>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</si>
  <si>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</si>
  <si>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</si>
  <si>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</si>
  <si>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</si>
  <si>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</si>
  <si>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</si>
  <si>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</si>
  <si>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</si>
  <si>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</si>
  <si>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</si>
  <si>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</si>
  <si>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</si>
  <si>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</si>
  <si>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</si>
  <si>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</si>
  <si>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</si>
  <si>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</si>
  <si>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</si>
  <si>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</si>
  <si>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</si>
  <si>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</si>
  <si>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</si>
  <si>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</si>
  <si>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</si>
  <si>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</si>
  <si>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</si>
  <si>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</si>
  <si>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</si>
  <si>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</si>
  <si>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</si>
  <si>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</si>
  <si>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</si>
  <si>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</si>
  <si>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</si>
  <si>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</si>
  <si>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</si>
  <si>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</si>
  <si>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</si>
  <si>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</si>
  <si>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</si>
  <si>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</si>
  <si>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</si>
  <si>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</si>
  <si>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</si>
  <si>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</si>
  <si>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</si>
  <si>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</si>
  <si>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</si>
  <si>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</si>
  <si>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</si>
  <si>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</si>
  <si>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</si>
  <si>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</si>
  <si>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</si>
  <si>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</si>
  <si>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</si>
  <si>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</si>
  <si>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</si>
  <si>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</si>
  <si>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</si>
  <si>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</si>
  <si>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</si>
  <si>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</si>
  <si>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</si>
  <si>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</si>
  <si>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</si>
  <si>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</si>
  <si>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</si>
  <si>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</si>
  <si>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</si>
  <si>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</si>
  <si>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</si>
  <si>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</si>
  <si>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</si>
  <si>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</si>
  <si>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</si>
  <si>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</si>
  <si>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</si>
  <si>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</si>
  <si>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</si>
  <si>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</si>
  <si>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</si>
  <si>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</si>
  <si>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</si>
  <si>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</si>
  <si>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</si>
  <si>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</si>
  <si>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</si>
  <si>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</si>
  <si>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</si>
  <si>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</si>
  <si>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</si>
  <si>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</si>
  <si>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</si>
  <si>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</si>
  <si>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</si>
  <si>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</si>
  <si>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</si>
  <si>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</si>
  <si>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</si>
  <si>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</si>
  <si>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</si>
  <si>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</si>
  <si>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</si>
  <si>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</si>
  <si>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</si>
  <si>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</si>
  <si>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</si>
  <si>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</si>
  <si>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</si>
  <si>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</si>
  <si>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</si>
  <si>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</si>
  <si>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</si>
  <si>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</si>
  <si>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</si>
  <si>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</si>
  <si>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</si>
  <si>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</si>
  <si>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</si>
  <si>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</si>
  <si>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</si>
  <si>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</si>
  <si>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</si>
  <si>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</si>
  <si>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</si>
  <si>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</si>
  <si>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</si>
  <si>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</si>
  <si>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</si>
  <si>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</si>
  <si>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</si>
  <si>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</si>
  <si>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</si>
  <si>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</si>
  <si>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</si>
  <si>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</si>
  <si>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</si>
  <si>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</si>
  <si>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</si>
  <si>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</si>
  <si>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</si>
  <si>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</si>
  <si>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</si>
  <si>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</si>
  <si>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</si>
  <si>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</si>
  <si>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</si>
  <si>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</si>
  <si>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</si>
  <si>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</si>
  <si>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</si>
  <si>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</si>
  <si>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</si>
  <si>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</si>
  <si>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</si>
  <si>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</si>
  <si>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</si>
  <si>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</si>
  <si>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</si>
  <si>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</si>
  <si>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</si>
  <si>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</si>
  <si>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</si>
  <si>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</si>
  <si>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</si>
  <si>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</si>
  <si>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</si>
  <si>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</si>
  <si>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</si>
  <si>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</si>
  <si>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</si>
  <si>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</si>
  <si>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</si>
  <si>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</si>
  <si>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</si>
  <si>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</si>
  <si>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</si>
  <si>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</si>
  <si>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</si>
  <si>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</si>
  <si>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</si>
  <si>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</si>
  <si>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</si>
  <si>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</si>
  <si>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</si>
  <si>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</si>
  <si>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</si>
  <si>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</si>
  <si>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</si>
  <si>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</si>
  <si>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</si>
  <si>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</si>
  <si>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</si>
  <si>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</si>
  <si>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</si>
  <si>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</si>
  <si>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</si>
  <si>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</si>
  <si>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</si>
  <si>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</si>
  <si>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</si>
  <si>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</si>
  <si>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</si>
  <si>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</si>
  <si>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</si>
  <si>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</si>
  <si>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</si>
  <si>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</si>
  <si>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</si>
  <si>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</si>
  <si>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</si>
  <si>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</si>
  <si>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</si>
  <si>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</si>
  <si>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</si>
  <si>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</si>
  <si>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</si>
  <si>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</si>
  <si>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</si>
  <si>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</si>
  <si>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</si>
  <si>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</si>
  <si>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</si>
  <si>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</si>
  <si>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</si>
  <si>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</si>
  <si>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</si>
  <si>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</si>
  <si>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</si>
  <si>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</si>
  <si>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</si>
  <si>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</si>
  <si>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</si>
  <si>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</si>
  <si>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</si>
  <si>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</si>
  <si>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</si>
  <si>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</si>
  <si>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</si>
  <si>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</si>
  <si>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</si>
  <si>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</si>
  <si>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</si>
  <si>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</si>
  <si>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</si>
  <si>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</si>
  <si>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</si>
  <si>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</si>
  <si>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</si>
  <si>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</si>
  <si>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</si>
  <si>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</si>
  <si>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</si>
  <si>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</si>
  <si>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</si>
  <si>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</si>
  <si>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</si>
  <si>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</si>
  <si>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</si>
  <si>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</si>
  <si>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</si>
  <si>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</si>
  <si>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</si>
  <si>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</si>
  <si>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</si>
  <si>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</si>
  <si>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</si>
  <si>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</si>
  <si>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</si>
  <si>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</si>
  <si>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</si>
  <si>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</si>
  <si>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</si>
  <si>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</si>
  <si>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</si>
  <si>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</si>
  <si>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</si>
  <si>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</si>
  <si>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</si>
  <si>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</si>
  <si>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</si>
  <si>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</si>
  <si>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</si>
  <si>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</si>
  <si>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</si>
  <si>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</si>
  <si>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</si>
  <si>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</si>
  <si>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</si>
  <si>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</si>
  <si>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</si>
  <si>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</si>
  <si>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</si>
  <si>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</si>
  <si>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</si>
  <si>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</si>
  <si>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</si>
  <si>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</si>
  <si>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</si>
  <si>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</si>
  <si>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</si>
  <si>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</si>
  <si>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</si>
  <si>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</si>
  <si>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</si>
  <si>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</si>
  <si>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</si>
  <si>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</si>
  <si>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</si>
  <si>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</si>
  <si>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</si>
  <si>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</si>
  <si>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</si>
  <si>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</si>
  <si>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</si>
  <si>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</si>
  <si>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</si>
  <si>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</si>
  <si>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</si>
  <si>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</si>
  <si>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</si>
  <si>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</si>
  <si>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</si>
  <si>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</si>
  <si>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</si>
  <si>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</si>
  <si>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</si>
  <si>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</si>
  <si>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</si>
  <si>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</si>
  <si>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</si>
  <si>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</si>
  <si>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</si>
  <si>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</si>
  <si>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</si>
  <si>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</si>
  <si>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</si>
  <si>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</si>
  <si>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</si>
  <si>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</si>
  <si>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</si>
  <si>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</si>
  <si>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</si>
  <si>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</si>
  <si>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</si>
  <si>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</si>
  <si>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</si>
  <si>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</si>
  <si>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</si>
  <si>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</si>
  <si>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</si>
  <si>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</si>
  <si>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</si>
  <si>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</si>
  <si>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</si>
  <si>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</si>
  <si>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</si>
  <si>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</si>
  <si>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</si>
  <si>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</si>
  <si>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</si>
  <si>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</si>
  <si>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</si>
  <si>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</si>
  <si>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</si>
  <si>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</si>
  <si>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</si>
  <si>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</si>
  <si>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</si>
  <si>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</si>
  <si>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</si>
  <si>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</si>
  <si>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</si>
  <si>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</si>
  <si>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</si>
  <si>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</si>
  <si>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</si>
  <si>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</si>
  <si>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</si>
  <si>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</si>
  <si>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</si>
  <si>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</si>
  <si>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</si>
  <si>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</si>
  <si>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</si>
  <si>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</si>
  <si>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</si>
  <si>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</si>
  <si>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</si>
  <si>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</si>
  <si>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</si>
  <si>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</si>
  <si>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</si>
  <si>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</si>
  <si>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</si>
  <si>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</si>
  <si>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</si>
  <si>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</si>
  <si>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</si>
  <si>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</si>
  <si>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</si>
  <si>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</si>
  <si>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</si>
  <si>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</si>
  <si>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</si>
  <si>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</si>
  <si>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</si>
  <si>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</si>
  <si>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</si>
  <si>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</si>
  <si>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</si>
  <si>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</si>
  <si>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</si>
  <si>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</si>
  <si>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</si>
  <si>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</si>
  <si>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</si>
  <si>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</si>
  <si>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</si>
  <si>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</si>
  <si>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</si>
  <si>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</si>
  <si>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</si>
  <si>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</si>
  <si>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</si>
  <si>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</si>
  <si>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</si>
  <si>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</si>
  <si>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</si>
  <si>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</si>
  <si>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</si>
  <si>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</si>
  <si>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</si>
  <si>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</si>
  <si>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</si>
  <si>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</si>
  <si>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</si>
  <si>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</si>
  <si>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</si>
  <si>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</si>
  <si>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</si>
  <si>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</si>
  <si>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</si>
  <si>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</si>
  <si>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</si>
  <si>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</si>
  <si>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</si>
  <si>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</si>
  <si>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</si>
  <si>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</si>
  <si>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</si>
  <si>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</si>
  <si>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</si>
  <si>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</si>
  <si>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</si>
  <si>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</si>
  <si>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</si>
  <si>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</si>
  <si>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</si>
  <si>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</si>
  <si>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</si>
  <si>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</si>
  <si>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</si>
  <si>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</si>
  <si>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</si>
  <si>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</si>
  <si>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</si>
  <si>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</si>
  <si>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</si>
  <si>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</si>
  <si>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</si>
  <si>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</si>
  <si>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</si>
  <si>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</si>
  <si>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</si>
  <si>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</si>
  <si>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</si>
  <si>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</si>
  <si>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</si>
  <si>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</si>
  <si>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</si>
  <si>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</si>
  <si>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</si>
  <si>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</si>
  <si>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</si>
  <si>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</si>
  <si>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</si>
  <si>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</si>
  <si>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</si>
  <si>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</si>
  <si>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</si>
  <si>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</si>
  <si>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</si>
  <si>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</si>
  <si>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</si>
  <si>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</si>
  <si>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</si>
  <si>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</si>
  <si>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</si>
  <si>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</si>
  <si>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</si>
  <si>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</si>
  <si>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</si>
  <si>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</si>
  <si>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</si>
  <si>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</si>
  <si>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</si>
  <si>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</si>
  <si>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</si>
  <si>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</si>
  <si>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</si>
  <si>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</si>
  <si>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</si>
  <si>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</si>
  <si>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</si>
  <si>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</si>
  <si>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</si>
  <si>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</si>
  <si>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</si>
  <si>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</si>
  <si>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</si>
  <si>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</si>
  <si>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</si>
  <si>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</si>
  <si>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</si>
  <si>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</si>
  <si>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</si>
  <si>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</si>
  <si>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</si>
  <si>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</si>
  <si>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</si>
  <si>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</si>
  <si>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</si>
  <si>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</si>
  <si>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</si>
  <si>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</si>
  <si>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</si>
  <si>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</si>
  <si>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</si>
  <si>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</si>
  <si>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</si>
  <si>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</si>
  <si>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</si>
  <si>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</si>
  <si>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</si>
  <si>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</si>
  <si>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</si>
  <si>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</si>
  <si>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</si>
  <si>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</si>
  <si>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</si>
  <si>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</si>
  <si>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</si>
  <si>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</si>
  <si>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</si>
  <si>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</si>
  <si>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</si>
  <si>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</si>
  <si>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</si>
  <si>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</si>
  <si>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</si>
  <si>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</si>
  <si>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</si>
  <si>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</si>
  <si>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</si>
  <si>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</si>
  <si>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</si>
  <si>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</si>
  <si>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</si>
  <si>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</si>
  <si>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</si>
  <si>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</si>
  <si>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</si>
  <si>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</si>
  <si>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</si>
  <si>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</si>
  <si>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</si>
  <si>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</si>
  <si>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</si>
  <si>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</si>
  <si>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</si>
  <si>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</si>
  <si>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</si>
  <si>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</si>
  <si>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</si>
  <si>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</si>
  <si>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</si>
  <si>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</si>
  <si>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</si>
  <si>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</si>
  <si>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</si>
  <si>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</si>
  <si>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</si>
  <si>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</si>
  <si>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</si>
  <si>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</si>
  <si>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</si>
  <si>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</si>
  <si>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</si>
  <si>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</si>
  <si>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</si>
  <si>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</si>
  <si>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</si>
  <si>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</si>
  <si>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</si>
  <si>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</si>
  <si>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</si>
  <si>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</si>
  <si>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</si>
  <si>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</si>
  <si>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</si>
  <si>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</si>
  <si>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</si>
  <si>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</si>
  <si>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</si>
  <si>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</si>
  <si>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</si>
  <si>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</si>
  <si>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</si>
  <si>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</si>
  <si>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</si>
  <si>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</si>
  <si>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</si>
  <si>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</si>
  <si>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</si>
  <si>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</si>
  <si>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</si>
  <si>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</si>
  <si>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</si>
  <si>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</si>
  <si>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</si>
  <si>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</si>
  <si>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</si>
  <si>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</si>
  <si>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</si>
  <si>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</si>
  <si>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</si>
  <si>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</si>
  <si>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</si>
  <si>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</si>
  <si>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</si>
  <si>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</si>
  <si>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</si>
  <si>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</si>
  <si>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</si>
  <si>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</si>
  <si>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</si>
  <si>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</si>
  <si>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</si>
  <si>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</si>
  <si>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</si>
  <si>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</si>
  <si>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</si>
  <si>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</si>
  <si>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</si>
  <si>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</si>
  <si>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</si>
  <si>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</si>
  <si>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</si>
  <si>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</si>
  <si>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</si>
  <si>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</si>
  <si>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</si>
  <si>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</si>
  <si>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</si>
  <si>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</si>
  <si>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</si>
  <si>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</si>
  <si>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</si>
  <si>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</si>
  <si>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</si>
  <si>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</si>
  <si>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</si>
  <si>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</si>
  <si>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</si>
  <si>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</si>
  <si>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</si>
  <si>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</si>
  <si>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</si>
  <si>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</si>
  <si>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</si>
  <si>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</si>
  <si>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</si>
  <si>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</si>
  <si>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</si>
  <si>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</si>
  <si>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</si>
  <si>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</si>
  <si>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</si>
  <si>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</si>
  <si>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</si>
  <si>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</si>
  <si>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</si>
  <si>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</si>
  <si>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</si>
  <si>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</si>
  <si>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</si>
  <si>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</si>
  <si>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</si>
  <si>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</si>
  <si>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</si>
  <si>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</si>
  <si>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</si>
  <si>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</si>
  <si>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</si>
  <si>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&lt;2.0</t>
  </si>
  <si>
    <t>2017: 639,100</t>
  </si>
  <si>
    <t>note 1</t>
  </si>
  <si>
    <t>note 2</t>
  </si>
  <si>
    <t>note 3</t>
  </si>
  <si>
    <t>2018: 648,740</t>
  </si>
  <si>
    <t>Name and Title: Robert George, Wastewater Treatment Supervisor for Operations</t>
  </si>
  <si>
    <t>Certification #11656, Treatment Grade IV</t>
  </si>
  <si>
    <t>&lt;0.100</t>
  </si>
  <si>
    <t>&lt;0.020</t>
  </si>
  <si>
    <t>&lt;0.22</t>
  </si>
  <si>
    <t/>
  </si>
  <si>
    <t>All Headwork and OF 001 pH sample hold times were exceeded before sample delivery to lab.  Samples were analyzed upon receipt.</t>
  </si>
  <si>
    <t>1/6, 8, 18, 19, 20, 22: Peak wet weather channel flow meter malfunctioned.  Plant flows are calculated and should be considered to be estimated.</t>
  </si>
  <si>
    <t>1/6, 8, 18, 19, 20, 22: Diversion of primary effluent to protect biomass in secondary.</t>
  </si>
  <si>
    <t>note 5</t>
  </si>
  <si>
    <t>OF003 was not on-line during normal sampling hours.  Therefore no alkalinity sample was collected or tested for OF003 for the month of January</t>
  </si>
  <si>
    <t>note 4</t>
  </si>
  <si>
    <t>note 1, 2</t>
  </si>
  <si>
    <t xml:space="preserve">Monthly average Wet Weather BOD concentration of 47 mg/L exceeded system based performance guideline of 45 mg/L.  Please note the combined Mass Loading was within permitted levels as this shows the true mass actually being introduced into the environment. </t>
  </si>
  <si>
    <t>Name and Title: Kyle Stephens, Wastewater Treatment Supervisor for Operations</t>
  </si>
  <si>
    <t>Certification #13144, Treatment Grade 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</si>
</sst>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s>
  <fonts count="74"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1"/>
      <color theme="0"/>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5">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709">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64" fontId="18" fillId="0" borderId="12" xfId="0" applyNumberFormat="1" applyFont="1" applyBorder="1" applyAlignment="1">
      <alignment horizontal="right"/>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2" xfId="0" applyNumberFormat="1" applyFont="1" applyFill="1" applyBorder="1" applyAlignment="1">
      <alignment horizontal="right" wrapText="1"/>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152" xfId="0" applyNumberFormat="1" applyFont="1" applyFill="1" applyBorder="1" applyAlignment="1">
      <alignment horizontal="center"/>
    </xf>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36" xfId="0" applyNumberFormat="1" applyFont="1" applyFill="1" applyBorder="1" applyAlignment="1">
      <alignment horizontal="center"/>
    </xf>
    <xf numFmtId="16" fontId="5" fillId="8" borderId="54" xfId="0" applyNumberFormat="1" applyFont="1" applyFill="1" applyBorder="1"/>
    <xf numFmtId="16" fontId="5" fillId="8" borderId="107" xfId="0" applyNumberFormat="1" applyFont="1" applyFill="1" applyBorder="1" applyAlignment="1">
      <alignment horizontal="center"/>
    </xf>
    <xf numFmtId="0" fontId="64" fillId="0" borderId="0" xfId="0" quotePrefix="1" applyFont="1"/>
    <xf numFmtId="0" fontId="65"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8"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9" fillId="0" borderId="0" xfId="1" applyFont="1" applyAlignment="1" applyProtection="1">
      <alignment horizontal="left"/>
    </xf>
    <xf numFmtId="0" fontId="69"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97" xfId="0" applyFont="1" applyFill="1" applyBorder="1"/>
    <xf numFmtId="0" fontId="1" fillId="0" borderId="99" xfId="0" applyFont="1" applyFill="1" applyBorder="1" applyAlignment="1">
      <alignment horizontal="left"/>
    </xf>
    <xf numFmtId="0" fontId="1" fillId="0" borderId="99" xfId="0" applyFont="1" applyFill="1" applyBorder="1"/>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6" fillId="8" borderId="0" xfId="0" applyFont="1" applyFill="1" applyBorder="1" applyAlignment="1">
      <alignment horizontal="center"/>
    </xf>
    <xf numFmtId="0" fontId="67" fillId="8" borderId="0" xfId="0" applyFont="1" applyFill="1" applyBorder="1" applyAlignment="1">
      <alignment horizontal="center" vertical="center"/>
    </xf>
    <xf numFmtId="0" fontId="0" fillId="8" borderId="0" xfId="0" applyFill="1" applyBorder="1" applyAlignment="1">
      <alignment horizontal="center"/>
    </xf>
    <xf numFmtId="0" fontId="66"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0"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0" fontId="18" fillId="0" borderId="153" xfId="0" applyNumberFormat="1" applyFont="1" applyFill="1" applyBorder="1" applyAlignment="1">
      <alignment horizontal="right"/>
    </xf>
    <xf numFmtId="0" fontId="18" fillId="0" borderId="154" xfId="0" applyNumberFormat="1" applyFont="1" applyFill="1" applyBorder="1" applyAlignment="1">
      <alignment horizontal="right"/>
    </xf>
    <xf numFmtId="2" fontId="18" fillId="0" borderId="10" xfId="0" applyNumberFormat="1" applyFont="1" applyBorder="1"/>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1" fontId="73" fillId="0" borderId="41" xfId="0" applyNumberFormat="1" applyFont="1" applyBorder="1" applyAlignment="1">
      <alignment horizontal="right" wrapText="1"/>
    </xf>
    <xf numFmtId="1" fontId="73" fillId="0" borderId="10" xfId="0" applyNumberFormat="1" applyFont="1" applyBorder="1" applyAlignment="1">
      <alignment horizontal="right"/>
    </xf>
    <xf numFmtId="1" fontId="73" fillId="0" borderId="10" xfId="0" applyNumberFormat="1" applyFont="1" applyBorder="1" applyAlignment="1">
      <alignment horizontal="right" wrapText="1"/>
    </xf>
    <xf numFmtId="164" fontId="73" fillId="0" borderId="12" xfId="0" applyNumberFormat="1" applyFont="1" applyBorder="1" applyAlignment="1">
      <alignment horizontal="right"/>
    </xf>
    <xf numFmtId="1" fontId="73" fillId="0" borderId="10" xfId="0" applyNumberFormat="1" applyFont="1" applyBorder="1"/>
    <xf numFmtId="1" fontId="73" fillId="0" borderId="12" xfId="0" applyNumberFormat="1" applyFont="1" applyBorder="1"/>
    <xf numFmtId="0" fontId="73" fillId="0" borderId="154" xfId="0" applyNumberFormat="1" applyFont="1" applyFill="1" applyBorder="1" applyAlignment="1">
      <alignment horizontal="right"/>
    </xf>
    <xf numFmtId="0" fontId="18" fillId="0" borderId="135" xfId="0" applyFont="1" applyFill="1" applyBorder="1" applyAlignment="1">
      <alignment horizontal="right"/>
    </xf>
    <xf numFmtId="165" fontId="12" fillId="0" borderId="91" xfId="0" applyNumberFormat="1" applyFont="1" applyFill="1" applyBorder="1" applyAlignment="1">
      <alignment horizontal="center"/>
    </xf>
    <xf numFmtId="165" fontId="12" fillId="0" borderId="38" xfId="0" applyNumberFormat="1" applyFont="1" applyFill="1" applyBorder="1" applyAlignment="1">
      <alignment horizontal="center"/>
    </xf>
    <xf numFmtId="0" fontId="5" fillId="0" borderId="35" xfId="0" applyFont="1" applyBorder="1" applyAlignment="1">
      <alignment vertical="center"/>
    </xf>
    <xf numFmtId="176" fontId="18" fillId="0" borderId="38" xfId="0" applyNumberFormat="1" applyFont="1" applyFill="1" applyBorder="1" applyAlignment="1">
      <alignment horizontal="right" vertical="center" indent="1"/>
    </xf>
    <xf numFmtId="0" fontId="5" fillId="0" borderId="9" xfId="0" applyFont="1" applyBorder="1" applyAlignment="1">
      <alignment horizontal="right"/>
    </xf>
    <xf numFmtId="2" fontId="18" fillId="0" borderId="12" xfId="0" applyNumberFormat="1" applyFont="1" applyBorder="1"/>
    <xf numFmtId="0" fontId="1" fillId="0" borderId="0" xfId="0" applyFont="1" applyBorder="1" applyAlignment="1">
      <alignment horizontal="left"/>
    </xf>
    <xf numFmtId="1" fontId="18" fillId="0" borderId="39"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0" fontId="6" fillId="0" borderId="0" xfId="0" applyFont="1" applyAlignment="1">
      <alignment horizontal="center"/>
    </xf>
    <xf numFmtId="22" fontId="6" fillId="0" borderId="0" xfId="0" applyNumberFormat="1"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1" fillId="5" borderId="8" xfId="0" applyFont="1" applyFill="1" applyBorder="1" applyAlignment="1">
      <alignment horizontal="center" vertical="center"/>
    </xf>
    <xf numFmtId="0" fontId="71" fillId="5" borderId="2" xfId="0" applyFont="1" applyFill="1" applyBorder="1" applyAlignment="1">
      <alignment horizontal="center" vertical="center"/>
    </xf>
    <xf numFmtId="0" fontId="71" fillId="5" borderId="33" xfId="0" applyFont="1" applyFill="1" applyBorder="1" applyAlignment="1">
      <alignment horizontal="center" vertical="center"/>
    </xf>
    <xf numFmtId="0" fontId="71" fillId="5" borderId="7" xfId="0" applyFont="1" applyFill="1" applyBorder="1" applyAlignment="1">
      <alignment horizontal="center" vertical="center"/>
    </xf>
    <xf numFmtId="0" fontId="48" fillId="5" borderId="0" xfId="0" applyFont="1" applyFill="1" applyAlignment="1">
      <alignment horizontal="right"/>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0" xfId="0" applyFont="1" applyBorder="1" applyAlignment="1">
      <alignment horizontal="left" vertical="center" wrapText="1"/>
    </xf>
    <xf numFmtId="0" fontId="72" fillId="0" borderId="0" xfId="0" applyFont="1" applyBorder="1" applyAlignment="1">
      <alignment horizontal="left" wrapText="1"/>
    </xf>
    <xf numFmtId="0" fontId="5" fillId="0" borderId="0" xfId="0" applyFont="1" applyBorder="1" applyAlignment="1">
      <alignment horizontal="right"/>
    </xf>
    <xf numFmtId="0" fontId="5" fillId="0" borderId="15" xfId="0" applyFont="1" applyBorder="1" applyAlignment="1">
      <alignment horizontal="right"/>
    </xf>
    <xf numFmtId="0" fontId="18" fillId="0" borderId="38" xfId="0" applyFont="1" applyFill="1" applyBorder="1" applyAlignment="1">
      <alignment horizontal="left" vertical="center"/>
    </xf>
    <xf numFmtId="167" fontId="9" fillId="0" borderId="15" xfId="0" applyNumberFormat="1" applyFont="1" applyBorder="1" applyAlignment="1">
      <alignment horizontal="center"/>
    </xf>
    <xf numFmtId="0" fontId="1" fillId="0" borderId="0" xfId="0" applyFont="1" applyBorder="1" applyAlignment="1">
      <alignment horizontal="left"/>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58" xfId="0" applyFont="1" applyBorder="1" applyAlignment="1">
      <alignment horizontal="left" vertical="center" wrapText="1"/>
    </xf>
    <xf numFmtId="0" fontId="9" fillId="0" borderId="0" xfId="0" applyFont="1" applyBorder="1" applyAlignment="1">
      <alignment horizontal="center"/>
    </xf>
    <xf numFmtId="0" fontId="18" fillId="0" borderId="38" xfId="0" applyFont="1" applyBorder="1" applyAlignment="1">
      <alignment horizontal="left" vertical="center"/>
    </xf>
    <xf numFmtId="0" fontId="18" fillId="0" borderId="38" xfId="0" applyFont="1" applyBorder="1" applyAlignment="1">
      <alignment horizontal="left" vertical="center" wrapText="1"/>
    </xf>
    <xf numFmtId="0" fontId="1" fillId="0" borderId="3" xfId="0" applyFont="1" applyBorder="1" applyAlignment="1">
      <alignment horizontal="left"/>
    </xf>
    <xf numFmtId="0" fontId="1" fillId="0" borderId="0" xfId="0" applyFont="1" applyAlignment="1">
      <alignment horizontal="left"/>
    </xf>
    <xf numFmtId="0" fontId="69" fillId="0" borderId="0" xfId="1" applyFont="1" applyAlignment="1" applyProtection="1">
      <alignment horizontal="center"/>
    </xf>
    <xf numFmtId="0" fontId="0" fillId="0" borderId="15" xfId="0" applyBorder="1" applyAlignment="1">
      <alignment horizontal="center"/>
    </xf>
    <xf numFmtId="0" fontId="18" fillId="0" borderId="15" xfId="0" applyFont="1" applyBorder="1" applyAlignment="1">
      <alignment horizontal="left" vertical="top"/>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2" fillId="0" borderId="59" xfId="0" applyFont="1"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wrapText="1"/>
    </xf>
    <xf numFmtId="0" fontId="0" fillId="0" borderId="59" xfId="0"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cellXfs>
  <cellStyles count="3">
    <cellStyle name="Hyperlink" xfId="1" builtinId="8"/>
    <cellStyle name="Normal" xfId="0" builtinId="0"/>
    <cellStyle name="Normal 2" xfId="2" xr:uid="{00000000-0005-0000-0000-000002000000}"/>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0.67736406831409213</c:v>
                </c:pt>
                <c:pt idx="1">
                  <c:v>0.55713523518748209</c:v>
                </c:pt>
                <c:pt idx="2">
                  <c:v>0.72216341952103791</c:v>
                </c:pt>
                <c:pt idx="3">
                  <c:v>1.0222713290716534</c:v>
                </c:pt>
                <c:pt idx="4">
                  <c:v>0.70613750596317137</c:v>
                </c:pt>
                <c:pt idx="5">
                  <c:v>0.82881452151512269</c:v>
                </c:pt>
                <c:pt idx="6">
                  <c:v>0.83455170308176685</c:v>
                </c:pt>
                <c:pt idx="7">
                  <c:v>0.6267134815380212</c:v>
                </c:pt>
                <c:pt idx="8">
                  <c:v>0.55311416849537254</c:v>
                </c:pt>
                <c:pt idx="9">
                  <c:v>0.56728604140826255</c:v>
                </c:pt>
                <c:pt idx="10">
                  <c:v>0.65742848964793443</c:v>
                </c:pt>
                <c:pt idx="11">
                  <c:v>0.68945644499570646</c:v>
                </c:pt>
                <c:pt idx="12">
                  <c:v>0.88661868142352807</c:v>
                </c:pt>
                <c:pt idx="13">
                  <c:v>0.56879792004579721</c:v>
                </c:pt>
                <c:pt idx="14">
                  <c:v>0.53575674076901059</c:v>
                </c:pt>
                <c:pt idx="15">
                  <c:v>0.59013662818433343</c:v>
                </c:pt>
                <c:pt idx="16">
                  <c:v>1.2345417422001721</c:v>
                </c:pt>
                <c:pt idx="17">
                  <c:v>0.56471584772445382</c:v>
                </c:pt>
                <c:pt idx="18">
                  <c:v>0.98044003434786764</c:v>
                </c:pt>
                <c:pt idx="19">
                  <c:v>0.80151848106096746</c:v>
                </c:pt>
                <c:pt idx="20">
                  <c:v>0.51518723404255318</c:v>
                </c:pt>
                <c:pt idx="21">
                  <c:v>0.69159164201889156</c:v>
                </c:pt>
                <c:pt idx="22">
                  <c:v>0.77909493368953342</c:v>
                </c:pt>
                <c:pt idx="23">
                  <c:v>0.78262795534777196</c:v>
                </c:pt>
                <c:pt idx="24">
                  <c:v>0.64094105524282041</c:v>
                </c:pt>
                <c:pt idx="25">
                  <c:v>7.1835295487071846</c:v>
                </c:pt>
                <c:pt idx="26">
                  <c:v>0.66414706611964502</c:v>
                </c:pt>
                <c:pt idx="27">
                  <c:v>0.62775057723499672</c:v>
                </c:pt>
                <c:pt idx="28">
                  <c:v>0.69313269726171167</c:v>
                </c:pt>
                <c:pt idx="29">
                  <c:v>0.66204369812040842</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0.67355254269630771</c:v>
                </c:pt>
                <c:pt idx="1">
                  <c:v>0.59840156473618922</c:v>
                </c:pt>
                <c:pt idx="2">
                  <c:v>0.74322892853735323</c:v>
                </c:pt>
                <c:pt idx="3">
                  <c:v>1.054683885125465</c:v>
                </c:pt>
                <c:pt idx="4">
                  <c:v>0.72807831313805926</c:v>
                </c:pt>
                <c:pt idx="5">
                  <c:v>0.85220885411697345</c:v>
                </c:pt>
                <c:pt idx="6">
                  <c:v>0.83719616448812129</c:v>
                </c:pt>
                <c:pt idx="7">
                  <c:v>0.62681957828451484</c:v>
                </c:pt>
                <c:pt idx="8">
                  <c:v>0.59295614922240236</c:v>
                </c:pt>
                <c:pt idx="9">
                  <c:v>0.57593292624749559</c:v>
                </c:pt>
                <c:pt idx="10">
                  <c:v>0.65984749546798971</c:v>
                </c:pt>
                <c:pt idx="11">
                  <c:v>0.69210621123938543</c:v>
                </c:pt>
                <c:pt idx="12">
                  <c:v>0.91140818624177078</c:v>
                </c:pt>
                <c:pt idx="13">
                  <c:v>0.58722957733040737</c:v>
                </c:pt>
                <c:pt idx="14">
                  <c:v>0.53810678370384502</c:v>
                </c:pt>
                <c:pt idx="15">
                  <c:v>0.59675971758419999</c:v>
                </c:pt>
                <c:pt idx="16">
                  <c:v>1.2527055051998854</c:v>
                </c:pt>
                <c:pt idx="17">
                  <c:v>0.56806850491365324</c:v>
                </c:pt>
                <c:pt idx="18">
                  <c:v>0.99203906115828644</c:v>
                </c:pt>
                <c:pt idx="19">
                  <c:v>0.80910439843526383</c:v>
                </c:pt>
                <c:pt idx="20">
                  <c:v>0.52068304551092448</c:v>
                </c:pt>
                <c:pt idx="21">
                  <c:v>0.7041428871290909</c:v>
                </c:pt>
                <c:pt idx="22">
                  <c:v>0.78390907356168305</c:v>
                </c:pt>
                <c:pt idx="23">
                  <c:v>0.80192164869764315</c:v>
                </c:pt>
                <c:pt idx="24">
                  <c:v>0.65687678656616733</c:v>
                </c:pt>
                <c:pt idx="25">
                  <c:v>0.83800515218013538</c:v>
                </c:pt>
                <c:pt idx="26">
                  <c:v>0.66646528003053152</c:v>
                </c:pt>
                <c:pt idx="27">
                  <c:v>0.57090394046369619</c:v>
                </c:pt>
                <c:pt idx="28">
                  <c:v>0.69717763572178226</c:v>
                </c:pt>
                <c:pt idx="29">
                  <c:v>0.66128775880164115</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0.95500864421333831</c:v>
                </c:pt>
                <c:pt idx="1">
                  <c:v>0.91868907546989798</c:v>
                </c:pt>
                <c:pt idx="2">
                  <c:v>1.0441193015933594</c:v>
                </c:pt>
                <c:pt idx="3">
                  <c:v>0.99262789810132601</c:v>
                </c:pt>
                <c:pt idx="4">
                  <c:v>0.95215464173265907</c:v>
                </c:pt>
                <c:pt idx="5">
                  <c:v>0.77662818433355574</c:v>
                </c:pt>
                <c:pt idx="6">
                  <c:v>0.94171737429634561</c:v>
                </c:pt>
                <c:pt idx="7">
                  <c:v>0.91906306650128788</c:v>
                </c:pt>
                <c:pt idx="8">
                  <c:v>0.78075800019082153</c:v>
                </c:pt>
                <c:pt idx="9">
                  <c:v>0.91526480297681501</c:v>
                </c:pt>
                <c:pt idx="10">
                  <c:v>1.3150240816715961</c:v>
                </c:pt>
                <c:pt idx="11">
                  <c:v>0.77276361034252439</c:v>
                </c:pt>
                <c:pt idx="12">
                  <c:v>0.95087617593741036</c:v>
                </c:pt>
                <c:pt idx="13">
                  <c:v>0.74721020894952761</c:v>
                </c:pt>
                <c:pt idx="14">
                  <c:v>0.89362106669210939</c:v>
                </c:pt>
                <c:pt idx="15">
                  <c:v>0.75753076996469815</c:v>
                </c:pt>
                <c:pt idx="16">
                  <c:v>1.0549411697357123</c:v>
                </c:pt>
                <c:pt idx="17">
                  <c:v>1.0760517698692873</c:v>
                </c:pt>
                <c:pt idx="18">
                  <c:v>0.78481089590687925</c:v>
                </c:pt>
                <c:pt idx="19">
                  <c:v>1.4767393950958876</c:v>
                </c:pt>
                <c:pt idx="20">
                  <c:v>0.91094666539452351</c:v>
                </c:pt>
                <c:pt idx="21">
                  <c:v>0.88593966224596876</c:v>
                </c:pt>
                <c:pt idx="22">
                  <c:v>1.0329579238622268</c:v>
                </c:pt>
                <c:pt idx="23">
                  <c:v>1.5042184524377444</c:v>
                </c:pt>
                <c:pt idx="24">
                  <c:v>1.0651476767484018</c:v>
                </c:pt>
                <c:pt idx="25">
                  <c:v>0.94568804503387094</c:v>
                </c:pt>
                <c:pt idx="26">
                  <c:v>0.98680318671882461</c:v>
                </c:pt>
                <c:pt idx="27">
                  <c:v>0.74692109531533257</c:v>
                </c:pt>
                <c:pt idx="28">
                  <c:v>0.82652283179085939</c:v>
                </c:pt>
                <c:pt idx="29">
                  <c:v>0.90107966797061345</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0.69511670642114298</c:v>
                </c:pt>
                <c:pt idx="1">
                  <c:v>0.62376133956683522</c:v>
                </c:pt>
                <c:pt idx="2">
                  <c:v>0.72420843430970316</c:v>
                </c:pt>
                <c:pt idx="3">
                  <c:v>1.0733171262284134</c:v>
                </c:pt>
                <c:pt idx="4">
                  <c:v>0.73632733517794113</c:v>
                </c:pt>
                <c:pt idx="5">
                  <c:v>0.87198263524472852</c:v>
                </c:pt>
                <c:pt idx="6">
                  <c:v>0.83946928728174786</c:v>
                </c:pt>
                <c:pt idx="7">
                  <c:v>0.63838412365232322</c:v>
                </c:pt>
                <c:pt idx="8">
                  <c:v>0.60743039786279929</c:v>
                </c:pt>
                <c:pt idx="9">
                  <c:v>0.58700677416277069</c:v>
                </c:pt>
                <c:pt idx="10">
                  <c:v>0.68006688293101802</c:v>
                </c:pt>
                <c:pt idx="11">
                  <c:v>0.69625989886461193</c:v>
                </c:pt>
                <c:pt idx="12">
                  <c:v>0.9422239862608528</c:v>
                </c:pt>
                <c:pt idx="13">
                  <c:v>0.58946556626276114</c:v>
                </c:pt>
                <c:pt idx="14">
                  <c:v>0.56668924720923575</c:v>
                </c:pt>
                <c:pt idx="15">
                  <c:v>0.60927382883312653</c:v>
                </c:pt>
                <c:pt idx="16">
                  <c:v>1.3051172979677512</c:v>
                </c:pt>
                <c:pt idx="17">
                  <c:v>0.58364085488025952</c:v>
                </c:pt>
                <c:pt idx="18">
                  <c:v>1.0446418280698408</c:v>
                </c:pt>
                <c:pt idx="19">
                  <c:v>0.80443083675221827</c:v>
                </c:pt>
                <c:pt idx="20">
                  <c:v>0.53370111630569594</c:v>
                </c:pt>
                <c:pt idx="21">
                  <c:v>0.735494475717966</c:v>
                </c:pt>
                <c:pt idx="22">
                  <c:v>0.79466463123747733</c:v>
                </c:pt>
                <c:pt idx="23">
                  <c:v>0.83353317431542773</c:v>
                </c:pt>
                <c:pt idx="24">
                  <c:v>0.65162499761473136</c:v>
                </c:pt>
                <c:pt idx="25">
                  <c:v>0.84885884934643652</c:v>
                </c:pt>
                <c:pt idx="26">
                  <c:v>0.68657061349107906</c:v>
                </c:pt>
                <c:pt idx="27">
                  <c:v>0.64444755271443566</c:v>
                </c:pt>
                <c:pt idx="28">
                  <c:v>0.700501116305696</c:v>
                </c:pt>
                <c:pt idx="29">
                  <c:v>0.70795706516553769</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76.433731483141898</c:v>
                </c:pt>
                <c:pt idx="1">
                  <c:v>70.86388103936973</c:v>
                </c:pt>
                <c:pt idx="2">
                  <c:v>47.100838397291319</c:v>
                </c:pt>
                <c:pt idx="3">
                  <c:v>70.825811441661656</c:v>
                </c:pt>
                <c:pt idx="4">
                  <c:v>67.106129065288371</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19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19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22.83446</v>
          </cell>
          <cell r="D4">
            <v>7.289912112233992</v>
          </cell>
          <cell r="E4">
            <v>147.43157579861105</v>
          </cell>
          <cell r="F4">
            <v>0</v>
          </cell>
          <cell r="H4">
            <v>76.465909999999994</v>
          </cell>
          <cell r="I4">
            <v>55.899334378472254</v>
          </cell>
          <cell r="L4">
            <v>1.6289587842219018</v>
          </cell>
          <cell r="N4">
            <v>0</v>
          </cell>
          <cell r="P4">
            <v>58.754506888888827</v>
          </cell>
          <cell r="Q4">
            <v>60.807810000000003</v>
          </cell>
          <cell r="R4">
            <v>6.9219735899305492</v>
          </cell>
          <cell r="S4">
            <v>0</v>
          </cell>
          <cell r="U4">
            <v>0</v>
          </cell>
          <cell r="AC4">
            <v>0</v>
          </cell>
          <cell r="AD4">
            <v>1.1764705882352941E-2</v>
          </cell>
          <cell r="AE4">
            <v>3</v>
          </cell>
          <cell r="AF4">
            <v>1779.656824305554</v>
          </cell>
        </row>
        <row r="5">
          <cell r="B5">
            <v>22.884080000000001</v>
          </cell>
          <cell r="D5">
            <v>7.1089552611542546</v>
          </cell>
          <cell r="E5">
            <v>147.97205350694441</v>
          </cell>
          <cell r="F5">
            <v>0</v>
          </cell>
          <cell r="H5">
            <v>106.50020000000001</v>
          </cell>
          <cell r="I5">
            <v>56.550915771527805</v>
          </cell>
          <cell r="L5">
            <v>1.6050391690682055</v>
          </cell>
          <cell r="N5">
            <v>0</v>
          </cell>
          <cell r="P5">
            <v>60.347685031250165</v>
          </cell>
          <cell r="Q5">
            <v>61.091009999999997</v>
          </cell>
          <cell r="R5">
            <v>6.5235838833333366</v>
          </cell>
          <cell r="S5">
            <v>0</v>
          </cell>
          <cell r="U5">
            <v>0.33731540972222224</v>
          </cell>
          <cell r="AC5">
            <v>0</v>
          </cell>
          <cell r="AD5">
            <v>1.1764705882352941E-2</v>
          </cell>
          <cell r="AE5">
            <v>3</v>
          </cell>
          <cell r="AF5">
            <v>1769.8562033194482</v>
          </cell>
        </row>
        <row r="6">
          <cell r="B6">
            <v>22.864339999999999</v>
          </cell>
          <cell r="D6">
            <v>7.5786324317013749</v>
          </cell>
          <cell r="E6">
            <v>148.54928909722196</v>
          </cell>
          <cell r="F6">
            <v>0</v>
          </cell>
          <cell r="H6">
            <v>109.4954</v>
          </cell>
          <cell r="I6">
            <v>59.265884118055446</v>
          </cell>
          <cell r="L6">
            <v>1.5601979276737121</v>
          </cell>
          <cell r="N6">
            <v>0</v>
          </cell>
          <cell r="P6">
            <v>63.298762079861191</v>
          </cell>
          <cell r="Q6">
            <v>61.65616</v>
          </cell>
          <cell r="R6">
            <v>6.3302720156250079</v>
          </cell>
          <cell r="S6">
            <v>0</v>
          </cell>
          <cell r="U6">
            <v>0</v>
          </cell>
          <cell r="AC6">
            <v>0</v>
          </cell>
          <cell r="AD6">
            <v>4.8857142857142863E-2</v>
          </cell>
          <cell r="AE6">
            <v>3</v>
          </cell>
          <cell r="AF6">
            <v>1834.2440236111106</v>
          </cell>
        </row>
        <row r="7">
          <cell r="B7">
            <v>22.9236</v>
          </cell>
          <cell r="D7">
            <v>8.039549152385435</v>
          </cell>
          <cell r="E7">
            <v>149.42743388888911</v>
          </cell>
          <cell r="F7">
            <v>0</v>
          </cell>
          <cell r="H7">
            <v>125.3373</v>
          </cell>
          <cell r="I7">
            <v>65.818315354166813</v>
          </cell>
          <cell r="L7">
            <v>1.6443466708693568</v>
          </cell>
          <cell r="N7">
            <v>0</v>
          </cell>
          <cell r="P7">
            <v>68.112197826388936</v>
          </cell>
          <cell r="Q7">
            <v>61.899639999999998</v>
          </cell>
          <cell r="R7">
            <v>7.7418595725694797</v>
          </cell>
          <cell r="S7">
            <v>0</v>
          </cell>
          <cell r="U7">
            <v>0</v>
          </cell>
          <cell r="AC7">
            <v>0</v>
          </cell>
          <cell r="AD7">
            <v>7.5999999999999998E-2</v>
          </cell>
          <cell r="AE7">
            <v>3</v>
          </cell>
          <cell r="AF7">
            <v>2064.9525861111051</v>
          </cell>
        </row>
        <row r="8">
          <cell r="B8">
            <v>22.839970000000001</v>
          </cell>
          <cell r="D8">
            <v>7.3254443699708984</v>
          </cell>
          <cell r="E8">
            <v>150.25359854166658</v>
          </cell>
          <cell r="F8">
            <v>0</v>
          </cell>
          <cell r="H8">
            <v>91.335160000000002</v>
          </cell>
          <cell r="I8">
            <v>56.328494034350783</v>
          </cell>
          <cell r="L8">
            <v>1.7088532525816533</v>
          </cell>
          <cell r="N8">
            <v>0</v>
          </cell>
          <cell r="P8">
            <v>58.74425769791663</v>
          </cell>
          <cell r="Q8">
            <v>62.016570000000002</v>
          </cell>
          <cell r="R8">
            <v>7.6204247076388851</v>
          </cell>
          <cell r="S8">
            <v>0</v>
          </cell>
          <cell r="U8">
            <v>0</v>
          </cell>
          <cell r="AC8">
            <v>0</v>
          </cell>
          <cell r="AD8">
            <v>5.228571428571429E-2</v>
          </cell>
          <cell r="AE8">
            <v>3</v>
          </cell>
          <cell r="AF8">
            <v>1969.3928374652767</v>
          </cell>
        </row>
        <row r="9">
          <cell r="B9">
            <v>28.972899999999999</v>
          </cell>
          <cell r="D9">
            <v>18.791530609572344</v>
          </cell>
          <cell r="E9">
            <v>160.99638097916707</v>
          </cell>
          <cell r="F9">
            <v>6.6761959281249927</v>
          </cell>
          <cell r="H9">
            <v>216.24770000000001</v>
          </cell>
          <cell r="I9">
            <v>103.1240249895835</v>
          </cell>
          <cell r="L9">
            <v>1.6036240065642007</v>
          </cell>
          <cell r="N9">
            <v>8.5958357881944476</v>
          </cell>
          <cell r="P9">
            <v>91.144097100694552</v>
          </cell>
          <cell r="Q9">
            <v>61.748420000000003</v>
          </cell>
          <cell r="R9">
            <v>9.3956969958333474</v>
          </cell>
          <cell r="S9">
            <v>5.9083333333333332</v>
          </cell>
          <cell r="U9">
            <v>0</v>
          </cell>
          <cell r="AC9">
            <v>3.3166666666666669</v>
          </cell>
          <cell r="AD9">
            <v>0.32676470588235296</v>
          </cell>
          <cell r="AE9">
            <v>3</v>
          </cell>
          <cell r="AF9">
            <v>2594.2819092503514</v>
          </cell>
        </row>
        <row r="10">
          <cell r="B10">
            <v>22.872409999999999</v>
          </cell>
          <cell r="D10">
            <v>7.3247551958912567</v>
          </cell>
          <cell r="E10">
            <v>149.79659395833326</v>
          </cell>
          <cell r="F10">
            <v>0</v>
          </cell>
          <cell r="H10">
            <v>82.583510000000004</v>
          </cell>
          <cell r="I10">
            <v>59.377203996527662</v>
          </cell>
          <cell r="L10">
            <v>1.4845097279759052</v>
          </cell>
          <cell r="N10">
            <v>0</v>
          </cell>
          <cell r="P10">
            <v>69.217215423611108</v>
          </cell>
          <cell r="Q10">
            <v>60.140459999999997</v>
          </cell>
          <cell r="R10">
            <v>9.3209169506944587</v>
          </cell>
          <cell r="S10">
            <v>0.73333333333333328</v>
          </cell>
          <cell r="U10">
            <v>0</v>
          </cell>
          <cell r="AC10">
            <v>0</v>
          </cell>
          <cell r="AD10">
            <v>1.55E-2</v>
          </cell>
          <cell r="AE10">
            <v>3</v>
          </cell>
          <cell r="AF10">
            <v>1950.3534989236075</v>
          </cell>
        </row>
        <row r="11">
          <cell r="B11">
            <v>27.273530000000001</v>
          </cell>
          <cell r="D11">
            <v>15.109033555506775</v>
          </cell>
          <cell r="E11">
            <v>162.06957388888878</v>
          </cell>
          <cell r="F11">
            <v>5.9387363951388759</v>
          </cell>
          <cell r="H11">
            <v>243.50309999999999</v>
          </cell>
          <cell r="I11">
            <v>94.233337409722296</v>
          </cell>
          <cell r="L11">
            <v>1.4877478551272818</v>
          </cell>
          <cell r="N11">
            <v>2.4465956458333338</v>
          </cell>
          <cell r="P11">
            <v>91.644257361111073</v>
          </cell>
          <cell r="Q11">
            <v>61.006709999999998</v>
          </cell>
          <cell r="R11">
            <v>9.7374893395833233</v>
          </cell>
          <cell r="S11">
            <v>5.0583333333333336</v>
          </cell>
          <cell r="U11">
            <v>0</v>
          </cell>
          <cell r="AC11">
            <v>0</v>
          </cell>
          <cell r="AD11">
            <v>0.27257142857142858</v>
          </cell>
          <cell r="AE11">
            <v>4</v>
          </cell>
          <cell r="AF11">
            <v>2526.1769365893374</v>
          </cell>
        </row>
        <row r="12">
          <cell r="B12">
            <v>23.081620000000001</v>
          </cell>
          <cell r="D12">
            <v>10.317482533982977</v>
          </cell>
          <cell r="E12">
            <v>155.02359333680525</v>
          </cell>
          <cell r="F12">
            <v>2.0022036718121541</v>
          </cell>
          <cell r="H12">
            <v>152.0967</v>
          </cell>
          <cell r="I12">
            <v>83.880514163194348</v>
          </cell>
          <cell r="L12">
            <v>1.4805555200328215</v>
          </cell>
          <cell r="N12">
            <v>0</v>
          </cell>
          <cell r="P12">
            <v>88.402698861110949</v>
          </cell>
          <cell r="Q12">
            <v>59.060940000000002</v>
          </cell>
          <cell r="R12">
            <v>9.1699332138888909</v>
          </cell>
          <cell r="S12">
            <v>2.5750000000000002</v>
          </cell>
          <cell r="U12">
            <v>0</v>
          </cell>
          <cell r="AC12">
            <v>0</v>
          </cell>
          <cell r="AD12">
            <v>0.24542857142857144</v>
          </cell>
          <cell r="AE12">
            <v>4</v>
          </cell>
          <cell r="AF12">
            <v>1828.9307754166591</v>
          </cell>
        </row>
        <row r="13">
          <cell r="B13">
            <v>22.8703</v>
          </cell>
          <cell r="D13">
            <v>8.1559050910212836</v>
          </cell>
          <cell r="E13">
            <v>163.02042059027787</v>
          </cell>
          <cell r="F13">
            <v>0</v>
          </cell>
          <cell r="H13">
            <v>97.507050000000007</v>
          </cell>
          <cell r="I13">
            <v>64.316404541666643</v>
          </cell>
          <cell r="L13">
            <v>1.481469142551233</v>
          </cell>
          <cell r="N13">
            <v>0</v>
          </cell>
          <cell r="P13">
            <v>70.522887642361169</v>
          </cell>
          <cell r="Q13">
            <v>60.241019999999999</v>
          </cell>
          <cell r="R13">
            <v>7.6580857038194408</v>
          </cell>
          <cell r="S13">
            <v>0</v>
          </cell>
          <cell r="U13">
            <v>0</v>
          </cell>
          <cell r="AC13">
            <v>0</v>
          </cell>
          <cell r="AD13">
            <v>2.9428571428571429E-2</v>
          </cell>
          <cell r="AE13">
            <v>4</v>
          </cell>
          <cell r="AF13">
            <v>1562.8910305475026</v>
          </cell>
        </row>
        <row r="14">
          <cell r="B14">
            <v>22.913599999999999</v>
          </cell>
          <cell r="D14">
            <v>7.5362554979486607</v>
          </cell>
          <cell r="E14">
            <v>149.73261224999996</v>
          </cell>
          <cell r="F14">
            <v>0.21743539652777774</v>
          </cell>
          <cell r="H14">
            <v>86.236199999999997</v>
          </cell>
          <cell r="I14">
            <v>56.603756809870134</v>
          </cell>
          <cell r="L14">
            <v>1.6678944145753281</v>
          </cell>
          <cell r="N14">
            <v>0</v>
          </cell>
          <cell r="P14">
            <v>61.557874996527929</v>
          </cell>
          <cell r="Q14">
            <v>60.926299999999998</v>
          </cell>
          <cell r="R14">
            <v>6.8565018940972173</v>
          </cell>
          <cell r="S14">
            <v>0</v>
          </cell>
          <cell r="U14">
            <v>0</v>
          </cell>
          <cell r="AC14">
            <v>0</v>
          </cell>
          <cell r="AD14" t="str">
            <v>T</v>
          </cell>
          <cell r="AE14">
            <v>4</v>
          </cell>
          <cell r="AF14">
            <v>1959.5854235069457</v>
          </cell>
        </row>
        <row r="15">
          <cell r="B15">
            <v>22.885169999999999</v>
          </cell>
          <cell r="D15">
            <v>7.0475128821051083</v>
          </cell>
          <cell r="E15">
            <v>140.35808517361102</v>
          </cell>
          <cell r="F15">
            <v>0</v>
          </cell>
          <cell r="H15">
            <v>73.762969999999996</v>
          </cell>
          <cell r="I15">
            <v>54.47560737847212</v>
          </cell>
          <cell r="L15">
            <v>1.5596200579871133</v>
          </cell>
          <cell r="N15">
            <v>0</v>
          </cell>
          <cell r="P15">
            <v>58.063271434027875</v>
          </cell>
          <cell r="Q15">
            <v>61.471119999999999</v>
          </cell>
          <cell r="R15">
            <v>6.5608305048611193</v>
          </cell>
          <cell r="S15">
            <v>0</v>
          </cell>
          <cell r="U15">
            <v>0</v>
          </cell>
          <cell r="AC15">
            <v>0</v>
          </cell>
          <cell r="AD15">
            <v>0</v>
          </cell>
          <cell r="AE15">
            <v>4</v>
          </cell>
          <cell r="AF15">
            <v>1771.0693276041675</v>
          </cell>
        </row>
        <row r="16">
          <cell r="B16">
            <v>22.833739999999999</v>
          </cell>
          <cell r="D16">
            <v>7.0408157533301949</v>
          </cell>
          <cell r="E16">
            <v>141.13275059027768</v>
          </cell>
          <cell r="F16">
            <v>0</v>
          </cell>
          <cell r="H16">
            <v>79.609179999999995</v>
          </cell>
          <cell r="I16">
            <v>53.42617720138891</v>
          </cell>
          <cell r="L16">
            <v>1.3394683896193551</v>
          </cell>
          <cell r="N16">
            <v>0</v>
          </cell>
          <cell r="P16">
            <v>56.689736284722244</v>
          </cell>
          <cell r="Q16">
            <v>61.57188</v>
          </cell>
          <cell r="R16">
            <v>7.0167031718750028</v>
          </cell>
          <cell r="S16">
            <v>0</v>
          </cell>
          <cell r="U16">
            <v>0</v>
          </cell>
          <cell r="AC16">
            <v>0</v>
          </cell>
          <cell r="AD16">
            <v>0</v>
          </cell>
          <cell r="AE16">
            <v>4</v>
          </cell>
          <cell r="AF16">
            <v>1690.9566275694442</v>
          </cell>
        </row>
        <row r="17">
          <cell r="B17">
            <v>22.844460000000002</v>
          </cell>
          <cell r="D17">
            <v>6.9720991503816059</v>
          </cell>
          <cell r="E17">
            <v>141.51423812500008</v>
          </cell>
          <cell r="F17">
            <v>0</v>
          </cell>
          <cell r="H17">
            <v>77.195369999999997</v>
          </cell>
          <cell r="I17">
            <v>54.302129215277787</v>
          </cell>
          <cell r="L17">
            <v>1.3405557026496941</v>
          </cell>
          <cell r="N17">
            <v>0</v>
          </cell>
          <cell r="P17">
            <v>59.238072753472281</v>
          </cell>
          <cell r="Q17">
            <v>61.058639999999997</v>
          </cell>
          <cell r="R17">
            <v>7.3005106850694563</v>
          </cell>
          <cell r="S17">
            <v>0</v>
          </cell>
          <cell r="U17">
            <v>0</v>
          </cell>
          <cell r="AC17">
            <v>0</v>
          </cell>
          <cell r="AD17">
            <v>0</v>
          </cell>
          <cell r="AE17">
            <v>3</v>
          </cell>
          <cell r="AF17">
            <v>1648.1204309375028</v>
          </cell>
        </row>
        <row r="18">
          <cell r="B18">
            <v>23.096440000000001</v>
          </cell>
          <cell r="D18">
            <v>11.188073330426397</v>
          </cell>
          <cell r="E18">
            <v>141.65781982638907</v>
          </cell>
          <cell r="F18">
            <v>0</v>
          </cell>
          <cell r="H18">
            <v>81.18047</v>
          </cell>
          <cell r="I18">
            <v>53.210505878472226</v>
          </cell>
          <cell r="L18">
            <v>1.314717795188922</v>
          </cell>
          <cell r="N18">
            <v>0</v>
          </cell>
          <cell r="P18">
            <v>56.735524038194519</v>
          </cell>
          <cell r="Q18">
            <v>61.158499999999997</v>
          </cell>
          <cell r="R18">
            <v>7.4587404996527686</v>
          </cell>
          <cell r="S18">
            <v>0</v>
          </cell>
          <cell r="U18">
            <v>0</v>
          </cell>
          <cell r="AC18">
            <v>0</v>
          </cell>
          <cell r="AD18">
            <v>0</v>
          </cell>
          <cell r="AE18">
            <v>3</v>
          </cell>
          <cell r="AF18">
            <v>1618.4715240972246</v>
          </cell>
        </row>
        <row r="19">
          <cell r="B19">
            <v>23.701139999999999</v>
          </cell>
          <cell r="D19">
            <v>17.584633731638871</v>
          </cell>
          <cell r="E19">
            <v>144.78509190972233</v>
          </cell>
          <cell r="F19">
            <v>2.3739806111111097</v>
          </cell>
          <cell r="H19">
            <v>185.9263</v>
          </cell>
          <cell r="I19">
            <v>68.516345393857577</v>
          </cell>
          <cell r="L19">
            <v>1.2785309433537462</v>
          </cell>
          <cell r="N19">
            <v>0</v>
          </cell>
          <cell r="P19">
            <v>66.036492493055562</v>
          </cell>
          <cell r="Q19">
            <v>61.398440000000001</v>
          </cell>
          <cell r="R19">
            <v>7.6913625069444427</v>
          </cell>
          <cell r="S19">
            <v>2.5583333333333331</v>
          </cell>
          <cell r="U19">
            <v>0</v>
          </cell>
          <cell r="AC19">
            <v>0</v>
          </cell>
          <cell r="AD19">
            <v>0.19485714285714284</v>
          </cell>
          <cell r="AE19">
            <v>3</v>
          </cell>
          <cell r="AF19">
            <v>1810.272367777776</v>
          </cell>
        </row>
        <row r="20">
          <cell r="B20">
            <v>22.868500000000001</v>
          </cell>
          <cell r="D20">
            <v>7.1153173253652602</v>
          </cell>
          <cell r="E20">
            <v>144.69480600347225</v>
          </cell>
          <cell r="F20">
            <v>0.6013854434350695</v>
          </cell>
          <cell r="H20">
            <v>143.00630000000001</v>
          </cell>
          <cell r="I20">
            <v>60.510709100694569</v>
          </cell>
          <cell r="L20">
            <v>1.4303454645973408</v>
          </cell>
          <cell r="N20">
            <v>0</v>
          </cell>
          <cell r="P20">
            <v>70.716513208333325</v>
          </cell>
          <cell r="Q20">
            <v>60.767189999999999</v>
          </cell>
          <cell r="R20">
            <v>8.6687735517360966</v>
          </cell>
          <cell r="S20">
            <v>0.44166666666666665</v>
          </cell>
          <cell r="U20">
            <v>0</v>
          </cell>
          <cell r="AC20">
            <v>0</v>
          </cell>
          <cell r="AD20">
            <v>5.8571428571428566E-2</v>
          </cell>
          <cell r="AE20">
            <v>3</v>
          </cell>
          <cell r="AF20">
            <v>1681.2712764236112</v>
          </cell>
        </row>
        <row r="21">
          <cell r="B21">
            <v>63.423909999999999</v>
          </cell>
          <cell r="D21">
            <v>49.596713058926952</v>
          </cell>
          <cell r="E21">
            <v>158.10864364583321</v>
          </cell>
          <cell r="F21">
            <v>25.922407127777802</v>
          </cell>
          <cell r="H21">
            <v>311.51940000000002</v>
          </cell>
          <cell r="I21">
            <v>131.26475308333329</v>
          </cell>
          <cell r="L21">
            <v>1.6112941609630158</v>
          </cell>
          <cell r="N21">
            <v>40.375189697916653</v>
          </cell>
          <cell r="P21">
            <v>85.819587923611024</v>
          </cell>
          <cell r="Q21">
            <v>61.021459999999998</v>
          </cell>
          <cell r="R21">
            <v>8.8828787718750224</v>
          </cell>
          <cell r="S21">
            <v>8.2416666666666671</v>
          </cell>
          <cell r="U21">
            <v>0</v>
          </cell>
          <cell r="AC21">
            <v>6.416666666666667</v>
          </cell>
          <cell r="AD21">
            <v>1.1499999999999999</v>
          </cell>
          <cell r="AE21">
            <v>3</v>
          </cell>
          <cell r="AF21">
            <v>3335.293662236355</v>
          </cell>
        </row>
        <row r="22">
          <cell r="B22">
            <v>63.208599999999997</v>
          </cell>
          <cell r="D22">
            <v>108.7989178413245</v>
          </cell>
          <cell r="E22">
            <v>164.15069412847208</v>
          </cell>
          <cell r="F22">
            <v>21.814148239645814</v>
          </cell>
          <cell r="H22">
            <v>285.05810000000002</v>
          </cell>
          <cell r="I22">
            <v>188.44385234840274</v>
          </cell>
          <cell r="L22">
            <v>1.7831555380443487</v>
          </cell>
          <cell r="N22">
            <v>78.028830916666735</v>
          </cell>
          <cell r="P22">
            <v>115.88933301736117</v>
          </cell>
          <cell r="Q22">
            <v>55.515790000000003</v>
          </cell>
          <cell r="R22">
            <v>17.392257844791704</v>
          </cell>
          <cell r="S22">
            <v>17.341666666666665</v>
          </cell>
          <cell r="U22">
            <v>0</v>
          </cell>
          <cell r="AC22">
            <v>16.666666666666668</v>
          </cell>
          <cell r="AD22">
            <v>3.4857142857142857E-2</v>
          </cell>
          <cell r="AE22">
            <v>4</v>
          </cell>
          <cell r="AF22">
            <v>3813.8748779678526</v>
          </cell>
        </row>
        <row r="23">
          <cell r="B23">
            <v>35.128369999999997</v>
          </cell>
          <cell r="D23">
            <v>41.416241356944482</v>
          </cell>
          <cell r="E23">
            <v>161.48674899305576</v>
          </cell>
          <cell r="F23">
            <v>16.112996717139591</v>
          </cell>
          <cell r="H23">
            <v>315.42200000000003</v>
          </cell>
          <cell r="I23">
            <v>145.46042676736121</v>
          </cell>
          <cell r="L23">
            <v>1.6997394807676907</v>
          </cell>
          <cell r="N23">
            <v>43.998575041666641</v>
          </cell>
          <cell r="P23">
            <v>104.33788848263907</v>
          </cell>
          <cell r="Q23">
            <v>57.686230000000002</v>
          </cell>
          <cell r="R23">
            <v>8.7089143538194733</v>
          </cell>
          <cell r="S23">
            <v>11.316666666666666</v>
          </cell>
          <cell r="U23">
            <v>0</v>
          </cell>
          <cell r="AC23">
            <v>8.5166666666666675</v>
          </cell>
          <cell r="AD23">
            <v>0.48314285714285715</v>
          </cell>
          <cell r="AE23">
            <v>4</v>
          </cell>
          <cell r="AF23">
            <v>2910.2554941985063</v>
          </cell>
        </row>
        <row r="24">
          <cell r="B24">
            <v>22.88833</v>
          </cell>
          <cell r="D24">
            <v>6.6335965892992359</v>
          </cell>
          <cell r="E24">
            <v>154.44682138888896</v>
          </cell>
          <cell r="F24">
            <v>0</v>
          </cell>
          <cell r="H24">
            <v>84.960849999999994</v>
          </cell>
          <cell r="I24">
            <v>67.602457659722162</v>
          </cell>
          <cell r="L24">
            <v>1.6310814791466521</v>
          </cell>
          <cell r="N24">
            <v>0</v>
          </cell>
          <cell r="P24">
            <v>80.501469586805641</v>
          </cell>
          <cell r="Q24">
            <v>58.594949999999997</v>
          </cell>
          <cell r="R24">
            <v>7.9388027878472185</v>
          </cell>
          <cell r="S24">
            <v>0</v>
          </cell>
          <cell r="U24">
            <v>0</v>
          </cell>
          <cell r="AC24">
            <v>0</v>
          </cell>
          <cell r="AD24">
            <v>3.1515151515151517E-2</v>
          </cell>
          <cell r="AE24">
            <v>4</v>
          </cell>
          <cell r="AF24">
            <v>1480.001657951389</v>
          </cell>
        </row>
        <row r="25">
          <cell r="B25">
            <v>31.361820000000002</v>
          </cell>
          <cell r="D25">
            <v>23.978701722871893</v>
          </cell>
          <cell r="E25">
            <v>159.5765179826391</v>
          </cell>
          <cell r="F25">
            <v>10.76125477847221</v>
          </cell>
          <cell r="H25">
            <v>282.07929999999999</v>
          </cell>
          <cell r="I25">
            <v>116.1367787708331</v>
          </cell>
          <cell r="L25">
            <v>1.6101324482168593</v>
          </cell>
          <cell r="N25">
            <v>23.556970222222247</v>
          </cell>
          <cell r="P25">
            <v>90.231042760416614</v>
          </cell>
          <cell r="Q25">
            <v>59.553040000000003</v>
          </cell>
          <cell r="R25">
            <v>9.0955062569444287</v>
          </cell>
          <cell r="S25">
            <v>6.7249999999999996</v>
          </cell>
          <cell r="U25">
            <v>0</v>
          </cell>
          <cell r="AC25">
            <v>5.4333333333333336</v>
          </cell>
          <cell r="AD25">
            <v>0.37457142857142856</v>
          </cell>
          <cell r="AE25">
            <v>4</v>
          </cell>
          <cell r="AF25">
            <v>2493.9775853142355</v>
          </cell>
        </row>
        <row r="26">
          <cell r="B26">
            <v>22.863350000000001</v>
          </cell>
          <cell r="D26">
            <v>2.9187472171676978</v>
          </cell>
          <cell r="E26">
            <v>156.70120996527788</v>
          </cell>
          <cell r="F26">
            <v>0.4266328524305556</v>
          </cell>
          <cell r="H26">
            <v>145.7663</v>
          </cell>
          <cell r="I26">
            <v>82.363051128472321</v>
          </cell>
          <cell r="L26">
            <v>1.7038205531540211</v>
          </cell>
          <cell r="N26">
            <v>0</v>
          </cell>
          <cell r="P26">
            <v>94.460625118055702</v>
          </cell>
          <cell r="Q26">
            <v>58.93676</v>
          </cell>
          <cell r="R26">
            <v>9.6885069357638667</v>
          </cell>
          <cell r="S26">
            <v>0.67500000000000004</v>
          </cell>
          <cell r="U26">
            <v>0</v>
          </cell>
          <cell r="AC26">
            <v>0</v>
          </cell>
          <cell r="AD26">
            <v>3.5142857142857142E-2</v>
          </cell>
          <cell r="AE26">
            <v>3</v>
          </cell>
          <cell r="AF26">
            <v>1503.8248391618731</v>
          </cell>
        </row>
        <row r="27">
          <cell r="B27">
            <v>23.069569999999999</v>
          </cell>
          <cell r="D27">
            <v>2.2608916694724268</v>
          </cell>
          <cell r="E27">
            <v>159.93195517361113</v>
          </cell>
          <cell r="F27">
            <v>0</v>
          </cell>
          <cell r="H27">
            <v>78.835400000000007</v>
          </cell>
          <cell r="I27">
            <v>63.443430267361116</v>
          </cell>
          <cell r="L27">
            <v>1.7518401191762754</v>
          </cell>
          <cell r="N27">
            <v>0</v>
          </cell>
          <cell r="P27">
            <v>67.374210156250072</v>
          </cell>
          <cell r="Q27">
            <v>60.256439999999998</v>
          </cell>
          <cell r="R27">
            <v>9.3108609156250246</v>
          </cell>
          <cell r="S27">
            <v>0</v>
          </cell>
          <cell r="U27">
            <v>0</v>
          </cell>
          <cell r="AC27">
            <v>0</v>
          </cell>
          <cell r="AD27" t="str">
            <v>T</v>
          </cell>
          <cell r="AE27">
            <v>3</v>
          </cell>
          <cell r="AF27">
            <v>1422.9216488194436</v>
          </cell>
        </row>
        <row r="28">
          <cell r="B28">
            <v>22.93478</v>
          </cell>
          <cell r="D28">
            <v>2.2283896170138906</v>
          </cell>
          <cell r="E28">
            <v>160.30829249999994</v>
          </cell>
          <cell r="F28">
            <v>0</v>
          </cell>
          <cell r="H28">
            <v>79.128450000000001</v>
          </cell>
          <cell r="I28">
            <v>59.51923723263878</v>
          </cell>
          <cell r="L28">
            <v>1.7126548230867757</v>
          </cell>
          <cell r="P28">
            <v>64.412447163194457</v>
          </cell>
          <cell r="Q28">
            <v>60.620980000000003</v>
          </cell>
          <cell r="R28">
            <v>8.648435759375019</v>
          </cell>
          <cell r="S28">
            <v>0</v>
          </cell>
          <cell r="U28">
            <v>0</v>
          </cell>
          <cell r="AC28">
            <v>0</v>
          </cell>
          <cell r="AD28">
            <v>0</v>
          </cell>
          <cell r="AE28">
            <v>3</v>
          </cell>
          <cell r="AF28">
            <v>1599.6294496527776</v>
          </cell>
        </row>
        <row r="29">
          <cell r="B29">
            <v>23.030080000000002</v>
          </cell>
          <cell r="D29">
            <v>1.8766814331250004</v>
          </cell>
          <cell r="E29">
            <v>160.475787326389</v>
          </cell>
          <cell r="F29">
            <v>0</v>
          </cell>
          <cell r="H29">
            <v>74.940290000000005</v>
          </cell>
          <cell r="I29">
            <v>55.282743635416665</v>
          </cell>
          <cell r="L29">
            <v>1.6814229156660281</v>
          </cell>
          <cell r="N29">
            <v>0</v>
          </cell>
          <cell r="P29">
            <v>60.574170576388781</v>
          </cell>
          <cell r="Q29">
            <v>60.666400000000003</v>
          </cell>
          <cell r="R29">
            <v>8.4569099003472257</v>
          </cell>
          <cell r="S29">
            <v>0</v>
          </cell>
          <cell r="U29">
            <v>0</v>
          </cell>
          <cell r="AC29">
            <v>0</v>
          </cell>
          <cell r="AD29">
            <v>0</v>
          </cell>
          <cell r="AE29">
            <v>3</v>
          </cell>
          <cell r="AF29">
            <v>1676.0363506944439</v>
          </cell>
        </row>
        <row r="30">
          <cell r="B30">
            <v>22.82929</v>
          </cell>
          <cell r="D30">
            <v>1.8129022875632517</v>
          </cell>
          <cell r="E30">
            <v>160.61186979166672</v>
          </cell>
          <cell r="F30">
            <v>0</v>
          </cell>
          <cell r="H30">
            <v>82.180940000000007</v>
          </cell>
          <cell r="I30">
            <v>54.39654560069458</v>
          </cell>
          <cell r="L30">
            <v>1.5497115353826441</v>
          </cell>
          <cell r="N30">
            <v>0</v>
          </cell>
          <cell r="P30">
            <v>58.311239673610999</v>
          </cell>
          <cell r="Q30">
            <v>60.758150000000001</v>
          </cell>
          <cell r="R30">
            <v>7.7968753434027827</v>
          </cell>
          <cell r="S30">
            <v>0</v>
          </cell>
          <cell r="U30">
            <v>0</v>
          </cell>
          <cell r="AC30">
            <v>0</v>
          </cell>
          <cell r="AD30">
            <v>0.01</v>
          </cell>
          <cell r="AE30">
            <v>3</v>
          </cell>
          <cell r="AF30">
            <v>1536.5423532638879</v>
          </cell>
        </row>
        <row r="31">
          <cell r="B31">
            <v>22.80086</v>
          </cell>
          <cell r="D31">
            <v>2.1375986584749938</v>
          </cell>
          <cell r="E31">
            <v>160.78019013888888</v>
          </cell>
          <cell r="F31">
            <v>0</v>
          </cell>
          <cell r="H31">
            <v>80.870909999999995</v>
          </cell>
          <cell r="I31">
            <v>57.059523986111081</v>
          </cell>
          <cell r="L31">
            <v>1.4331801424911947</v>
          </cell>
          <cell r="N31">
            <v>0</v>
          </cell>
          <cell r="P31">
            <v>59.851944263888974</v>
          </cell>
          <cell r="Q31">
            <v>60.772170000000003</v>
          </cell>
          <cell r="R31">
            <v>7.8018844427083414</v>
          </cell>
          <cell r="S31">
            <v>0</v>
          </cell>
          <cell r="U31">
            <v>0</v>
          </cell>
          <cell r="AC31">
            <v>0</v>
          </cell>
          <cell r="AD31" t="str">
            <v>T</v>
          </cell>
          <cell r="AE31">
            <v>3</v>
          </cell>
          <cell r="AF31">
            <v>1510.6568986458321</v>
          </cell>
        </row>
        <row r="32">
          <cell r="B32">
            <v>22.795290000000001</v>
          </cell>
          <cell r="D32">
            <v>1.8349479786612759</v>
          </cell>
          <cell r="E32">
            <v>160.91442454861112</v>
          </cell>
          <cell r="F32">
            <v>0</v>
          </cell>
          <cell r="H32">
            <v>75.496859999999998</v>
          </cell>
          <cell r="I32">
            <v>57.059591881944492</v>
          </cell>
          <cell r="L32">
            <v>1.5629107706432128</v>
          </cell>
          <cell r="N32">
            <v>0</v>
          </cell>
          <cell r="P32">
            <v>60.076876986111102</v>
          </cell>
          <cell r="Q32">
            <v>60.797939999999997</v>
          </cell>
          <cell r="R32">
            <v>8.2876379246527527</v>
          </cell>
          <cell r="S32">
            <v>0</v>
          </cell>
          <cell r="U32">
            <v>0</v>
          </cell>
          <cell r="AC32">
            <v>0</v>
          </cell>
          <cell r="AD32">
            <v>0</v>
          </cell>
          <cell r="AE32">
            <v>3</v>
          </cell>
          <cell r="AF32">
            <v>1586.3571704861099</v>
          </cell>
        </row>
        <row r="33">
          <cell r="B33">
            <v>22.774570000000001</v>
          </cell>
          <cell r="D33">
            <v>2.0911594743675459</v>
          </cell>
          <cell r="E33">
            <v>160.73902392361092</v>
          </cell>
          <cell r="F33">
            <v>0</v>
          </cell>
          <cell r="H33">
            <v>82.809010000000001</v>
          </cell>
          <cell r="I33">
            <v>56.59560693749998</v>
          </cell>
          <cell r="L33">
            <v>1.5642245862351929</v>
          </cell>
          <cell r="N33">
            <v>0</v>
          </cell>
          <cell r="P33">
            <v>59.790066093749893</v>
          </cell>
          <cell r="Q33">
            <v>60.968539999999997</v>
          </cell>
          <cell r="R33">
            <v>8.5717557267361162</v>
          </cell>
          <cell r="S33">
            <v>0</v>
          </cell>
          <cell r="U33">
            <v>0</v>
          </cell>
          <cell r="AC33">
            <v>0</v>
          </cell>
          <cell r="AD33">
            <v>0</v>
          </cell>
          <cell r="AE33">
            <v>3</v>
          </cell>
          <cell r="AF33">
            <v>1732.3528920138911</v>
          </cell>
        </row>
        <row r="34">
          <cell r="B34">
            <v>22.7849</v>
          </cell>
          <cell r="D34">
            <v>1.8187763937499992</v>
          </cell>
          <cell r="E34">
            <v>161.08734902777772</v>
          </cell>
          <cell r="F34">
            <v>0</v>
          </cell>
          <cell r="H34">
            <v>74.157210000000006</v>
          </cell>
          <cell r="I34">
            <v>53.782902565972272</v>
          </cell>
          <cell r="L34">
            <v>1.5634696615834154</v>
          </cell>
          <cell r="N34">
            <v>0</v>
          </cell>
          <cell r="P34">
            <v>58.533987722222193</v>
          </cell>
          <cell r="Q34">
            <v>61.159030000000001</v>
          </cell>
          <cell r="R34">
            <v>9.3093533638889028</v>
          </cell>
          <cell r="S34">
            <v>0</v>
          </cell>
          <cell r="U34">
            <v>0</v>
          </cell>
          <cell r="AC34">
            <v>0</v>
          </cell>
          <cell r="AD34">
            <v>0</v>
          </cell>
          <cell r="AE34">
            <v>3</v>
          </cell>
          <cell r="AF34">
            <v>1964.4517979166701</v>
          </cell>
        </row>
      </sheetData>
      <sheetData sheetId="2">
        <row r="3">
          <cell r="D3">
            <v>1924</v>
          </cell>
          <cell r="E3">
            <v>476.66666666666669</v>
          </cell>
          <cell r="F3">
            <v>0.70027777777777767</v>
          </cell>
          <cell r="K3">
            <v>187.33333333333334</v>
          </cell>
          <cell r="L3">
            <v>3.5482316576729556</v>
          </cell>
          <cell r="R3">
            <v>58.9</v>
          </cell>
          <cell r="S3">
            <v>59.3</v>
          </cell>
          <cell r="Y3">
            <v>58.6</v>
          </cell>
          <cell r="Z3">
            <v>60.66</v>
          </cell>
          <cell r="AF3">
            <v>59.6</v>
          </cell>
          <cell r="AG3">
            <v>60.5</v>
          </cell>
          <cell r="AH3">
            <v>8</v>
          </cell>
          <cell r="AI3">
            <v>8</v>
          </cell>
        </row>
        <row r="4">
          <cell r="D4">
            <v>1841</v>
          </cell>
          <cell r="E4">
            <v>366.66666666666669</v>
          </cell>
          <cell r="F4">
            <v>0.6825</v>
          </cell>
          <cell r="K4">
            <v>179.33333333333334</v>
          </cell>
          <cell r="L4">
            <v>3.3440456276742325</v>
          </cell>
          <cell r="R4">
            <v>58.5</v>
          </cell>
          <cell r="S4">
            <v>59.1</v>
          </cell>
          <cell r="Y4">
            <v>59.2</v>
          </cell>
          <cell r="Z4">
            <v>60.55</v>
          </cell>
          <cell r="AF4">
            <v>61.2</v>
          </cell>
          <cell r="AG4">
            <v>60.6</v>
          </cell>
          <cell r="AH4">
            <v>8</v>
          </cell>
          <cell r="AI4">
            <v>8</v>
          </cell>
        </row>
        <row r="5">
          <cell r="D5">
            <v>1826</v>
          </cell>
          <cell r="E5">
            <v>503.33333333333331</v>
          </cell>
          <cell r="F5">
            <v>0.66638888888888892</v>
          </cell>
          <cell r="K5">
            <v>176.66666666666666</v>
          </cell>
          <cell r="L5">
            <v>3.3160782115813547</v>
          </cell>
          <cell r="R5">
            <v>60.2</v>
          </cell>
          <cell r="S5">
            <v>61.2</v>
          </cell>
          <cell r="Y5">
            <v>60.1</v>
          </cell>
          <cell r="Z5">
            <v>61.48</v>
          </cell>
          <cell r="AF5">
            <v>61.3</v>
          </cell>
          <cell r="AG5">
            <v>61</v>
          </cell>
          <cell r="AH5">
            <v>8</v>
          </cell>
          <cell r="AI5">
            <v>8</v>
          </cell>
        </row>
        <row r="6">
          <cell r="D6">
            <v>1811.3333333333333</v>
          </cell>
          <cell r="E6">
            <v>651.33333333333337</v>
          </cell>
          <cell r="F6">
            <v>0.67555555555555558</v>
          </cell>
          <cell r="K6">
            <v>178</v>
          </cell>
          <cell r="L6">
            <v>3.1326262938248042</v>
          </cell>
          <cell r="R6">
            <v>57.1</v>
          </cell>
          <cell r="S6">
            <v>61.8</v>
          </cell>
          <cell r="Y6">
            <v>58.1</v>
          </cell>
          <cell r="Z6">
            <v>61.5</v>
          </cell>
          <cell r="AF6">
            <v>61.2</v>
          </cell>
          <cell r="AG6">
            <v>60.09</v>
          </cell>
          <cell r="AH6">
            <v>8</v>
          </cell>
          <cell r="AI6">
            <v>8</v>
          </cell>
        </row>
        <row r="7">
          <cell r="D7">
            <v>1695</v>
          </cell>
          <cell r="E7">
            <v>598.66666666666663</v>
          </cell>
          <cell r="F7">
            <v>0.66638888888888881</v>
          </cell>
          <cell r="K7">
            <v>209.66666666666666</v>
          </cell>
          <cell r="L7">
            <v>3.0894566263365193</v>
          </cell>
          <cell r="R7">
            <v>61.9</v>
          </cell>
          <cell r="S7">
            <v>61.7</v>
          </cell>
          <cell r="Y7">
            <v>60.8</v>
          </cell>
          <cell r="Z7">
            <v>61.9</v>
          </cell>
          <cell r="AF7">
            <v>60.9</v>
          </cell>
          <cell r="AG7">
            <v>61.6</v>
          </cell>
          <cell r="AH7">
            <v>8</v>
          </cell>
          <cell r="AI7">
            <v>8</v>
          </cell>
        </row>
        <row r="8">
          <cell r="D8">
            <v>1524.6666666666667</v>
          </cell>
          <cell r="E8">
            <v>877</v>
          </cell>
          <cell r="F8">
            <v>0.66083333333333327</v>
          </cell>
          <cell r="K8">
            <v>218.66666666666666</v>
          </cell>
          <cell r="L8">
            <v>3.1211539233652856</v>
          </cell>
          <cell r="R8">
            <v>55.3</v>
          </cell>
          <cell r="S8">
            <v>61.5</v>
          </cell>
          <cell r="Y8">
            <v>58.3</v>
          </cell>
          <cell r="Z8">
            <v>60.2</v>
          </cell>
          <cell r="AF8">
            <v>53.5</v>
          </cell>
          <cell r="AG8">
            <v>55.6</v>
          </cell>
          <cell r="AH8">
            <v>8</v>
          </cell>
          <cell r="AI8">
            <v>8</v>
          </cell>
        </row>
        <row r="9">
          <cell r="D9">
            <v>1866</v>
          </cell>
          <cell r="E9">
            <v>787</v>
          </cell>
          <cell r="F9">
            <v>0.66444444444444439</v>
          </cell>
          <cell r="K9">
            <v>201</v>
          </cell>
          <cell r="L9">
            <v>3.1305393239489527</v>
          </cell>
          <cell r="R9"/>
          <cell r="S9"/>
          <cell r="Y9">
            <v>59.6</v>
          </cell>
          <cell r="Z9">
            <v>57.56</v>
          </cell>
          <cell r="AF9">
            <v>60.8</v>
          </cell>
          <cell r="AG9">
            <v>59.1</v>
          </cell>
          <cell r="AH9">
            <v>8</v>
          </cell>
          <cell r="AI9">
            <v>8</v>
          </cell>
        </row>
        <row r="10">
          <cell r="D10">
            <v>1333</v>
          </cell>
          <cell r="E10">
            <v>532</v>
          </cell>
          <cell r="F10">
            <v>0.65055555555555555</v>
          </cell>
          <cell r="K10">
            <v>238.5</v>
          </cell>
          <cell r="L10">
            <v>3.1763164941063127</v>
          </cell>
          <cell r="R10">
            <v>60.9</v>
          </cell>
          <cell r="S10">
            <v>60.5</v>
          </cell>
          <cell r="Y10"/>
          <cell r="Z10"/>
          <cell r="AF10">
            <v>58.3</v>
          </cell>
          <cell r="AG10">
            <v>54.4</v>
          </cell>
          <cell r="AH10">
            <v>8</v>
          </cell>
          <cell r="AI10">
            <v>8</v>
          </cell>
        </row>
        <row r="11">
          <cell r="D11">
            <v>1689.6666666666667</v>
          </cell>
          <cell r="E11">
            <v>597</v>
          </cell>
          <cell r="F11">
            <v>0.63750000000000007</v>
          </cell>
          <cell r="K11">
            <v>188</v>
          </cell>
          <cell r="L11">
            <v>3.2837100444925085</v>
          </cell>
          <cell r="R11">
            <v>58.8</v>
          </cell>
          <cell r="S11">
            <v>57.7</v>
          </cell>
          <cell r="Y11">
            <v>59.8</v>
          </cell>
          <cell r="Z11">
            <v>58.3</v>
          </cell>
          <cell r="AF11">
            <v>56</v>
          </cell>
          <cell r="AG11">
            <v>57.5</v>
          </cell>
          <cell r="AH11">
            <v>8</v>
          </cell>
          <cell r="AI11">
            <v>8</v>
          </cell>
        </row>
        <row r="12">
          <cell r="D12">
            <v>1894.6666666666667</v>
          </cell>
          <cell r="E12">
            <v>707.33333333333337</v>
          </cell>
          <cell r="F12">
            <v>0.63916666666666677</v>
          </cell>
          <cell r="K12">
            <v>217.66666666666666</v>
          </cell>
          <cell r="L12">
            <v>3.4690266189743553</v>
          </cell>
          <cell r="R12">
            <v>58</v>
          </cell>
          <cell r="S12">
            <v>57.3</v>
          </cell>
          <cell r="Y12">
            <v>58.2</v>
          </cell>
          <cell r="Z12">
            <v>58</v>
          </cell>
          <cell r="AF12">
            <v>60.1</v>
          </cell>
          <cell r="AG12">
            <v>59.2</v>
          </cell>
          <cell r="AH12">
            <v>8</v>
          </cell>
          <cell r="AI12">
            <v>8</v>
          </cell>
        </row>
        <row r="13">
          <cell r="D13">
            <v>1857.6666666666667</v>
          </cell>
          <cell r="E13">
            <v>547.66666666666663</v>
          </cell>
          <cell r="F13">
            <v>0.65722222222222226</v>
          </cell>
          <cell r="K13">
            <v>214.66666666666666</v>
          </cell>
          <cell r="L13">
            <v>3.2908537352952805</v>
          </cell>
          <cell r="R13">
            <v>58.6</v>
          </cell>
          <cell r="S13">
            <v>60.6</v>
          </cell>
          <cell r="Y13">
            <v>58</v>
          </cell>
          <cell r="Z13">
            <v>60.9</v>
          </cell>
          <cell r="AF13">
            <v>61.3</v>
          </cell>
          <cell r="AG13">
            <v>60.6</v>
          </cell>
          <cell r="AH13">
            <v>8</v>
          </cell>
          <cell r="AI13">
            <v>8</v>
          </cell>
        </row>
        <row r="14">
          <cell r="D14">
            <v>1887.3333333333333</v>
          </cell>
          <cell r="E14">
            <v>466.66666666666669</v>
          </cell>
          <cell r="F14">
            <v>0.65027777777777784</v>
          </cell>
          <cell r="K14">
            <v>200.33333333333334</v>
          </cell>
          <cell r="L14">
            <v>3.3002284220579305</v>
          </cell>
          <cell r="R14">
            <v>60.7</v>
          </cell>
          <cell r="S14">
            <v>60.9</v>
          </cell>
          <cell r="Y14">
            <v>60.1</v>
          </cell>
          <cell r="Z14">
            <v>61.4</v>
          </cell>
          <cell r="AF14">
            <v>60.6</v>
          </cell>
          <cell r="AG14">
            <v>61.1</v>
          </cell>
          <cell r="AH14">
            <v>8</v>
          </cell>
          <cell r="AI14">
            <v>8</v>
          </cell>
        </row>
        <row r="15">
          <cell r="D15">
            <v>1835</v>
          </cell>
          <cell r="E15">
            <v>495.33333333333331</v>
          </cell>
          <cell r="F15">
            <v>0.65861111111111115</v>
          </cell>
          <cell r="K15">
            <v>271.33333333333331</v>
          </cell>
          <cell r="L15">
            <v>3.37751550068714</v>
          </cell>
          <cell r="R15">
            <v>60.4</v>
          </cell>
          <cell r="S15">
            <v>61.3</v>
          </cell>
          <cell r="Y15">
            <v>59.8</v>
          </cell>
          <cell r="Z15">
            <v>61.43</v>
          </cell>
          <cell r="AF15">
            <v>60.7</v>
          </cell>
          <cell r="AG15">
            <v>61</v>
          </cell>
          <cell r="AH15">
            <v>8</v>
          </cell>
          <cell r="AI15">
            <v>8</v>
          </cell>
        </row>
        <row r="16">
          <cell r="D16">
            <v>1723.3333333333333</v>
          </cell>
          <cell r="E16">
            <v>770.33333333333337</v>
          </cell>
          <cell r="F16">
            <v>0.66833333333333333</v>
          </cell>
          <cell r="K16">
            <v>281.66666666666669</v>
          </cell>
          <cell r="L16">
            <v>3.3863489971242413</v>
          </cell>
          <cell r="R16">
            <v>59.2</v>
          </cell>
          <cell r="S16">
            <v>60.8</v>
          </cell>
          <cell r="Y16">
            <v>60.5</v>
          </cell>
          <cell r="Z16">
            <v>60.9</v>
          </cell>
          <cell r="AF16">
            <v>61.2</v>
          </cell>
          <cell r="AG16">
            <v>60.74</v>
          </cell>
          <cell r="AH16">
            <v>8</v>
          </cell>
          <cell r="AI16">
            <v>8</v>
          </cell>
        </row>
        <row r="17">
          <cell r="D17">
            <v>1790.6666666666667</v>
          </cell>
          <cell r="E17">
            <v>467</v>
          </cell>
          <cell r="F17">
            <v>0.6544444444444445</v>
          </cell>
          <cell r="K17">
            <v>239.33333333333334</v>
          </cell>
          <cell r="L17">
            <v>3.6482871612638288</v>
          </cell>
          <cell r="R17">
            <v>60.9</v>
          </cell>
          <cell r="S17">
            <v>60.8</v>
          </cell>
          <cell r="Y17">
            <v>59.6</v>
          </cell>
          <cell r="Z17">
            <v>60.9</v>
          </cell>
          <cell r="AF17">
            <v>61.2</v>
          </cell>
          <cell r="AG17">
            <v>61</v>
          </cell>
          <cell r="AH17">
            <v>8</v>
          </cell>
          <cell r="AI17">
            <v>8</v>
          </cell>
        </row>
        <row r="18">
          <cell r="D18">
            <v>2024.3333333333333</v>
          </cell>
          <cell r="E18">
            <v>446.33333333333331</v>
          </cell>
          <cell r="F18">
            <v>0.6658333333333335</v>
          </cell>
          <cell r="K18">
            <v>204.66666666666666</v>
          </cell>
          <cell r="L18">
            <v>3.7829292325120902</v>
          </cell>
          <cell r="R18">
            <v>59.7</v>
          </cell>
          <cell r="S18">
            <v>61.06</v>
          </cell>
          <cell r="Y18">
            <v>60.8</v>
          </cell>
          <cell r="Z18">
            <v>61.1</v>
          </cell>
          <cell r="AF18">
            <v>61.1</v>
          </cell>
          <cell r="AG18" t="str">
            <v>61,0</v>
          </cell>
          <cell r="AH18">
            <v>8</v>
          </cell>
          <cell r="AI18">
            <v>8</v>
          </cell>
        </row>
        <row r="19">
          <cell r="D19">
            <v>2054</v>
          </cell>
          <cell r="E19">
            <v>739.66666666666663</v>
          </cell>
          <cell r="F19">
            <v>0.69027777777777788</v>
          </cell>
          <cell r="K19">
            <v>243</v>
          </cell>
          <cell r="L19">
            <v>3.8322223592266949</v>
          </cell>
          <cell r="R19">
            <v>58.4</v>
          </cell>
          <cell r="S19">
            <v>56.7</v>
          </cell>
          <cell r="Y19">
            <v>58.9</v>
          </cell>
          <cell r="Z19">
            <v>56.6</v>
          </cell>
          <cell r="AF19">
            <v>60.3</v>
          </cell>
          <cell r="AG19">
            <v>57.7</v>
          </cell>
          <cell r="AH19">
            <v>8</v>
          </cell>
          <cell r="AI19">
            <v>8</v>
          </cell>
        </row>
        <row r="20">
          <cell r="D20">
            <v>1987.6666666666667</v>
          </cell>
          <cell r="E20">
            <v>943</v>
          </cell>
          <cell r="F20">
            <v>0.7058333333333332</v>
          </cell>
          <cell r="K20">
            <v>227.33333333333334</v>
          </cell>
          <cell r="L20">
            <v>3.7984732163015273</v>
          </cell>
          <cell r="R20">
            <v>59.1</v>
          </cell>
          <cell r="S20">
            <v>60.6</v>
          </cell>
          <cell r="Y20">
            <v>59.3</v>
          </cell>
          <cell r="Z20">
            <v>60.9</v>
          </cell>
          <cell r="AF20">
            <v>55.1</v>
          </cell>
          <cell r="AG20">
            <v>60.5</v>
          </cell>
          <cell r="AH20">
            <v>8</v>
          </cell>
          <cell r="AI20">
            <v>8</v>
          </cell>
        </row>
        <row r="21">
          <cell r="D21">
            <v>1040</v>
          </cell>
          <cell r="E21">
            <v>1404</v>
          </cell>
          <cell r="F21">
            <v>0.68833333333333335</v>
          </cell>
          <cell r="K21">
            <v>240</v>
          </cell>
          <cell r="L21">
            <v>3.8681899640678719</v>
          </cell>
          <cell r="R21"/>
          <cell r="S21"/>
          <cell r="Y21"/>
          <cell r="Z21"/>
          <cell r="AF21">
            <v>56.7</v>
          </cell>
          <cell r="AG21">
            <v>52</v>
          </cell>
          <cell r="AH21">
            <v>8</v>
          </cell>
          <cell r="AI21">
            <v>8</v>
          </cell>
        </row>
        <row r="22">
          <cell r="D22">
            <v>1432.5</v>
          </cell>
          <cell r="E22">
            <v>637.5</v>
          </cell>
          <cell r="F22">
            <v>0.66527777777777786</v>
          </cell>
          <cell r="K22">
            <v>255</v>
          </cell>
          <cell r="L22">
            <v>3.6492028051026946</v>
          </cell>
          <cell r="R22">
            <v>57.4</v>
          </cell>
          <cell r="S22">
            <v>57.5</v>
          </cell>
          <cell r="Y22"/>
          <cell r="Z22"/>
          <cell r="AF22">
            <v>51.4</v>
          </cell>
          <cell r="AG22">
            <v>52.6</v>
          </cell>
          <cell r="AH22">
            <v>8</v>
          </cell>
          <cell r="AI22">
            <v>8</v>
          </cell>
        </row>
        <row r="23">
          <cell r="D23">
            <v>1701.6666666666667</v>
          </cell>
          <cell r="E23">
            <v>1070.3333333333333</v>
          </cell>
          <cell r="F23">
            <v>0.62972222222222241</v>
          </cell>
          <cell r="K23">
            <v>223</v>
          </cell>
          <cell r="L23">
            <v>3.5381174706468372</v>
          </cell>
          <cell r="R23">
            <v>56.8</v>
          </cell>
          <cell r="S23">
            <v>55.3</v>
          </cell>
          <cell r="Y23">
            <v>56.9</v>
          </cell>
          <cell r="Z23">
            <v>56.33</v>
          </cell>
          <cell r="AF23">
            <v>59.2</v>
          </cell>
          <cell r="AG23">
            <v>57.52</v>
          </cell>
          <cell r="AH23">
            <v>8</v>
          </cell>
          <cell r="AI23">
            <v>8</v>
          </cell>
        </row>
        <row r="24">
          <cell r="D24">
            <v>1654.6666666666667</v>
          </cell>
          <cell r="E24">
            <v>707.33333333333337</v>
          </cell>
          <cell r="F24">
            <v>0.59638888888888897</v>
          </cell>
          <cell r="K24">
            <v>188.66666666666666</v>
          </cell>
          <cell r="L24">
            <v>3.4984070964886058</v>
          </cell>
          <cell r="R24">
            <v>59.9</v>
          </cell>
          <cell r="S24">
            <v>61.1</v>
          </cell>
          <cell r="Y24">
            <v>59</v>
          </cell>
          <cell r="Z24">
            <v>59.48</v>
          </cell>
          <cell r="AF24">
            <v>51</v>
          </cell>
          <cell r="AG24">
            <v>58.5</v>
          </cell>
          <cell r="AH24">
            <v>8</v>
          </cell>
          <cell r="AI24">
            <v>8</v>
          </cell>
        </row>
        <row r="25">
          <cell r="D25">
            <v>1645.3333333333333</v>
          </cell>
          <cell r="E25">
            <v>827</v>
          </cell>
          <cell r="F25">
            <v>0.60388888888888892</v>
          </cell>
          <cell r="K25">
            <v>211.33333333333334</v>
          </cell>
          <cell r="L25">
            <v>3.3769449482828544</v>
          </cell>
          <cell r="R25">
            <v>55.4</v>
          </cell>
          <cell r="S25">
            <v>56.2</v>
          </cell>
          <cell r="Y25">
            <v>56.9</v>
          </cell>
          <cell r="Z25">
            <v>56.1</v>
          </cell>
          <cell r="AF25">
            <v>59.1</v>
          </cell>
          <cell r="AG25">
            <v>57.4</v>
          </cell>
          <cell r="AH25">
            <v>8</v>
          </cell>
          <cell r="AI25">
            <v>8</v>
          </cell>
        </row>
        <row r="26">
          <cell r="D26">
            <v>1683.3333333333333</v>
          </cell>
          <cell r="E26">
            <v>676</v>
          </cell>
          <cell r="F26">
            <v>0.62388888888888883</v>
          </cell>
          <cell r="K26">
            <v>221.33333333333334</v>
          </cell>
          <cell r="L26">
            <v>3.2963483352805443</v>
          </cell>
          <cell r="R26">
            <v>58.5</v>
          </cell>
          <cell r="S26">
            <v>59.7</v>
          </cell>
          <cell r="Y26">
            <v>59.4</v>
          </cell>
          <cell r="Z26">
            <v>60.1</v>
          </cell>
          <cell r="AF26">
            <v>59.8</v>
          </cell>
          <cell r="AG26">
            <v>59.9</v>
          </cell>
          <cell r="AH26">
            <v>8</v>
          </cell>
          <cell r="AI26">
            <v>8</v>
          </cell>
        </row>
        <row r="27">
          <cell r="D27">
            <v>1756.3333333333333</v>
          </cell>
          <cell r="E27">
            <v>564.33333333333337</v>
          </cell>
          <cell r="F27">
            <v>0.63305555555555548</v>
          </cell>
          <cell r="K27">
            <v>188</v>
          </cell>
          <cell r="L27">
            <v>3.1867189315258817</v>
          </cell>
          <cell r="R27">
            <v>58.4</v>
          </cell>
          <cell r="S27">
            <v>60.4</v>
          </cell>
          <cell r="Y27">
            <v>60.1</v>
          </cell>
          <cell r="Z27">
            <v>60.5</v>
          </cell>
          <cell r="AF27">
            <v>59.8</v>
          </cell>
          <cell r="AG27">
            <v>61.9</v>
          </cell>
          <cell r="AH27">
            <v>8</v>
          </cell>
          <cell r="AI27">
            <v>8</v>
          </cell>
        </row>
        <row r="28">
          <cell r="D28">
            <v>1839.3333333333333</v>
          </cell>
          <cell r="E28">
            <v>578.66666666666663</v>
          </cell>
          <cell r="F28">
            <v>0.64805555555555561</v>
          </cell>
          <cell r="K28">
            <v>172.33333333333334</v>
          </cell>
          <cell r="L28">
            <v>2.982027644576545</v>
          </cell>
          <cell r="R28">
            <v>59.6</v>
          </cell>
          <cell r="S28">
            <v>60.5</v>
          </cell>
          <cell r="Y28">
            <v>58.9</v>
          </cell>
          <cell r="Z28">
            <v>60.6</v>
          </cell>
          <cell r="AF28">
            <v>60.5</v>
          </cell>
          <cell r="AG28">
            <v>60.23</v>
          </cell>
          <cell r="AH28">
            <v>8</v>
          </cell>
          <cell r="AI28">
            <v>8</v>
          </cell>
        </row>
        <row r="29">
          <cell r="D29">
            <v>1684.6666666666667</v>
          </cell>
          <cell r="E29">
            <v>486.33333333333331</v>
          </cell>
          <cell r="F29">
            <v>0.65222222222222215</v>
          </cell>
          <cell r="K29">
            <v>199.66666666666666</v>
          </cell>
          <cell r="L29">
            <v>2.9794552429329806</v>
          </cell>
          <cell r="R29">
            <v>59.5</v>
          </cell>
          <cell r="S29">
            <v>60.6</v>
          </cell>
          <cell r="Y29">
            <v>58.6</v>
          </cell>
          <cell r="Z29">
            <v>60.67</v>
          </cell>
          <cell r="AF29">
            <v>60</v>
          </cell>
          <cell r="AG29">
            <v>60.2</v>
          </cell>
          <cell r="AH29">
            <v>8</v>
          </cell>
          <cell r="AI29">
            <v>8</v>
          </cell>
        </row>
        <row r="30">
          <cell r="D30">
            <v>1701.6666666666667</v>
          </cell>
          <cell r="E30">
            <v>575.66666666666663</v>
          </cell>
          <cell r="F30">
            <v>0.64416666666666655</v>
          </cell>
          <cell r="K30">
            <v>216.66666666666666</v>
          </cell>
          <cell r="L30">
            <v>3.0554869278557426</v>
          </cell>
          <cell r="R30">
            <v>59.5</v>
          </cell>
          <cell r="S30">
            <v>60.5</v>
          </cell>
          <cell r="Y30">
            <v>59.1</v>
          </cell>
          <cell r="Z30">
            <v>60.65</v>
          </cell>
          <cell r="AF30">
            <v>60.1</v>
          </cell>
          <cell r="AG30">
            <v>60.45</v>
          </cell>
          <cell r="AH30">
            <v>8</v>
          </cell>
          <cell r="AI30">
            <v>8</v>
          </cell>
        </row>
        <row r="31">
          <cell r="D31">
            <v>1751.6666666666667</v>
          </cell>
          <cell r="E31">
            <v>442.66666666666669</v>
          </cell>
          <cell r="F31">
            <v>0.65444444444444438</v>
          </cell>
          <cell r="K31">
            <v>190</v>
          </cell>
          <cell r="L31">
            <v>3.0801967376417458</v>
          </cell>
          <cell r="R31">
            <v>60.7</v>
          </cell>
          <cell r="S31">
            <v>60.5</v>
          </cell>
          <cell r="Y31">
            <v>59</v>
          </cell>
          <cell r="Z31">
            <v>60.48</v>
          </cell>
          <cell r="AF31">
            <v>60</v>
          </cell>
          <cell r="AG31">
            <v>60.6</v>
          </cell>
          <cell r="AH31">
            <v>8</v>
          </cell>
          <cell r="AI31">
            <v>8</v>
          </cell>
        </row>
        <row r="32">
          <cell r="D32">
            <v>1736.6666666666667</v>
          </cell>
          <cell r="E32">
            <v>408.66666666666669</v>
          </cell>
          <cell r="F32">
            <v>0.63472222222222208</v>
          </cell>
          <cell r="K32">
            <v>187</v>
          </cell>
          <cell r="L32">
            <v>3.2074102038789682</v>
          </cell>
          <cell r="R32">
            <v>60.8</v>
          </cell>
          <cell r="S32">
            <v>60.4</v>
          </cell>
          <cell r="Y32">
            <v>60</v>
          </cell>
          <cell r="Z32">
            <v>60.51</v>
          </cell>
          <cell r="AF32">
            <v>60.1</v>
          </cell>
          <cell r="AG32">
            <v>60.6</v>
          </cell>
          <cell r="AH32">
            <v>8</v>
          </cell>
          <cell r="AI32">
            <v>8</v>
          </cell>
        </row>
        <row r="33">
          <cell r="D33">
            <v>1797.3333333333333</v>
          </cell>
          <cell r="E33">
            <v>465.66666666666669</v>
          </cell>
          <cell r="F33">
            <v>0.6480555555555555</v>
          </cell>
          <cell r="K33">
            <v>198</v>
          </cell>
          <cell r="L33">
            <v>3.1871968981408458</v>
          </cell>
          <cell r="R33">
            <v>60.4</v>
          </cell>
          <cell r="S33">
            <v>60.5</v>
          </cell>
          <cell r="Y33">
            <v>60.2</v>
          </cell>
          <cell r="Z33">
            <v>60.8</v>
          </cell>
          <cell r="AF33">
            <v>60.4</v>
          </cell>
          <cell r="AG33">
            <v>60.8</v>
          </cell>
          <cell r="AH33">
            <v>8</v>
          </cell>
          <cell r="AI33">
            <v>8</v>
          </cell>
        </row>
      </sheetData>
      <sheetData sheetId="3">
        <row r="4">
          <cell r="B4">
            <v>181</v>
          </cell>
          <cell r="C4">
            <v>572</v>
          </cell>
          <cell r="D4">
            <v>182</v>
          </cell>
          <cell r="E4">
            <v>567</v>
          </cell>
          <cell r="F4">
            <v>1169</v>
          </cell>
          <cell r="G4"/>
          <cell r="H4">
            <v>188</v>
          </cell>
          <cell r="I4">
            <v>585</v>
          </cell>
          <cell r="J4">
            <v>188</v>
          </cell>
          <cell r="K4">
            <v>504</v>
          </cell>
          <cell r="L4">
            <v>185</v>
          </cell>
          <cell r="M4">
            <v>564</v>
          </cell>
          <cell r="R4">
            <v>97</v>
          </cell>
          <cell r="S4">
            <v>100</v>
          </cell>
          <cell r="T4">
            <v>99</v>
          </cell>
          <cell r="U4">
            <v>99</v>
          </cell>
          <cell r="V4">
            <v>99</v>
          </cell>
          <cell r="W4">
            <v>99</v>
          </cell>
          <cell r="X4">
            <v>99</v>
          </cell>
          <cell r="Y4">
            <v>99</v>
          </cell>
          <cell r="Z4">
            <v>276764</v>
          </cell>
          <cell r="AA4">
            <v>1400</v>
          </cell>
          <cell r="AB4">
            <v>228106</v>
          </cell>
          <cell r="AD4">
            <v>4435</v>
          </cell>
          <cell r="AE4">
            <v>119</v>
          </cell>
        </row>
        <row r="5">
          <cell r="B5">
            <v>158</v>
          </cell>
          <cell r="C5">
            <v>470</v>
          </cell>
          <cell r="D5">
            <v>160</v>
          </cell>
          <cell r="E5">
            <v>514</v>
          </cell>
          <cell r="F5">
            <v>1079</v>
          </cell>
          <cell r="G5"/>
          <cell r="H5">
            <v>175</v>
          </cell>
          <cell r="I5">
            <v>528</v>
          </cell>
          <cell r="J5">
            <v>175</v>
          </cell>
          <cell r="K5">
            <v>521</v>
          </cell>
          <cell r="L5">
            <v>166</v>
          </cell>
          <cell r="M5">
            <v>494</v>
          </cell>
          <cell r="R5">
            <v>98</v>
          </cell>
          <cell r="S5">
            <v>100</v>
          </cell>
          <cell r="T5">
            <v>99</v>
          </cell>
          <cell r="U5">
            <v>99</v>
          </cell>
          <cell r="V5">
            <v>99</v>
          </cell>
          <cell r="W5">
            <v>99</v>
          </cell>
          <cell r="X5">
            <v>99</v>
          </cell>
          <cell r="Y5">
            <v>99</v>
          </cell>
          <cell r="Z5">
            <v>249220</v>
          </cell>
          <cell r="AA5">
            <v>1443</v>
          </cell>
          <cell r="AB5">
            <v>207806</v>
          </cell>
          <cell r="AD5">
            <v>4174</v>
          </cell>
          <cell r="AE5">
            <v>136</v>
          </cell>
        </row>
        <row r="6">
          <cell r="B6">
            <v>196</v>
          </cell>
          <cell r="C6">
            <v>562</v>
          </cell>
          <cell r="D6">
            <v>196</v>
          </cell>
          <cell r="E6">
            <v>584</v>
          </cell>
          <cell r="F6">
            <v>1112</v>
          </cell>
          <cell r="G6"/>
          <cell r="H6">
            <v>189</v>
          </cell>
          <cell r="I6">
            <v>571</v>
          </cell>
          <cell r="J6">
            <v>188</v>
          </cell>
          <cell r="K6">
            <v>607</v>
          </cell>
          <cell r="L6">
            <v>356</v>
          </cell>
          <cell r="M6">
            <v>595</v>
          </cell>
          <cell r="R6">
            <v>99</v>
          </cell>
          <cell r="S6">
            <v>100</v>
          </cell>
          <cell r="T6">
            <v>99</v>
          </cell>
          <cell r="U6">
            <v>99</v>
          </cell>
          <cell r="V6">
            <v>99</v>
          </cell>
          <cell r="W6">
            <v>99</v>
          </cell>
          <cell r="X6">
            <v>99</v>
          </cell>
          <cell r="Y6">
            <v>99</v>
          </cell>
          <cell r="Z6">
            <v>291878</v>
          </cell>
          <cell r="AA6">
            <v>4849</v>
          </cell>
          <cell r="AB6">
            <v>232382</v>
          </cell>
          <cell r="AD6">
            <v>4490</v>
          </cell>
          <cell r="AE6">
            <v>96</v>
          </cell>
        </row>
        <row r="7">
          <cell r="B7">
            <v>194</v>
          </cell>
          <cell r="C7">
            <v>843</v>
          </cell>
          <cell r="D7">
            <v>196</v>
          </cell>
          <cell r="E7">
            <v>873</v>
          </cell>
          <cell r="F7">
            <v>1227</v>
          </cell>
          <cell r="G7"/>
          <cell r="H7">
            <v>200</v>
          </cell>
          <cell r="I7">
            <v>888</v>
          </cell>
          <cell r="J7">
            <v>196</v>
          </cell>
          <cell r="K7">
            <v>819</v>
          </cell>
          <cell r="L7">
            <v>196</v>
          </cell>
          <cell r="M7">
            <v>849</v>
          </cell>
          <cell r="R7">
            <v>99</v>
          </cell>
          <cell r="S7">
            <v>101</v>
          </cell>
          <cell r="T7">
            <v>99</v>
          </cell>
          <cell r="U7">
            <v>99</v>
          </cell>
          <cell r="V7">
            <v>99</v>
          </cell>
          <cell r="W7">
            <v>99</v>
          </cell>
          <cell r="X7">
            <v>99</v>
          </cell>
          <cell r="Y7">
            <v>99</v>
          </cell>
          <cell r="Z7">
            <v>427243</v>
          </cell>
          <cell r="AA7">
            <v>3789</v>
          </cell>
          <cell r="AB7">
            <v>247879</v>
          </cell>
          <cell r="AD7">
            <v>6481</v>
          </cell>
          <cell r="AE7">
            <v>52</v>
          </cell>
        </row>
        <row r="8">
          <cell r="B8">
            <v>184</v>
          </cell>
          <cell r="C8">
            <v>680</v>
          </cell>
          <cell r="D8">
            <v>185</v>
          </cell>
          <cell r="E8">
            <v>706</v>
          </cell>
          <cell r="F8">
            <v>1136</v>
          </cell>
          <cell r="G8"/>
          <cell r="H8">
            <v>190</v>
          </cell>
          <cell r="I8">
            <v>711</v>
          </cell>
          <cell r="J8">
            <v>171</v>
          </cell>
          <cell r="K8">
            <v>638</v>
          </cell>
          <cell r="L8">
            <v>185</v>
          </cell>
          <cell r="M8">
            <v>703</v>
          </cell>
          <cell r="R8">
            <v>100</v>
          </cell>
          <cell r="S8">
            <v>102</v>
          </cell>
          <cell r="T8">
            <v>99</v>
          </cell>
          <cell r="U8">
            <v>99</v>
          </cell>
          <cell r="V8">
            <v>99</v>
          </cell>
          <cell r="W8">
            <v>99</v>
          </cell>
          <cell r="X8">
            <v>99</v>
          </cell>
          <cell r="Y8">
            <v>99</v>
          </cell>
          <cell r="Z8">
            <v>344172</v>
          </cell>
          <cell r="AA8">
            <v>1162</v>
          </cell>
          <cell r="AB8">
            <v>228009</v>
          </cell>
          <cell r="AD8">
            <v>5109</v>
          </cell>
          <cell r="AE8">
            <v>3</v>
          </cell>
        </row>
        <row r="9">
          <cell r="B9">
            <v>160</v>
          </cell>
          <cell r="C9">
            <v>745</v>
          </cell>
          <cell r="D9">
            <v>161</v>
          </cell>
          <cell r="E9">
            <v>769</v>
          </cell>
          <cell r="F9">
            <v>976</v>
          </cell>
          <cell r="G9"/>
          <cell r="H9">
            <v>161</v>
          </cell>
          <cell r="I9">
            <v>790</v>
          </cell>
          <cell r="J9">
            <v>162</v>
          </cell>
          <cell r="K9">
            <v>749</v>
          </cell>
          <cell r="L9">
            <v>160</v>
          </cell>
          <cell r="M9">
            <v>770</v>
          </cell>
          <cell r="R9">
            <v>100</v>
          </cell>
          <cell r="S9">
            <v>102</v>
          </cell>
          <cell r="T9">
            <v>99</v>
          </cell>
          <cell r="U9">
            <v>99</v>
          </cell>
          <cell r="V9">
            <v>99</v>
          </cell>
          <cell r="W9">
            <v>99</v>
          </cell>
          <cell r="X9">
            <v>99</v>
          </cell>
          <cell r="Y9">
            <v>99</v>
          </cell>
          <cell r="Z9">
            <v>382816</v>
          </cell>
          <cell r="AA9">
            <v>1457</v>
          </cell>
          <cell r="AB9">
            <v>192000</v>
          </cell>
          <cell r="AD9">
            <v>5575</v>
          </cell>
          <cell r="AE9">
            <v>21</v>
          </cell>
        </row>
        <row r="10">
          <cell r="B10">
            <v>182</v>
          </cell>
          <cell r="C10">
            <v>800</v>
          </cell>
          <cell r="D10">
            <v>180</v>
          </cell>
          <cell r="E10">
            <v>805</v>
          </cell>
          <cell r="F10">
            <v>1149</v>
          </cell>
          <cell r="G10"/>
          <cell r="H10">
            <v>188</v>
          </cell>
          <cell r="I10">
            <v>800</v>
          </cell>
          <cell r="J10">
            <v>188</v>
          </cell>
          <cell r="K10">
            <v>800</v>
          </cell>
          <cell r="L10">
            <v>184</v>
          </cell>
          <cell r="M10">
            <v>799</v>
          </cell>
          <cell r="R10">
            <v>100</v>
          </cell>
          <cell r="S10">
            <v>102</v>
          </cell>
          <cell r="T10">
            <v>99</v>
          </cell>
          <cell r="U10">
            <v>99</v>
          </cell>
          <cell r="V10">
            <v>99</v>
          </cell>
          <cell r="W10">
            <v>99</v>
          </cell>
          <cell r="X10">
            <v>99</v>
          </cell>
          <cell r="Y10">
            <v>99</v>
          </cell>
          <cell r="Z10">
            <v>402370</v>
          </cell>
          <cell r="AA10">
            <v>2654</v>
          </cell>
          <cell r="AB10">
            <v>227265</v>
          </cell>
          <cell r="AD10">
            <v>5779</v>
          </cell>
          <cell r="AE10">
            <v>33</v>
          </cell>
        </row>
        <row r="11">
          <cell r="B11">
            <v>158</v>
          </cell>
          <cell r="C11">
            <v>594</v>
          </cell>
          <cell r="D11">
            <v>160</v>
          </cell>
          <cell r="E11">
            <v>592</v>
          </cell>
          <cell r="F11">
            <v>1050</v>
          </cell>
          <cell r="G11"/>
          <cell r="H11">
            <v>161</v>
          </cell>
          <cell r="I11">
            <v>605</v>
          </cell>
          <cell r="J11">
            <v>136</v>
          </cell>
          <cell r="K11">
            <v>543</v>
          </cell>
          <cell r="L11">
            <v>159</v>
          </cell>
          <cell r="M11">
            <v>622</v>
          </cell>
          <cell r="R11">
            <v>100</v>
          </cell>
          <cell r="S11">
            <v>103</v>
          </cell>
          <cell r="T11">
            <v>99</v>
          </cell>
          <cell r="U11">
            <v>99</v>
          </cell>
          <cell r="V11">
            <v>99</v>
          </cell>
          <cell r="W11">
            <v>99</v>
          </cell>
          <cell r="X11">
            <v>99</v>
          </cell>
          <cell r="Y11">
            <v>99</v>
          </cell>
          <cell r="Z11">
            <v>295678</v>
          </cell>
          <cell r="AA11">
            <v>1491</v>
          </cell>
          <cell r="AB11">
            <v>198076</v>
          </cell>
          <cell r="AD11">
            <v>4777</v>
          </cell>
          <cell r="AE11">
            <v>85</v>
          </cell>
        </row>
        <row r="12">
          <cell r="B12">
            <v>148</v>
          </cell>
          <cell r="C12">
            <v>544</v>
          </cell>
          <cell r="D12">
            <v>145</v>
          </cell>
          <cell r="E12">
            <v>598</v>
          </cell>
          <cell r="F12">
            <v>917</v>
          </cell>
          <cell r="G12"/>
          <cell r="H12">
            <v>162</v>
          </cell>
          <cell r="I12">
            <v>598</v>
          </cell>
          <cell r="J12">
            <v>158</v>
          </cell>
          <cell r="K12">
            <v>574</v>
          </cell>
          <cell r="L12">
            <v>159</v>
          </cell>
          <cell r="M12">
            <v>524</v>
          </cell>
          <cell r="R12">
            <v>100</v>
          </cell>
          <cell r="S12">
            <v>102</v>
          </cell>
          <cell r="T12">
            <v>99</v>
          </cell>
          <cell r="U12">
            <v>99</v>
          </cell>
          <cell r="V12">
            <v>99</v>
          </cell>
          <cell r="W12">
            <v>99</v>
          </cell>
          <cell r="X12">
            <v>99</v>
          </cell>
          <cell r="Y12">
            <v>99</v>
          </cell>
          <cell r="Z12">
            <v>284030</v>
          </cell>
          <cell r="AA12">
            <v>1112</v>
          </cell>
          <cell r="AB12">
            <v>187653</v>
          </cell>
          <cell r="AD12">
            <v>4278</v>
          </cell>
          <cell r="AE12">
            <v>73</v>
          </cell>
        </row>
        <row r="13">
          <cell r="B13">
            <v>155</v>
          </cell>
          <cell r="C13">
            <v>482</v>
          </cell>
          <cell r="D13">
            <v>160</v>
          </cell>
          <cell r="E13">
            <v>487</v>
          </cell>
          <cell r="F13">
            <v>1124</v>
          </cell>
          <cell r="G13"/>
          <cell r="H13">
            <v>150</v>
          </cell>
          <cell r="I13">
            <v>508</v>
          </cell>
          <cell r="J13">
            <v>138</v>
          </cell>
          <cell r="K13">
            <v>501</v>
          </cell>
          <cell r="L13">
            <v>146</v>
          </cell>
          <cell r="M13">
            <v>479</v>
          </cell>
          <cell r="R13">
            <v>100</v>
          </cell>
          <cell r="S13">
            <v>101</v>
          </cell>
          <cell r="T13">
            <v>99</v>
          </cell>
          <cell r="U13">
            <v>99</v>
          </cell>
          <cell r="V13">
            <v>99</v>
          </cell>
          <cell r="W13">
            <v>99</v>
          </cell>
          <cell r="X13">
            <v>99</v>
          </cell>
          <cell r="Y13">
            <v>99</v>
          </cell>
          <cell r="Z13">
            <v>246529</v>
          </cell>
          <cell r="AA13">
            <v>1109</v>
          </cell>
          <cell r="AB13">
            <v>190797</v>
          </cell>
          <cell r="AD13">
            <v>3593</v>
          </cell>
          <cell r="AE13">
            <v>97</v>
          </cell>
        </row>
        <row r="14">
          <cell r="B14">
            <v>234</v>
          </cell>
          <cell r="C14">
            <v>621</v>
          </cell>
          <cell r="D14">
            <v>232</v>
          </cell>
          <cell r="E14">
            <v>626</v>
          </cell>
          <cell r="F14">
            <v>1777</v>
          </cell>
          <cell r="G14"/>
          <cell r="H14">
            <v>253</v>
          </cell>
          <cell r="I14">
            <v>632</v>
          </cell>
          <cell r="J14">
            <v>231</v>
          </cell>
          <cell r="K14">
            <v>625</v>
          </cell>
          <cell r="L14">
            <v>247</v>
          </cell>
          <cell r="M14">
            <v>644</v>
          </cell>
          <cell r="R14">
            <v>100</v>
          </cell>
          <cell r="S14">
            <v>101</v>
          </cell>
          <cell r="T14">
            <v>99</v>
          </cell>
          <cell r="U14">
            <v>99</v>
          </cell>
          <cell r="V14">
            <v>99</v>
          </cell>
          <cell r="W14">
            <v>99</v>
          </cell>
          <cell r="X14">
            <v>99</v>
          </cell>
          <cell r="Y14">
            <v>99</v>
          </cell>
          <cell r="Z14">
            <v>303633</v>
          </cell>
          <cell r="AA14">
            <v>1752</v>
          </cell>
          <cell r="AB14">
            <v>289849</v>
          </cell>
          <cell r="AD14">
            <v>5554</v>
          </cell>
          <cell r="AE14">
            <v>155</v>
          </cell>
        </row>
        <row r="15">
          <cell r="B15">
            <v>159</v>
          </cell>
          <cell r="C15">
            <v>634</v>
          </cell>
          <cell r="D15">
            <v>159</v>
          </cell>
          <cell r="E15">
            <v>637</v>
          </cell>
          <cell r="F15">
            <v>949</v>
          </cell>
          <cell r="G15"/>
          <cell r="H15">
            <v>150</v>
          </cell>
          <cell r="I15">
            <v>650</v>
          </cell>
          <cell r="J15">
            <v>150</v>
          </cell>
          <cell r="K15">
            <v>625</v>
          </cell>
          <cell r="L15">
            <v>148</v>
          </cell>
          <cell r="M15">
            <v>662</v>
          </cell>
          <cell r="R15">
            <v>100</v>
          </cell>
          <cell r="S15">
            <v>100</v>
          </cell>
          <cell r="T15">
            <v>99</v>
          </cell>
          <cell r="U15">
            <v>99</v>
          </cell>
          <cell r="V15">
            <v>99</v>
          </cell>
          <cell r="W15">
            <v>99</v>
          </cell>
          <cell r="X15">
            <v>99</v>
          </cell>
          <cell r="Y15">
            <v>99</v>
          </cell>
          <cell r="Z15">
            <v>307403</v>
          </cell>
          <cell r="AA15">
            <v>1013</v>
          </cell>
          <cell r="AB15">
            <v>192902</v>
          </cell>
          <cell r="AD15">
            <v>4772</v>
          </cell>
          <cell r="AE15">
            <v>136</v>
          </cell>
        </row>
        <row r="16">
          <cell r="B16">
            <v>170</v>
          </cell>
          <cell r="C16">
            <v>909</v>
          </cell>
          <cell r="D16">
            <v>171</v>
          </cell>
          <cell r="E16">
            <v>938</v>
          </cell>
          <cell r="F16">
            <v>1203</v>
          </cell>
          <cell r="G16"/>
          <cell r="H16">
            <v>188</v>
          </cell>
          <cell r="I16">
            <v>959</v>
          </cell>
          <cell r="J16">
            <v>179</v>
          </cell>
          <cell r="K16">
            <v>886</v>
          </cell>
          <cell r="L16">
            <v>177</v>
          </cell>
          <cell r="M16">
            <v>910</v>
          </cell>
          <cell r="R16">
            <v>100</v>
          </cell>
          <cell r="S16">
            <v>100</v>
          </cell>
          <cell r="T16">
            <v>99</v>
          </cell>
          <cell r="U16">
            <v>99</v>
          </cell>
          <cell r="V16">
            <v>99</v>
          </cell>
          <cell r="W16">
            <v>99</v>
          </cell>
          <cell r="X16">
            <v>99</v>
          </cell>
          <cell r="Y16">
            <v>99</v>
          </cell>
          <cell r="Z16">
            <v>436906</v>
          </cell>
          <cell r="AA16">
            <v>1447</v>
          </cell>
          <cell r="AB16">
            <v>213859</v>
          </cell>
          <cell r="AD16">
            <v>6014</v>
          </cell>
          <cell r="AE16">
            <v>126</v>
          </cell>
        </row>
        <row r="17">
          <cell r="B17">
            <v>171</v>
          </cell>
          <cell r="C17">
            <v>601</v>
          </cell>
          <cell r="D17">
            <v>172</v>
          </cell>
          <cell r="E17">
            <v>625</v>
          </cell>
          <cell r="F17">
            <v>1017</v>
          </cell>
          <cell r="G17"/>
          <cell r="H17">
            <v>163</v>
          </cell>
          <cell r="I17">
            <v>637</v>
          </cell>
          <cell r="J17">
            <v>150</v>
          </cell>
          <cell r="K17">
            <v>627</v>
          </cell>
          <cell r="L17">
            <v>167</v>
          </cell>
          <cell r="M17">
            <v>617</v>
          </cell>
          <cell r="R17">
            <v>100</v>
          </cell>
          <cell r="S17">
            <v>100</v>
          </cell>
          <cell r="T17">
            <v>99</v>
          </cell>
          <cell r="U17">
            <v>99</v>
          </cell>
          <cell r="V17">
            <v>99</v>
          </cell>
          <cell r="W17">
            <v>99</v>
          </cell>
          <cell r="X17">
            <v>99</v>
          </cell>
          <cell r="Y17">
            <v>99</v>
          </cell>
          <cell r="Z17">
            <v>302167</v>
          </cell>
          <cell r="AA17">
            <v>1107</v>
          </cell>
          <cell r="AB17">
            <v>197940</v>
          </cell>
          <cell r="AD17">
            <v>4855</v>
          </cell>
          <cell r="AE17">
            <v>123</v>
          </cell>
        </row>
        <row r="18">
          <cell r="B18">
            <v>158</v>
          </cell>
          <cell r="C18">
            <v>784</v>
          </cell>
          <cell r="D18">
            <v>159</v>
          </cell>
          <cell r="E18">
            <v>787</v>
          </cell>
          <cell r="F18">
            <v>1178</v>
          </cell>
          <cell r="G18"/>
          <cell r="H18">
            <v>175</v>
          </cell>
          <cell r="I18">
            <v>818</v>
          </cell>
          <cell r="J18">
            <v>173</v>
          </cell>
          <cell r="K18">
            <v>792</v>
          </cell>
          <cell r="L18">
            <v>147</v>
          </cell>
          <cell r="M18">
            <v>800</v>
          </cell>
          <cell r="R18">
            <v>99</v>
          </cell>
          <cell r="S18">
            <v>100</v>
          </cell>
          <cell r="T18">
            <v>99</v>
          </cell>
          <cell r="U18">
            <v>99</v>
          </cell>
          <cell r="V18">
            <v>99</v>
          </cell>
          <cell r="W18">
            <v>99</v>
          </cell>
          <cell r="X18">
            <v>99</v>
          </cell>
          <cell r="Y18">
            <v>99</v>
          </cell>
          <cell r="Z18">
            <v>405282</v>
          </cell>
          <cell r="AA18">
            <v>1477</v>
          </cell>
          <cell r="AB18">
            <v>207000</v>
          </cell>
          <cell r="AD18">
            <v>5560</v>
          </cell>
          <cell r="AE18">
            <v>183</v>
          </cell>
        </row>
        <row r="19">
          <cell r="B19">
            <v>159</v>
          </cell>
          <cell r="C19">
            <v>770</v>
          </cell>
          <cell r="D19">
            <v>159</v>
          </cell>
          <cell r="E19">
            <v>781</v>
          </cell>
          <cell r="F19">
            <v>952</v>
          </cell>
          <cell r="G19"/>
          <cell r="H19">
            <v>149</v>
          </cell>
          <cell r="I19">
            <v>815</v>
          </cell>
          <cell r="J19">
            <v>150</v>
          </cell>
          <cell r="K19">
            <v>812</v>
          </cell>
          <cell r="L19">
            <v>159</v>
          </cell>
          <cell r="M19">
            <v>794</v>
          </cell>
          <cell r="R19">
            <v>99</v>
          </cell>
          <cell r="S19">
            <v>99</v>
          </cell>
          <cell r="T19">
            <v>99</v>
          </cell>
          <cell r="U19">
            <v>99</v>
          </cell>
          <cell r="V19">
            <v>99</v>
          </cell>
          <cell r="W19">
            <v>99</v>
          </cell>
          <cell r="X19">
            <v>99</v>
          </cell>
          <cell r="Y19">
            <v>99</v>
          </cell>
          <cell r="Z19">
            <v>402049</v>
          </cell>
          <cell r="AA19">
            <v>2091</v>
          </cell>
          <cell r="AB19">
            <v>190038</v>
          </cell>
          <cell r="AD19">
            <v>5344</v>
          </cell>
          <cell r="AE19">
            <v>167</v>
          </cell>
        </row>
        <row r="20">
          <cell r="B20">
            <v>206</v>
          </cell>
          <cell r="C20">
            <v>1036</v>
          </cell>
          <cell r="D20">
            <v>208</v>
          </cell>
          <cell r="E20">
            <v>1052</v>
          </cell>
          <cell r="F20">
            <v>1381</v>
          </cell>
          <cell r="G20"/>
          <cell r="H20">
            <v>214</v>
          </cell>
          <cell r="I20">
            <v>1098</v>
          </cell>
          <cell r="J20">
            <v>213</v>
          </cell>
          <cell r="K20">
            <v>1072</v>
          </cell>
          <cell r="L20">
            <v>210</v>
          </cell>
          <cell r="M20">
            <v>1050</v>
          </cell>
          <cell r="R20">
            <v>99</v>
          </cell>
          <cell r="S20">
            <v>99</v>
          </cell>
          <cell r="T20">
            <v>99</v>
          </cell>
          <cell r="U20">
            <v>99</v>
          </cell>
          <cell r="V20">
            <v>98</v>
          </cell>
          <cell r="W20">
            <v>99</v>
          </cell>
          <cell r="X20">
            <v>99</v>
          </cell>
          <cell r="Y20">
            <v>99</v>
          </cell>
          <cell r="Z20">
            <v>533919</v>
          </cell>
          <cell r="AA20">
            <v>1487</v>
          </cell>
          <cell r="AB20">
            <v>262052</v>
          </cell>
          <cell r="AD20">
            <v>7357</v>
          </cell>
          <cell r="AE20">
            <v>147</v>
          </cell>
        </row>
        <row r="21">
          <cell r="B21">
            <v>209</v>
          </cell>
          <cell r="C21">
            <v>537</v>
          </cell>
          <cell r="D21">
            <v>204</v>
          </cell>
          <cell r="E21">
            <v>546</v>
          </cell>
          <cell r="F21">
            <v>1497</v>
          </cell>
          <cell r="G21"/>
          <cell r="H21">
            <v>216</v>
          </cell>
          <cell r="I21">
            <v>555</v>
          </cell>
          <cell r="J21">
            <v>214</v>
          </cell>
          <cell r="K21">
            <v>545</v>
          </cell>
          <cell r="L21">
            <v>209</v>
          </cell>
          <cell r="M21">
            <v>540</v>
          </cell>
          <cell r="R21">
            <v>99</v>
          </cell>
          <cell r="S21">
            <v>99</v>
          </cell>
          <cell r="T21">
            <v>99</v>
          </cell>
          <cell r="U21">
            <v>99</v>
          </cell>
          <cell r="V21">
            <v>99</v>
          </cell>
          <cell r="W21">
            <v>99</v>
          </cell>
          <cell r="X21">
            <v>99</v>
          </cell>
          <cell r="Y21">
            <v>99</v>
          </cell>
          <cell r="Z21">
            <v>274907</v>
          </cell>
          <cell r="AA21">
            <v>1826</v>
          </cell>
          <cell r="AB21">
            <v>251122</v>
          </cell>
          <cell r="AD21">
            <v>4401</v>
          </cell>
          <cell r="AE21">
            <v>198</v>
          </cell>
        </row>
        <row r="22">
          <cell r="B22">
            <v>163</v>
          </cell>
          <cell r="C22">
            <v>1105</v>
          </cell>
          <cell r="D22">
            <v>165</v>
          </cell>
          <cell r="E22">
            <v>1118</v>
          </cell>
          <cell r="F22">
            <v>1003</v>
          </cell>
          <cell r="G22"/>
          <cell r="H22">
            <v>176</v>
          </cell>
          <cell r="I22">
            <v>1175</v>
          </cell>
          <cell r="J22">
            <v>163</v>
          </cell>
          <cell r="K22">
            <v>1140</v>
          </cell>
          <cell r="L22">
            <v>173</v>
          </cell>
          <cell r="M22">
            <v>1123</v>
          </cell>
          <cell r="R22">
            <v>99</v>
          </cell>
          <cell r="S22">
            <v>99</v>
          </cell>
          <cell r="T22">
            <v>99</v>
          </cell>
          <cell r="U22">
            <v>99</v>
          </cell>
          <cell r="V22">
            <v>99</v>
          </cell>
          <cell r="W22">
            <v>99</v>
          </cell>
          <cell r="X22">
            <v>99</v>
          </cell>
          <cell r="Y22">
            <v>99</v>
          </cell>
          <cell r="Z22">
            <v>844907</v>
          </cell>
          <cell r="AA22">
            <v>1158</v>
          </cell>
          <cell r="AB22">
            <v>210260</v>
          </cell>
          <cell r="AD22">
            <v>7590</v>
          </cell>
          <cell r="AE22">
            <v>99</v>
          </cell>
        </row>
        <row r="23">
          <cell r="B23">
            <v>204</v>
          </cell>
          <cell r="C23">
            <v>792</v>
          </cell>
          <cell r="D23">
            <v>209</v>
          </cell>
          <cell r="E23">
            <v>796</v>
          </cell>
          <cell r="F23">
            <v>1657</v>
          </cell>
          <cell r="G23"/>
          <cell r="H23">
            <v>202</v>
          </cell>
          <cell r="I23">
            <v>798</v>
          </cell>
          <cell r="J23">
            <v>200</v>
          </cell>
          <cell r="K23">
            <v>816</v>
          </cell>
          <cell r="L23">
            <v>197</v>
          </cell>
          <cell r="M23">
            <v>804</v>
          </cell>
          <cell r="R23">
            <v>99</v>
          </cell>
          <cell r="S23">
            <v>99</v>
          </cell>
          <cell r="T23">
            <v>99</v>
          </cell>
          <cell r="U23">
            <v>99</v>
          </cell>
          <cell r="V23">
            <v>97</v>
          </cell>
          <cell r="W23">
            <v>99</v>
          </cell>
          <cell r="X23">
            <v>99</v>
          </cell>
          <cell r="Y23">
            <v>99</v>
          </cell>
          <cell r="Z23">
            <v>408621</v>
          </cell>
          <cell r="AA23">
            <v>1571</v>
          </cell>
          <cell r="AB23">
            <v>246827</v>
          </cell>
          <cell r="AD23">
            <v>6290</v>
          </cell>
          <cell r="AE23">
            <v>117</v>
          </cell>
        </row>
        <row r="24">
          <cell r="B24">
            <v>146</v>
          </cell>
          <cell r="C24">
            <v>547</v>
          </cell>
          <cell r="D24">
            <v>146</v>
          </cell>
          <cell r="E24">
            <v>555</v>
          </cell>
          <cell r="F24">
            <v>954</v>
          </cell>
          <cell r="G24"/>
          <cell r="H24">
            <v>151</v>
          </cell>
          <cell r="I24">
            <v>567</v>
          </cell>
          <cell r="J24">
            <v>150</v>
          </cell>
          <cell r="K24">
            <v>573</v>
          </cell>
          <cell r="L24">
            <v>148</v>
          </cell>
          <cell r="M24">
            <v>559</v>
          </cell>
          <cell r="R24">
            <v>98</v>
          </cell>
          <cell r="S24">
            <v>99</v>
          </cell>
          <cell r="T24">
            <v>99</v>
          </cell>
          <cell r="U24">
            <v>99</v>
          </cell>
          <cell r="V24">
            <v>99</v>
          </cell>
          <cell r="W24">
            <v>99</v>
          </cell>
          <cell r="X24">
            <v>99</v>
          </cell>
          <cell r="Y24">
            <v>99</v>
          </cell>
          <cell r="Z24">
            <v>284837</v>
          </cell>
          <cell r="AA24">
            <v>1128</v>
          </cell>
          <cell r="AB24">
            <v>185722</v>
          </cell>
          <cell r="AD24">
            <v>3613</v>
          </cell>
          <cell r="AE24">
            <v>112</v>
          </cell>
        </row>
        <row r="25">
          <cell r="B25">
            <v>172</v>
          </cell>
          <cell r="C25">
            <v>567</v>
          </cell>
          <cell r="D25">
            <v>172</v>
          </cell>
          <cell r="E25">
            <v>580</v>
          </cell>
          <cell r="F25">
            <v>1057</v>
          </cell>
          <cell r="G25"/>
          <cell r="H25">
            <v>176</v>
          </cell>
          <cell r="I25">
            <v>609</v>
          </cell>
          <cell r="J25">
            <v>174</v>
          </cell>
          <cell r="K25">
            <v>604</v>
          </cell>
          <cell r="L25">
            <v>172</v>
          </cell>
          <cell r="M25">
            <v>579</v>
          </cell>
          <cell r="R25">
            <v>99</v>
          </cell>
          <cell r="S25">
            <v>100</v>
          </cell>
          <cell r="T25">
            <v>99</v>
          </cell>
          <cell r="U25">
            <v>99</v>
          </cell>
          <cell r="V25">
            <v>97</v>
          </cell>
          <cell r="W25">
            <v>99</v>
          </cell>
          <cell r="X25">
            <v>99</v>
          </cell>
          <cell r="Y25">
            <v>99</v>
          </cell>
          <cell r="Z25">
            <v>296878</v>
          </cell>
          <cell r="AA25">
            <v>1612</v>
          </cell>
          <cell r="AB25">
            <v>214795</v>
          </cell>
          <cell r="AD25">
            <v>4312</v>
          </cell>
          <cell r="AE25">
            <v>123</v>
          </cell>
        </row>
        <row r="26">
          <cell r="B26">
            <v>184</v>
          </cell>
          <cell r="C26">
            <v>770</v>
          </cell>
          <cell r="D26">
            <v>183</v>
          </cell>
          <cell r="E26">
            <v>777</v>
          </cell>
          <cell r="F26">
            <v>1217</v>
          </cell>
          <cell r="G26"/>
          <cell r="H26">
            <v>189</v>
          </cell>
          <cell r="I26">
            <v>784</v>
          </cell>
          <cell r="J26">
            <v>174</v>
          </cell>
          <cell r="K26">
            <v>773</v>
          </cell>
          <cell r="L26">
            <v>184</v>
          </cell>
          <cell r="M26">
            <v>785</v>
          </cell>
          <cell r="R26">
            <v>99</v>
          </cell>
          <cell r="S26">
            <v>100</v>
          </cell>
          <cell r="T26">
            <v>99</v>
          </cell>
          <cell r="U26">
            <v>99</v>
          </cell>
          <cell r="V26">
            <v>97</v>
          </cell>
          <cell r="W26">
            <v>99</v>
          </cell>
          <cell r="X26">
            <v>99</v>
          </cell>
          <cell r="Y26">
            <v>99</v>
          </cell>
          <cell r="Z26">
            <v>394668</v>
          </cell>
          <cell r="AA26">
            <v>1300</v>
          </cell>
          <cell r="AB26">
            <v>225076</v>
          </cell>
          <cell r="AD26">
            <v>5307</v>
          </cell>
          <cell r="AE26">
            <v>122</v>
          </cell>
        </row>
        <row r="27">
          <cell r="B27">
            <v>221</v>
          </cell>
          <cell r="C27">
            <v>737</v>
          </cell>
          <cell r="D27">
            <v>222</v>
          </cell>
          <cell r="E27">
            <v>760</v>
          </cell>
          <cell r="F27">
            <v>1729</v>
          </cell>
          <cell r="G27"/>
          <cell r="H27">
            <v>239</v>
          </cell>
          <cell r="I27">
            <v>781</v>
          </cell>
          <cell r="J27">
            <v>230</v>
          </cell>
          <cell r="K27">
            <v>772</v>
          </cell>
          <cell r="L27">
            <v>222</v>
          </cell>
          <cell r="M27">
            <v>765</v>
          </cell>
          <cell r="R27">
            <v>100</v>
          </cell>
          <cell r="S27">
            <v>100</v>
          </cell>
          <cell r="T27">
            <v>99</v>
          </cell>
          <cell r="U27">
            <v>99</v>
          </cell>
          <cell r="V27">
            <v>98</v>
          </cell>
          <cell r="W27">
            <v>99</v>
          </cell>
          <cell r="X27">
            <v>99</v>
          </cell>
          <cell r="Y27">
            <v>99</v>
          </cell>
          <cell r="Z27">
            <v>388052</v>
          </cell>
          <cell r="AA27">
            <v>1876</v>
          </cell>
          <cell r="AB27">
            <v>279000</v>
          </cell>
          <cell r="AD27">
            <v>5682</v>
          </cell>
          <cell r="AE27">
            <v>117</v>
          </cell>
        </row>
        <row r="28">
          <cell r="B28">
            <v>196</v>
          </cell>
          <cell r="C28">
            <v>547</v>
          </cell>
          <cell r="D28">
            <v>198</v>
          </cell>
          <cell r="E28">
            <v>563</v>
          </cell>
          <cell r="F28">
            <v>1414</v>
          </cell>
          <cell r="G28"/>
          <cell r="H28">
            <v>203</v>
          </cell>
          <cell r="I28">
            <v>553</v>
          </cell>
          <cell r="J28">
            <v>206</v>
          </cell>
          <cell r="K28">
            <v>583</v>
          </cell>
          <cell r="L28">
            <v>198</v>
          </cell>
          <cell r="M28">
            <v>574</v>
          </cell>
          <cell r="R28">
            <v>100</v>
          </cell>
          <cell r="S28">
            <v>99</v>
          </cell>
          <cell r="T28">
            <v>99</v>
          </cell>
          <cell r="U28">
            <v>99</v>
          </cell>
          <cell r="V28">
            <v>99</v>
          </cell>
          <cell r="W28">
            <v>99</v>
          </cell>
          <cell r="X28">
            <v>99</v>
          </cell>
          <cell r="Y28">
            <v>99</v>
          </cell>
          <cell r="Z28">
            <v>289325</v>
          </cell>
          <cell r="AA28">
            <v>1202</v>
          </cell>
          <cell r="AB28">
            <v>244454</v>
          </cell>
          <cell r="AD28">
            <v>4448</v>
          </cell>
          <cell r="AE28">
            <v>127</v>
          </cell>
        </row>
        <row r="29">
          <cell r="B29">
            <v>172</v>
          </cell>
          <cell r="C29">
            <v>7022</v>
          </cell>
          <cell r="D29">
            <v>173</v>
          </cell>
          <cell r="E29">
            <v>709</v>
          </cell>
          <cell r="F29">
            <v>1306</v>
          </cell>
          <cell r="G29"/>
          <cell r="H29">
            <v>163</v>
          </cell>
          <cell r="I29">
            <v>727</v>
          </cell>
          <cell r="J29">
            <v>166</v>
          </cell>
          <cell r="K29">
            <v>721</v>
          </cell>
          <cell r="L29">
            <v>172</v>
          </cell>
          <cell r="M29">
            <v>699</v>
          </cell>
          <cell r="R29">
            <v>100</v>
          </cell>
          <cell r="S29">
            <v>100</v>
          </cell>
          <cell r="T29">
            <v>99</v>
          </cell>
          <cell r="U29">
            <v>99</v>
          </cell>
          <cell r="V29">
            <v>99</v>
          </cell>
          <cell r="W29">
            <v>99</v>
          </cell>
          <cell r="X29">
            <v>99</v>
          </cell>
          <cell r="Y29">
            <v>99</v>
          </cell>
          <cell r="Z29">
            <v>358798</v>
          </cell>
          <cell r="AA29">
            <v>1566</v>
          </cell>
          <cell r="AB29">
            <v>205773</v>
          </cell>
          <cell r="AD29">
            <v>4401</v>
          </cell>
          <cell r="AE29">
            <v>113</v>
          </cell>
        </row>
        <row r="30">
          <cell r="B30">
            <v>171</v>
          </cell>
          <cell r="C30">
            <v>818</v>
          </cell>
          <cell r="D30">
            <v>170</v>
          </cell>
          <cell r="E30">
            <v>823</v>
          </cell>
          <cell r="F30">
            <v>1159</v>
          </cell>
          <cell r="G30"/>
          <cell r="H30">
            <v>175</v>
          </cell>
          <cell r="I30">
            <v>848</v>
          </cell>
          <cell r="J30">
            <v>162</v>
          </cell>
          <cell r="K30">
            <v>825</v>
          </cell>
          <cell r="L30">
            <v>172</v>
          </cell>
          <cell r="M30">
            <v>802</v>
          </cell>
          <cell r="R30">
            <v>100</v>
          </cell>
          <cell r="S30">
            <v>100</v>
          </cell>
          <cell r="T30">
            <v>99</v>
          </cell>
          <cell r="U30">
            <v>99</v>
          </cell>
          <cell r="V30">
            <v>99</v>
          </cell>
          <cell r="W30">
            <v>99</v>
          </cell>
          <cell r="X30">
            <v>99</v>
          </cell>
          <cell r="Y30">
            <v>99</v>
          </cell>
          <cell r="Z30">
            <v>414674</v>
          </cell>
          <cell r="AA30">
            <v>1152</v>
          </cell>
          <cell r="AB30">
            <v>212819</v>
          </cell>
          <cell r="AD30">
            <v>5746</v>
          </cell>
          <cell r="AE30">
            <v>116</v>
          </cell>
        </row>
        <row r="31">
          <cell r="B31">
            <v>147</v>
          </cell>
          <cell r="C31">
            <v>503</v>
          </cell>
          <cell r="D31">
            <v>146</v>
          </cell>
          <cell r="E31">
            <v>447</v>
          </cell>
          <cell r="F31">
            <v>880</v>
          </cell>
          <cell r="G31"/>
          <cell r="H31">
            <v>149</v>
          </cell>
          <cell r="I31">
            <v>518</v>
          </cell>
          <cell r="J31">
            <v>137</v>
          </cell>
          <cell r="K31">
            <v>496</v>
          </cell>
          <cell r="L31">
            <v>147</v>
          </cell>
          <cell r="M31">
            <v>513</v>
          </cell>
          <cell r="R31">
            <v>100</v>
          </cell>
          <cell r="S31">
            <v>99</v>
          </cell>
          <cell r="T31">
            <v>99</v>
          </cell>
          <cell r="U31">
            <v>99</v>
          </cell>
          <cell r="V31">
            <v>99</v>
          </cell>
          <cell r="W31">
            <v>99</v>
          </cell>
          <cell r="X31">
            <v>99</v>
          </cell>
          <cell r="Y31">
            <v>99</v>
          </cell>
          <cell r="Z31">
            <v>250248</v>
          </cell>
          <cell r="AA31">
            <v>1137</v>
          </cell>
          <cell r="AB31">
            <v>179512</v>
          </cell>
          <cell r="AD31">
            <v>3229</v>
          </cell>
          <cell r="AE31">
            <v>130</v>
          </cell>
        </row>
        <row r="32">
          <cell r="B32">
            <v>147</v>
          </cell>
          <cell r="C32">
            <v>711</v>
          </cell>
          <cell r="D32">
            <v>148</v>
          </cell>
          <cell r="E32">
            <v>715</v>
          </cell>
          <cell r="F32">
            <v>983</v>
          </cell>
          <cell r="G32"/>
          <cell r="H32">
            <v>151</v>
          </cell>
          <cell r="I32">
            <v>716</v>
          </cell>
          <cell r="J32">
            <v>149</v>
          </cell>
          <cell r="K32">
            <v>693</v>
          </cell>
          <cell r="L32">
            <v>147</v>
          </cell>
          <cell r="M32">
            <v>724</v>
          </cell>
          <cell r="R32">
            <v>99</v>
          </cell>
          <cell r="S32">
            <v>100</v>
          </cell>
          <cell r="T32">
            <v>99</v>
          </cell>
          <cell r="U32">
            <v>99</v>
          </cell>
          <cell r="V32">
            <v>99</v>
          </cell>
          <cell r="W32">
            <v>99</v>
          </cell>
          <cell r="X32">
            <v>99</v>
          </cell>
          <cell r="Y32">
            <v>99</v>
          </cell>
          <cell r="Z32">
            <v>356412</v>
          </cell>
          <cell r="AA32">
            <v>1171</v>
          </cell>
          <cell r="AB32">
            <v>183449</v>
          </cell>
          <cell r="AD32">
            <v>5382</v>
          </cell>
          <cell r="AE32">
            <v>186</v>
          </cell>
        </row>
        <row r="33">
          <cell r="B33">
            <v>184</v>
          </cell>
          <cell r="C33">
            <v>636</v>
          </cell>
          <cell r="D33">
            <v>183</v>
          </cell>
          <cell r="E33">
            <v>636</v>
          </cell>
          <cell r="F33">
            <v>1192</v>
          </cell>
          <cell r="G33"/>
          <cell r="H33">
            <v>186</v>
          </cell>
          <cell r="I33">
            <v>690</v>
          </cell>
          <cell r="J33">
            <v>147</v>
          </cell>
          <cell r="K33">
            <v>533</v>
          </cell>
          <cell r="L33">
            <v>148</v>
          </cell>
          <cell r="M33">
            <v>525</v>
          </cell>
          <cell r="R33">
            <v>100</v>
          </cell>
          <cell r="S33">
            <v>100</v>
          </cell>
          <cell r="T33">
            <v>99</v>
          </cell>
          <cell r="U33">
            <v>99</v>
          </cell>
          <cell r="V33">
            <v>99</v>
          </cell>
          <cell r="W33">
            <v>99</v>
          </cell>
          <cell r="X33">
            <v>99</v>
          </cell>
          <cell r="Y33">
            <v>99</v>
          </cell>
          <cell r="Z33">
            <v>297652</v>
          </cell>
          <cell r="AA33">
            <v>1542</v>
          </cell>
          <cell r="AB33">
            <v>217002</v>
          </cell>
          <cell r="AD33">
            <v>3547</v>
          </cell>
          <cell r="AE33">
            <v>223</v>
          </cell>
        </row>
        <row r="34">
          <cell r="B34">
            <v>197</v>
          </cell>
          <cell r="C34">
            <v>597</v>
          </cell>
          <cell r="D34">
            <v>197</v>
          </cell>
          <cell r="E34">
            <v>607</v>
          </cell>
          <cell r="F34">
            <v>1229</v>
          </cell>
          <cell r="G34"/>
          <cell r="H34">
            <v>200</v>
          </cell>
          <cell r="I34">
            <v>627</v>
          </cell>
          <cell r="J34">
            <v>199</v>
          </cell>
          <cell r="K34">
            <v>643</v>
          </cell>
          <cell r="L34">
            <v>197</v>
          </cell>
          <cell r="M34">
            <v>602</v>
          </cell>
          <cell r="R34">
            <v>100</v>
          </cell>
          <cell r="S34">
            <v>100</v>
          </cell>
          <cell r="T34">
            <v>99</v>
          </cell>
          <cell r="U34">
            <v>99</v>
          </cell>
          <cell r="V34">
            <v>99</v>
          </cell>
          <cell r="W34">
            <v>99</v>
          </cell>
          <cell r="X34">
            <v>99</v>
          </cell>
          <cell r="Y34">
            <v>99</v>
          </cell>
          <cell r="Z34">
            <v>302977</v>
          </cell>
          <cell r="AA34">
            <v>607</v>
          </cell>
          <cell r="AB34">
            <v>247559</v>
          </cell>
          <cell r="AD34">
            <v>4576</v>
          </cell>
          <cell r="AE34">
            <v>154</v>
          </cell>
        </row>
        <row r="38">
          <cell r="AE38">
            <v>3689</v>
          </cell>
        </row>
        <row r="43">
          <cell r="AE43">
            <v>119</v>
          </cell>
        </row>
      </sheetData>
      <sheetData sheetId="4">
        <row r="4">
          <cell r="C4">
            <v>171</v>
          </cell>
          <cell r="E4">
            <v>171</v>
          </cell>
          <cell r="G4">
            <v>180</v>
          </cell>
          <cell r="I4">
            <v>171</v>
          </cell>
          <cell r="K4">
            <v>168</v>
          </cell>
          <cell r="M4">
            <v>170</v>
          </cell>
        </row>
        <row r="5">
          <cell r="C5">
            <v>170</v>
          </cell>
          <cell r="E5">
            <v>171</v>
          </cell>
          <cell r="G5">
            <v>171</v>
          </cell>
          <cell r="I5">
            <v>171</v>
          </cell>
          <cell r="K5">
            <v>170</v>
          </cell>
          <cell r="M5">
            <v>166</v>
          </cell>
        </row>
        <row r="6">
          <cell r="C6">
            <v>180</v>
          </cell>
          <cell r="E6">
            <v>179</v>
          </cell>
          <cell r="G6">
            <v>184</v>
          </cell>
          <cell r="I6">
            <v>179</v>
          </cell>
          <cell r="K6">
            <v>176</v>
          </cell>
          <cell r="M6">
            <v>171</v>
          </cell>
        </row>
        <row r="7">
          <cell r="C7">
            <v>183</v>
          </cell>
          <cell r="E7">
            <v>216</v>
          </cell>
          <cell r="G7">
            <v>208</v>
          </cell>
          <cell r="I7">
            <v>252</v>
          </cell>
          <cell r="K7">
            <v>202</v>
          </cell>
          <cell r="M7">
            <v>176</v>
          </cell>
        </row>
        <row r="8">
          <cell r="C8">
            <v>180</v>
          </cell>
          <cell r="E8">
            <v>195</v>
          </cell>
          <cell r="G8">
            <v>230</v>
          </cell>
          <cell r="I8">
            <v>204</v>
          </cell>
          <cell r="K8">
            <v>192</v>
          </cell>
          <cell r="M8">
            <v>179</v>
          </cell>
        </row>
        <row r="9">
          <cell r="C9">
            <v>173</v>
          </cell>
          <cell r="E9">
            <v>195</v>
          </cell>
          <cell r="G9">
            <v>207</v>
          </cell>
          <cell r="I9">
            <v>238</v>
          </cell>
          <cell r="K9">
            <v>187</v>
          </cell>
          <cell r="M9">
            <v>162</v>
          </cell>
        </row>
        <row r="10">
          <cell r="C10">
            <v>244</v>
          </cell>
          <cell r="E10">
            <v>257</v>
          </cell>
          <cell r="G10">
            <v>258</v>
          </cell>
          <cell r="I10">
            <v>264</v>
          </cell>
          <cell r="K10">
            <v>234</v>
          </cell>
          <cell r="M10">
            <v>207</v>
          </cell>
        </row>
        <row r="11">
          <cell r="C11">
            <v>171</v>
          </cell>
          <cell r="E11">
            <v>171</v>
          </cell>
          <cell r="G11">
            <v>250</v>
          </cell>
          <cell r="I11">
            <v>171</v>
          </cell>
          <cell r="K11">
            <v>172</v>
          </cell>
          <cell r="M11">
            <v>170</v>
          </cell>
        </row>
        <row r="12">
          <cell r="C12">
            <v>157</v>
          </cell>
          <cell r="E12">
            <v>157</v>
          </cell>
          <cell r="G12">
            <v>235</v>
          </cell>
          <cell r="I12">
            <v>157</v>
          </cell>
          <cell r="K12">
            <v>158</v>
          </cell>
          <cell r="M12">
            <v>157</v>
          </cell>
        </row>
        <row r="13">
          <cell r="C13">
            <v>156</v>
          </cell>
          <cell r="E13">
            <v>152</v>
          </cell>
          <cell r="G13">
            <v>181</v>
          </cell>
          <cell r="I13">
            <v>157</v>
          </cell>
          <cell r="K13">
            <v>152</v>
          </cell>
          <cell r="M13">
            <v>149</v>
          </cell>
        </row>
        <row r="14">
          <cell r="C14">
            <v>197</v>
          </cell>
          <cell r="E14">
            <v>197</v>
          </cell>
          <cell r="G14">
            <v>210</v>
          </cell>
          <cell r="I14">
            <v>192</v>
          </cell>
          <cell r="K14">
            <v>198</v>
          </cell>
          <cell r="M14">
            <v>194</v>
          </cell>
        </row>
        <row r="15">
          <cell r="C15">
            <v>158</v>
          </cell>
          <cell r="E15">
            <v>158</v>
          </cell>
          <cell r="G15">
            <v>171</v>
          </cell>
          <cell r="I15">
            <v>158</v>
          </cell>
          <cell r="K15">
            <v>157</v>
          </cell>
          <cell r="M15">
            <v>154</v>
          </cell>
        </row>
        <row r="16">
          <cell r="C16">
            <v>195</v>
          </cell>
          <cell r="E16">
            <v>202</v>
          </cell>
          <cell r="G16">
            <v>196</v>
          </cell>
          <cell r="I16">
            <v>196</v>
          </cell>
          <cell r="K16">
            <v>199</v>
          </cell>
          <cell r="M16">
            <v>195</v>
          </cell>
        </row>
        <row r="17">
          <cell r="C17">
            <v>153</v>
          </cell>
          <cell r="E17">
            <v>153</v>
          </cell>
          <cell r="G17">
            <v>154</v>
          </cell>
          <cell r="I17">
            <v>153</v>
          </cell>
          <cell r="K17">
            <v>155</v>
          </cell>
          <cell r="M17">
            <v>153</v>
          </cell>
        </row>
        <row r="18">
          <cell r="C18">
            <v>169</v>
          </cell>
          <cell r="E18">
            <v>169</v>
          </cell>
          <cell r="G18">
            <v>168</v>
          </cell>
          <cell r="I18">
            <v>170</v>
          </cell>
          <cell r="K18">
            <v>174</v>
          </cell>
          <cell r="M18">
            <v>168</v>
          </cell>
        </row>
        <row r="19">
          <cell r="C19">
            <v>185</v>
          </cell>
          <cell r="E19">
            <v>187</v>
          </cell>
          <cell r="G19">
            <v>185</v>
          </cell>
          <cell r="I19">
            <v>186</v>
          </cell>
          <cell r="K19">
            <v>196</v>
          </cell>
          <cell r="M19">
            <v>183</v>
          </cell>
        </row>
        <row r="20">
          <cell r="C20">
            <v>237</v>
          </cell>
          <cell r="E20">
            <v>237</v>
          </cell>
          <cell r="G20">
            <v>189</v>
          </cell>
          <cell r="I20">
            <v>247</v>
          </cell>
          <cell r="K20">
            <v>260</v>
          </cell>
          <cell r="M20">
            <v>193</v>
          </cell>
        </row>
        <row r="21">
          <cell r="C21">
            <v>163</v>
          </cell>
          <cell r="E21">
            <v>163</v>
          </cell>
          <cell r="G21">
            <v>164</v>
          </cell>
          <cell r="I21">
            <v>165</v>
          </cell>
          <cell r="K21">
            <v>166</v>
          </cell>
          <cell r="M21">
            <v>159</v>
          </cell>
        </row>
        <row r="22">
          <cell r="C22">
            <v>192</v>
          </cell>
          <cell r="E22">
            <v>190</v>
          </cell>
          <cell r="G22">
            <v>162</v>
          </cell>
          <cell r="I22">
            <v>166</v>
          </cell>
          <cell r="K22">
            <v>206</v>
          </cell>
          <cell r="M22">
            <v>168</v>
          </cell>
        </row>
        <row r="23">
          <cell r="C23">
            <v>186</v>
          </cell>
          <cell r="E23">
            <v>186</v>
          </cell>
          <cell r="G23">
            <v>186</v>
          </cell>
          <cell r="I23">
            <v>188</v>
          </cell>
          <cell r="K23">
            <v>187</v>
          </cell>
          <cell r="M23">
            <v>183</v>
          </cell>
        </row>
        <row r="24">
          <cell r="C24">
            <v>156</v>
          </cell>
          <cell r="E24">
            <v>157</v>
          </cell>
          <cell r="G24">
            <v>282</v>
          </cell>
          <cell r="I24">
            <v>165</v>
          </cell>
          <cell r="K24">
            <v>164</v>
          </cell>
          <cell r="M24">
            <v>154</v>
          </cell>
        </row>
        <row r="25">
          <cell r="C25">
            <v>176</v>
          </cell>
          <cell r="E25">
            <v>175</v>
          </cell>
          <cell r="G25">
            <v>351</v>
          </cell>
          <cell r="I25">
            <v>175</v>
          </cell>
          <cell r="K25">
            <v>175</v>
          </cell>
          <cell r="M25">
            <v>165</v>
          </cell>
        </row>
        <row r="26">
          <cell r="C26">
            <v>180</v>
          </cell>
          <cell r="E26">
            <v>182</v>
          </cell>
          <cell r="G26">
            <v>360</v>
          </cell>
          <cell r="I26">
            <v>185</v>
          </cell>
          <cell r="K26">
            <v>185</v>
          </cell>
          <cell r="M26">
            <v>180</v>
          </cell>
        </row>
        <row r="27">
          <cell r="C27">
            <v>185</v>
          </cell>
          <cell r="E27">
            <v>184</v>
          </cell>
          <cell r="G27">
            <v>370</v>
          </cell>
          <cell r="I27">
            <v>185</v>
          </cell>
          <cell r="K27">
            <v>193</v>
          </cell>
          <cell r="M27">
            <v>183</v>
          </cell>
        </row>
        <row r="28">
          <cell r="C28">
            <v>167</v>
          </cell>
          <cell r="E28">
            <v>167</v>
          </cell>
          <cell r="G28">
            <v>333</v>
          </cell>
          <cell r="I28">
            <v>166</v>
          </cell>
          <cell r="K28">
            <v>168</v>
          </cell>
          <cell r="M28">
            <v>166</v>
          </cell>
        </row>
        <row r="29">
          <cell r="C29">
            <v>157</v>
          </cell>
          <cell r="E29">
            <v>157</v>
          </cell>
          <cell r="G29">
            <v>314</v>
          </cell>
          <cell r="I29">
            <v>157</v>
          </cell>
          <cell r="K29">
            <v>161</v>
          </cell>
          <cell r="M29">
            <v>156</v>
          </cell>
        </row>
        <row r="30">
          <cell r="C30">
            <v>194</v>
          </cell>
          <cell r="E30">
            <v>201</v>
          </cell>
          <cell r="G30">
            <v>378</v>
          </cell>
          <cell r="I30">
            <v>207</v>
          </cell>
          <cell r="K30">
            <v>244</v>
          </cell>
          <cell r="M30">
            <v>190</v>
          </cell>
        </row>
        <row r="31">
          <cell r="C31">
            <v>162</v>
          </cell>
          <cell r="E31">
            <v>162</v>
          </cell>
          <cell r="G31">
            <v>324</v>
          </cell>
          <cell r="I31">
            <v>162</v>
          </cell>
          <cell r="K31">
            <v>162</v>
          </cell>
          <cell r="M31">
            <v>155</v>
          </cell>
        </row>
        <row r="32">
          <cell r="C32">
            <v>114</v>
          </cell>
          <cell r="E32">
            <v>164</v>
          </cell>
          <cell r="G32">
            <v>328</v>
          </cell>
          <cell r="I32">
            <v>164</v>
          </cell>
          <cell r="K32">
            <v>165</v>
          </cell>
          <cell r="M32">
            <v>163</v>
          </cell>
        </row>
        <row r="33">
          <cell r="C33">
            <v>232</v>
          </cell>
          <cell r="E33">
            <v>185</v>
          </cell>
          <cell r="G33">
            <v>363</v>
          </cell>
          <cell r="I33">
            <v>182</v>
          </cell>
          <cell r="K33">
            <v>167</v>
          </cell>
          <cell r="M33">
            <v>148</v>
          </cell>
        </row>
        <row r="34">
          <cell r="C34">
            <v>189</v>
          </cell>
          <cell r="E34">
            <v>186</v>
          </cell>
          <cell r="G34">
            <v>378</v>
          </cell>
          <cell r="I34">
            <v>189</v>
          </cell>
          <cell r="K34">
            <v>189</v>
          </cell>
          <cell r="M34">
            <v>179</v>
          </cell>
        </row>
      </sheetData>
      <sheetData sheetId="5">
        <row r="4">
          <cell r="C4">
            <v>396526</v>
          </cell>
          <cell r="E4">
            <v>6408</v>
          </cell>
          <cell r="G4">
            <v>109862</v>
          </cell>
          <cell r="I4">
            <v>206114</v>
          </cell>
          <cell r="K4">
            <v>0</v>
          </cell>
          <cell r="M4">
            <v>0</v>
          </cell>
          <cell r="Q4">
            <v>212200.00000001164</v>
          </cell>
          <cell r="S4">
            <v>861000</v>
          </cell>
          <cell r="U4"/>
        </row>
        <row r="5">
          <cell r="C5">
            <v>550357</v>
          </cell>
          <cell r="E5">
            <v>88226</v>
          </cell>
          <cell r="G5">
            <v>0</v>
          </cell>
          <cell r="I5">
            <v>239647</v>
          </cell>
          <cell r="K5">
            <v>0</v>
          </cell>
          <cell r="M5">
            <v>0</v>
          </cell>
          <cell r="Q5">
            <v>261699.99999995343</v>
          </cell>
          <cell r="S5">
            <v>892000</v>
          </cell>
          <cell r="U5"/>
        </row>
        <row r="6">
          <cell r="C6">
            <v>441145</v>
          </cell>
          <cell r="E6">
            <v>36526</v>
          </cell>
          <cell r="G6">
            <v>40749</v>
          </cell>
          <cell r="I6">
            <v>160372</v>
          </cell>
          <cell r="K6">
            <v>0</v>
          </cell>
          <cell r="M6">
            <v>0</v>
          </cell>
          <cell r="Q6">
            <v>280500</v>
          </cell>
          <cell r="S6">
            <v>936000</v>
          </cell>
          <cell r="U6"/>
        </row>
        <row r="7">
          <cell r="C7">
            <v>513839</v>
          </cell>
          <cell r="E7">
            <v>0</v>
          </cell>
          <cell r="G7">
            <v>226632</v>
          </cell>
          <cell r="I7">
            <v>161321</v>
          </cell>
          <cell r="K7">
            <v>0</v>
          </cell>
          <cell r="M7">
            <v>0</v>
          </cell>
          <cell r="Q7">
            <v>518300.00000004657</v>
          </cell>
          <cell r="S7">
            <v>928000</v>
          </cell>
          <cell r="U7"/>
        </row>
        <row r="8">
          <cell r="C8">
            <v>574767</v>
          </cell>
          <cell r="E8">
            <v>0</v>
          </cell>
          <cell r="G8">
            <v>219605</v>
          </cell>
          <cell r="I8">
            <v>163664</v>
          </cell>
          <cell r="K8">
            <v>0</v>
          </cell>
          <cell r="M8">
            <v>0</v>
          </cell>
          <cell r="Q8">
            <v>445599.99999997672</v>
          </cell>
          <cell r="S8">
            <v>946000</v>
          </cell>
          <cell r="U8"/>
        </row>
        <row r="9">
          <cell r="C9">
            <v>421667</v>
          </cell>
          <cell r="E9">
            <v>41030</v>
          </cell>
          <cell r="G9">
            <v>189226</v>
          </cell>
          <cell r="I9">
            <v>189534</v>
          </cell>
          <cell r="K9">
            <v>0</v>
          </cell>
          <cell r="M9">
            <v>0</v>
          </cell>
          <cell r="Q9">
            <v>411700.00000001164</v>
          </cell>
          <cell r="S9">
            <v>842000</v>
          </cell>
          <cell r="U9"/>
        </row>
        <row r="10">
          <cell r="C10">
            <v>738239</v>
          </cell>
          <cell r="E10">
            <v>179022</v>
          </cell>
          <cell r="G10">
            <v>189306</v>
          </cell>
          <cell r="I10">
            <v>180851</v>
          </cell>
          <cell r="K10">
            <v>0</v>
          </cell>
          <cell r="M10">
            <v>30230.000000003201</v>
          </cell>
          <cell r="Q10">
            <v>425200.00000001164</v>
          </cell>
          <cell r="S10">
            <v>831000</v>
          </cell>
          <cell r="U10"/>
        </row>
        <row r="11">
          <cell r="C11">
            <v>632635</v>
          </cell>
          <cell r="E11">
            <v>202026</v>
          </cell>
          <cell r="G11">
            <v>235027</v>
          </cell>
          <cell r="I11">
            <v>181198</v>
          </cell>
          <cell r="K11">
            <v>0</v>
          </cell>
          <cell r="M11">
            <v>245089.99999999651</v>
          </cell>
          <cell r="Q11">
            <v>167099.99999997672</v>
          </cell>
          <cell r="S11">
            <v>854000</v>
          </cell>
          <cell r="U11"/>
        </row>
        <row r="12">
          <cell r="C12">
            <v>604413</v>
          </cell>
          <cell r="E12">
            <v>180748</v>
          </cell>
          <cell r="G12">
            <v>203632</v>
          </cell>
          <cell r="I12">
            <v>183341</v>
          </cell>
          <cell r="K12">
            <v>0</v>
          </cell>
          <cell r="M12">
            <v>251540.00000000087</v>
          </cell>
          <cell r="Q12">
            <v>222400.00000002328</v>
          </cell>
          <cell r="S12">
            <v>668000</v>
          </cell>
          <cell r="U12"/>
        </row>
        <row r="13">
          <cell r="C13">
            <v>1301883</v>
          </cell>
          <cell r="E13">
            <v>211727</v>
          </cell>
          <cell r="G13">
            <v>99080</v>
          </cell>
          <cell r="I13">
            <v>165183</v>
          </cell>
          <cell r="K13">
            <v>0</v>
          </cell>
          <cell r="M13">
            <v>274000.00000000728</v>
          </cell>
          <cell r="Q13">
            <v>230699.99999995343</v>
          </cell>
          <cell r="S13">
            <v>544000</v>
          </cell>
          <cell r="U13"/>
        </row>
        <row r="14">
          <cell r="C14">
            <v>284523</v>
          </cell>
          <cell r="E14">
            <v>314399</v>
          </cell>
          <cell r="G14">
            <v>0</v>
          </cell>
          <cell r="I14">
            <v>173217</v>
          </cell>
          <cell r="K14">
            <v>0</v>
          </cell>
          <cell r="M14">
            <v>239639.99999999942</v>
          </cell>
          <cell r="Q14">
            <v>380800.00000004657</v>
          </cell>
          <cell r="S14">
            <v>684000</v>
          </cell>
          <cell r="U14"/>
        </row>
        <row r="15">
          <cell r="C15">
            <v>284524</v>
          </cell>
          <cell r="E15">
            <v>251770</v>
          </cell>
          <cell r="G15">
            <v>0</v>
          </cell>
          <cell r="I15">
            <v>169619</v>
          </cell>
          <cell r="K15">
            <v>0</v>
          </cell>
          <cell r="M15">
            <v>215649.99999999418</v>
          </cell>
          <cell r="Q15">
            <v>318599.99999997672</v>
          </cell>
          <cell r="S15">
            <v>549000</v>
          </cell>
          <cell r="U15"/>
        </row>
        <row r="16">
          <cell r="C16">
            <v>799212</v>
          </cell>
          <cell r="E16">
            <v>344312</v>
          </cell>
          <cell r="G16">
            <v>0</v>
          </cell>
          <cell r="I16">
            <v>148959</v>
          </cell>
          <cell r="K16">
            <v>0</v>
          </cell>
          <cell r="M16">
            <v>252860.00000000058</v>
          </cell>
          <cell r="Q16">
            <v>503500</v>
          </cell>
          <cell r="S16">
            <v>688000</v>
          </cell>
          <cell r="U16"/>
        </row>
        <row r="17">
          <cell r="C17">
            <v>597194</v>
          </cell>
          <cell r="E17">
            <v>275864</v>
          </cell>
          <cell r="G17">
            <v>0</v>
          </cell>
          <cell r="I17">
            <v>205087</v>
          </cell>
          <cell r="K17">
            <v>0</v>
          </cell>
          <cell r="M17">
            <v>259800.00000000291</v>
          </cell>
          <cell r="Q17">
            <v>339799.99999998836</v>
          </cell>
          <cell r="S17">
            <v>537000</v>
          </cell>
          <cell r="U17"/>
        </row>
        <row r="18">
          <cell r="C18">
            <v>686851</v>
          </cell>
          <cell r="E18">
            <v>337032</v>
          </cell>
          <cell r="G18">
            <v>0</v>
          </cell>
          <cell r="I18">
            <v>189719</v>
          </cell>
          <cell r="K18">
            <v>0</v>
          </cell>
          <cell r="M18">
            <v>269629.9999999901</v>
          </cell>
          <cell r="Q18">
            <v>262400.00000002328</v>
          </cell>
          <cell r="S18">
            <v>595000</v>
          </cell>
          <cell r="U18"/>
        </row>
        <row r="19">
          <cell r="C19">
            <v>746538</v>
          </cell>
          <cell r="E19">
            <v>27724</v>
          </cell>
          <cell r="G19">
            <v>0</v>
          </cell>
          <cell r="I19">
            <v>175865</v>
          </cell>
          <cell r="K19">
            <v>0</v>
          </cell>
          <cell r="M19">
            <v>232980.00000001048</v>
          </cell>
          <cell r="Q19">
            <v>311899.99999996508</v>
          </cell>
          <cell r="S19">
            <v>647000</v>
          </cell>
          <cell r="U19"/>
        </row>
        <row r="20">
          <cell r="C20">
            <v>637780</v>
          </cell>
          <cell r="E20">
            <v>600110</v>
          </cell>
          <cell r="G20">
            <v>0</v>
          </cell>
          <cell r="I20">
            <v>191747</v>
          </cell>
          <cell r="K20">
            <v>0</v>
          </cell>
          <cell r="M20">
            <v>270929.99999999302</v>
          </cell>
          <cell r="Q20">
            <v>347700.00000001164</v>
          </cell>
          <cell r="S20">
            <v>814000</v>
          </cell>
          <cell r="U20"/>
        </row>
        <row r="21">
          <cell r="C21">
            <v>1111000</v>
          </cell>
          <cell r="E21">
            <v>155394</v>
          </cell>
          <cell r="G21">
            <v>0</v>
          </cell>
          <cell r="I21">
            <v>186033</v>
          </cell>
          <cell r="K21">
            <v>0</v>
          </cell>
          <cell r="M21">
            <v>190520.00000000407</v>
          </cell>
          <cell r="Q21">
            <v>96600.000000034925</v>
          </cell>
          <cell r="S21">
            <v>857000</v>
          </cell>
          <cell r="U21"/>
        </row>
        <row r="22">
          <cell r="C22">
            <v>-22810</v>
          </cell>
          <cell r="E22">
            <v>312000</v>
          </cell>
          <cell r="G22">
            <v>0</v>
          </cell>
          <cell r="I22">
            <v>217262</v>
          </cell>
          <cell r="K22">
            <v>0</v>
          </cell>
          <cell r="M22">
            <v>126270.00000000407</v>
          </cell>
          <cell r="Q22">
            <v>46599.999999976717</v>
          </cell>
          <cell r="S22">
            <v>845000</v>
          </cell>
          <cell r="U22"/>
        </row>
        <row r="23">
          <cell r="C23">
            <v>506110</v>
          </cell>
          <cell r="E23">
            <v>145992</v>
          </cell>
          <cell r="G23">
            <v>0</v>
          </cell>
          <cell r="I23">
            <v>181570</v>
          </cell>
          <cell r="K23">
            <v>0</v>
          </cell>
          <cell r="M23">
            <v>143360.00000000058</v>
          </cell>
          <cell r="Q23">
            <v>103500</v>
          </cell>
          <cell r="S23">
            <v>976000</v>
          </cell>
          <cell r="U23"/>
        </row>
        <row r="24">
          <cell r="C24">
            <v>530312</v>
          </cell>
          <cell r="E24">
            <v>178806</v>
          </cell>
          <cell r="G24">
            <v>0</v>
          </cell>
          <cell r="I24">
            <v>218809</v>
          </cell>
          <cell r="K24">
            <v>0</v>
          </cell>
          <cell r="M24">
            <v>187489.99999999069</v>
          </cell>
          <cell r="Q24">
            <v>80299.999999988358</v>
          </cell>
          <cell r="S24">
            <v>755000</v>
          </cell>
          <cell r="U24"/>
        </row>
        <row r="25">
          <cell r="C25">
            <v>496663</v>
          </cell>
          <cell r="E25">
            <v>67202</v>
          </cell>
          <cell r="G25">
            <v>0</v>
          </cell>
          <cell r="I25">
            <v>202503</v>
          </cell>
          <cell r="K25">
            <v>0</v>
          </cell>
          <cell r="M25">
            <v>141260.00000000931</v>
          </cell>
          <cell r="Q25">
            <v>49799.999999988358</v>
          </cell>
          <cell r="S25">
            <v>923000</v>
          </cell>
          <cell r="U25"/>
        </row>
        <row r="26">
          <cell r="C26">
            <v>636478</v>
          </cell>
          <cell r="E26">
            <v>180820</v>
          </cell>
          <cell r="G26">
            <v>0</v>
          </cell>
          <cell r="I26">
            <v>186191</v>
          </cell>
          <cell r="K26">
            <v>0</v>
          </cell>
          <cell r="M26">
            <v>154839.99999999651</v>
          </cell>
          <cell r="Q26">
            <v>99000</v>
          </cell>
          <cell r="S26">
            <v>945000</v>
          </cell>
          <cell r="U26"/>
        </row>
        <row r="27">
          <cell r="C27">
            <v>477267</v>
          </cell>
          <cell r="E27">
            <v>194926</v>
          </cell>
          <cell r="G27">
            <v>0</v>
          </cell>
          <cell r="I27">
            <v>177780</v>
          </cell>
          <cell r="K27">
            <v>0</v>
          </cell>
          <cell r="M27">
            <v>182910.00000000349</v>
          </cell>
          <cell r="Q27">
            <v>91500</v>
          </cell>
          <cell r="S27">
            <v>966000</v>
          </cell>
          <cell r="U27"/>
        </row>
        <row r="28">
          <cell r="C28">
            <v>621824</v>
          </cell>
          <cell r="E28">
            <v>194778</v>
          </cell>
          <cell r="G28">
            <v>0</v>
          </cell>
          <cell r="I28">
            <v>186462</v>
          </cell>
          <cell r="K28">
            <v>0</v>
          </cell>
          <cell r="M28">
            <v>210429.99999999302</v>
          </cell>
          <cell r="Q28">
            <v>142300.00000004657</v>
          </cell>
          <cell r="S28">
            <v>863000</v>
          </cell>
          <cell r="U28"/>
        </row>
        <row r="29">
          <cell r="C29">
            <v>460314</v>
          </cell>
          <cell r="E29">
            <v>196852</v>
          </cell>
          <cell r="G29">
            <v>0</v>
          </cell>
          <cell r="I29">
            <v>156316</v>
          </cell>
          <cell r="K29">
            <v>0</v>
          </cell>
          <cell r="M29">
            <v>159729.99999999593</v>
          </cell>
          <cell r="Q29">
            <v>97299.999999988358</v>
          </cell>
          <cell r="S29">
            <v>826000</v>
          </cell>
          <cell r="U29"/>
        </row>
        <row r="30">
          <cell r="C30">
            <v>706858</v>
          </cell>
          <cell r="E30">
            <v>233384</v>
          </cell>
          <cell r="G30">
            <v>0</v>
          </cell>
          <cell r="I30">
            <v>178542</v>
          </cell>
          <cell r="K30">
            <v>0</v>
          </cell>
          <cell r="M30">
            <v>252090.00000001106</v>
          </cell>
          <cell r="Q30">
            <v>150799.99999998836</v>
          </cell>
          <cell r="S30">
            <v>997000</v>
          </cell>
          <cell r="U30"/>
        </row>
        <row r="31">
          <cell r="C31">
            <v>444783</v>
          </cell>
          <cell r="E31">
            <v>70000</v>
          </cell>
          <cell r="G31">
            <v>0</v>
          </cell>
          <cell r="I31">
            <v>233833</v>
          </cell>
          <cell r="K31">
            <v>0</v>
          </cell>
          <cell r="M31">
            <v>149110.00000000058</v>
          </cell>
          <cell r="Q31">
            <v>73200.000000011642</v>
          </cell>
          <cell r="S31">
            <v>844000</v>
          </cell>
          <cell r="U31"/>
        </row>
        <row r="32">
          <cell r="C32">
            <v>552783</v>
          </cell>
          <cell r="E32">
            <v>158330</v>
          </cell>
          <cell r="G32">
            <v>0</v>
          </cell>
          <cell r="I32">
            <v>177581</v>
          </cell>
          <cell r="K32">
            <v>0</v>
          </cell>
          <cell r="M32">
            <v>212029.99999999884</v>
          </cell>
          <cell r="Q32">
            <v>67200.000000011642</v>
          </cell>
          <cell r="S32">
            <v>860000</v>
          </cell>
          <cell r="U32"/>
        </row>
        <row r="33">
          <cell r="C33">
            <v>596588</v>
          </cell>
          <cell r="E33">
            <v>160630</v>
          </cell>
          <cell r="G33">
            <v>59459</v>
          </cell>
          <cell r="I33">
            <v>202924</v>
          </cell>
          <cell r="K33">
            <v>0</v>
          </cell>
          <cell r="M33">
            <v>129009.99999999476</v>
          </cell>
          <cell r="Q33">
            <v>118699.99999995343</v>
          </cell>
          <cell r="S33">
            <v>791000</v>
          </cell>
          <cell r="U33"/>
        </row>
        <row r="34">
          <cell r="C34">
            <v>457826</v>
          </cell>
          <cell r="E34">
            <v>0</v>
          </cell>
          <cell r="G34">
            <v>163301</v>
          </cell>
          <cell r="I34">
            <v>172082</v>
          </cell>
          <cell r="K34">
            <v>0</v>
          </cell>
          <cell r="M34">
            <v>73960.000000006403</v>
          </cell>
          <cell r="Q34">
            <v>70000</v>
          </cell>
          <cell r="S34">
            <v>985000</v>
          </cell>
          <cell r="U34"/>
        </row>
        <row r="35">
          <cell r="C35"/>
          <cell r="E35"/>
          <cell r="G35"/>
          <cell r="I35"/>
          <cell r="K35"/>
          <cell r="M35"/>
          <cell r="Q35"/>
          <cell r="S35"/>
          <cell r="U35"/>
        </row>
        <row r="39">
          <cell r="B39">
            <v>17788089</v>
          </cell>
          <cell r="D39">
            <v>5346038</v>
          </cell>
          <cell r="F39">
            <v>1735879</v>
          </cell>
          <cell r="H39">
            <v>5763326</v>
          </cell>
          <cell r="J39">
            <v>0</v>
          </cell>
          <cell r="L39">
            <v>4855360.0000000075</v>
          </cell>
          <cell r="P39">
            <v>6926899.9999999646</v>
          </cell>
          <cell r="R39">
            <v>25249000</v>
          </cell>
          <cell r="T39"/>
        </row>
      </sheetData>
      <sheetData sheetId="6">
        <row r="4">
          <cell r="B4">
            <v>2.11</v>
          </cell>
          <cell r="D4">
            <v>19.88</v>
          </cell>
        </row>
        <row r="5">
          <cell r="B5">
            <v>1.98</v>
          </cell>
          <cell r="D5">
            <v>19.38</v>
          </cell>
        </row>
        <row r="6">
          <cell r="B6">
            <v>2.09</v>
          </cell>
          <cell r="D6">
            <v>19.37</v>
          </cell>
        </row>
        <row r="7">
          <cell r="B7">
            <v>2.0499999999999998</v>
          </cell>
          <cell r="D7">
            <v>18.23</v>
          </cell>
        </row>
        <row r="8">
          <cell r="B8">
            <v>2.04</v>
          </cell>
          <cell r="D8">
            <v>20.09</v>
          </cell>
        </row>
        <row r="9">
          <cell r="B9">
            <v>1.96</v>
          </cell>
          <cell r="D9">
            <v>18.440000000000001</v>
          </cell>
        </row>
        <row r="10">
          <cell r="B10">
            <v>1.81</v>
          </cell>
          <cell r="D10">
            <v>19.21</v>
          </cell>
        </row>
        <row r="11">
          <cell r="B11">
            <v>1.83</v>
          </cell>
          <cell r="D11">
            <v>18.829999999999998</v>
          </cell>
        </row>
        <row r="12">
          <cell r="B12">
            <v>2</v>
          </cell>
          <cell r="D12">
            <v>19.13</v>
          </cell>
        </row>
        <row r="13">
          <cell r="B13">
            <v>1.99</v>
          </cell>
          <cell r="D13">
            <v>18.04</v>
          </cell>
        </row>
        <row r="14">
          <cell r="B14">
            <v>1.8</v>
          </cell>
          <cell r="D14">
            <v>18.43</v>
          </cell>
        </row>
        <row r="15">
          <cell r="B15">
            <v>1.85</v>
          </cell>
          <cell r="D15">
            <v>18.72</v>
          </cell>
        </row>
        <row r="16">
          <cell r="B16">
            <v>1.83</v>
          </cell>
          <cell r="D16">
            <v>17.309999999999999</v>
          </cell>
        </row>
        <row r="17">
          <cell r="B17">
            <v>1.8</v>
          </cell>
          <cell r="D17">
            <v>18.34</v>
          </cell>
        </row>
        <row r="18">
          <cell r="B18">
            <v>1.79</v>
          </cell>
          <cell r="D18">
            <v>17.41</v>
          </cell>
        </row>
        <row r="19">
          <cell r="B19">
            <v>1.78</v>
          </cell>
          <cell r="D19">
            <v>20.170000000000002</v>
          </cell>
        </row>
        <row r="20">
          <cell r="B20">
            <v>1.71</v>
          </cell>
          <cell r="D20">
            <v>18.27</v>
          </cell>
        </row>
        <row r="21">
          <cell r="B21">
            <v>1.75</v>
          </cell>
          <cell r="D21">
            <v>16.75</v>
          </cell>
        </row>
        <row r="22">
          <cell r="B22">
            <v>1.81</v>
          </cell>
          <cell r="D22">
            <v>15.63</v>
          </cell>
        </row>
        <row r="23">
          <cell r="B23">
            <v>1.89</v>
          </cell>
          <cell r="D23">
            <v>17.5</v>
          </cell>
        </row>
        <row r="24">
          <cell r="B24">
            <v>1.77</v>
          </cell>
          <cell r="D24">
            <v>18.149999999999999</v>
          </cell>
        </row>
        <row r="25">
          <cell r="B25">
            <v>1.76</v>
          </cell>
          <cell r="D25">
            <v>18.3</v>
          </cell>
        </row>
        <row r="26">
          <cell r="B26">
            <v>1.81</v>
          </cell>
          <cell r="D26">
            <v>18.559999999999999</v>
          </cell>
        </row>
        <row r="27">
          <cell r="B27">
            <v>1.79</v>
          </cell>
          <cell r="D27">
            <v>18.489999999999998</v>
          </cell>
        </row>
        <row r="28">
          <cell r="B28">
            <v>1.97</v>
          </cell>
          <cell r="D28">
            <v>18.739999999999998</v>
          </cell>
        </row>
        <row r="29">
          <cell r="B29">
            <v>1.89</v>
          </cell>
          <cell r="D29">
            <v>19.73</v>
          </cell>
        </row>
        <row r="30">
          <cell r="B30">
            <v>1.87</v>
          </cell>
          <cell r="D30">
            <v>18.399999999999999</v>
          </cell>
        </row>
        <row r="31">
          <cell r="B31">
            <v>1.91</v>
          </cell>
          <cell r="D31">
            <v>19.37</v>
          </cell>
        </row>
        <row r="32">
          <cell r="B32">
            <v>1.8</v>
          </cell>
          <cell r="D32">
            <v>18.91</v>
          </cell>
        </row>
        <row r="33">
          <cell r="B33">
            <v>1.82</v>
          </cell>
          <cell r="D33">
            <v>19.36</v>
          </cell>
        </row>
        <row r="34">
          <cell r="B34">
            <v>1.87</v>
          </cell>
          <cell r="D34">
            <v>18.440000000000001</v>
          </cell>
        </row>
      </sheetData>
      <sheetData sheetId="7">
        <row r="4">
          <cell r="F4">
            <v>47.32</v>
          </cell>
          <cell r="G4">
            <v>24.3</v>
          </cell>
          <cell r="H4">
            <v>19.8</v>
          </cell>
          <cell r="I4">
            <v>19.8</v>
          </cell>
          <cell r="J4">
            <v>0</v>
          </cell>
          <cell r="M4">
            <v>13.9</v>
          </cell>
          <cell r="N4">
            <v>9.4</v>
          </cell>
          <cell r="O4">
            <v>9.3000000000000007</v>
          </cell>
          <cell r="P4">
            <v>0</v>
          </cell>
          <cell r="Q4">
            <v>34571</v>
          </cell>
          <cell r="R4">
            <v>7686</v>
          </cell>
          <cell r="W4">
            <v>6580</v>
          </cell>
          <cell r="X4">
            <v>0</v>
          </cell>
          <cell r="Y4">
            <v>23.3</v>
          </cell>
          <cell r="Z4">
            <v>23.3</v>
          </cell>
        </row>
        <row r="5">
          <cell r="F5">
            <v>114.9</v>
          </cell>
          <cell r="G5">
            <v>23.9</v>
          </cell>
          <cell r="H5">
            <v>23.9</v>
          </cell>
          <cell r="I5">
            <v>23.2</v>
          </cell>
          <cell r="J5">
            <v>0</v>
          </cell>
          <cell r="M5">
            <v>22.9</v>
          </cell>
          <cell r="N5">
            <v>22.8</v>
          </cell>
          <cell r="O5">
            <v>22.4</v>
          </cell>
          <cell r="P5">
            <v>0</v>
          </cell>
          <cell r="Q5">
            <v>68799</v>
          </cell>
          <cell r="R5">
            <v>15242</v>
          </cell>
          <cell r="W5">
            <v>6930</v>
          </cell>
          <cell r="X5">
            <v>0</v>
          </cell>
          <cell r="Y5">
            <v>22.8</v>
          </cell>
          <cell r="Z5">
            <v>22.8</v>
          </cell>
        </row>
        <row r="6">
          <cell r="F6">
            <v>121.43</v>
          </cell>
          <cell r="G6">
            <v>23.9</v>
          </cell>
          <cell r="H6">
            <v>23.6</v>
          </cell>
          <cell r="I6">
            <v>23.6</v>
          </cell>
          <cell r="J6">
            <v>0</v>
          </cell>
          <cell r="M6">
            <v>18.100000000000001</v>
          </cell>
          <cell r="N6">
            <v>22.6</v>
          </cell>
          <cell r="O6">
            <v>22.6</v>
          </cell>
          <cell r="P6">
            <v>0</v>
          </cell>
          <cell r="Q6">
            <v>71384</v>
          </cell>
          <cell r="R6">
            <v>14385</v>
          </cell>
          <cell r="W6">
            <v>6620</v>
          </cell>
          <cell r="X6">
            <v>0</v>
          </cell>
          <cell r="Y6">
            <v>23.5</v>
          </cell>
          <cell r="Z6">
            <v>23.8</v>
          </cell>
        </row>
        <row r="7">
          <cell r="F7">
            <v>119.1</v>
          </cell>
          <cell r="G7">
            <v>23.6</v>
          </cell>
          <cell r="H7">
            <v>22.8</v>
          </cell>
          <cell r="I7">
            <v>22.3</v>
          </cell>
          <cell r="J7">
            <v>8.5</v>
          </cell>
          <cell r="M7">
            <v>20</v>
          </cell>
          <cell r="N7">
            <v>14.7</v>
          </cell>
          <cell r="O7">
            <v>21.5</v>
          </cell>
          <cell r="P7">
            <v>3.7</v>
          </cell>
          <cell r="Q7">
            <v>60758</v>
          </cell>
          <cell r="R7">
            <v>11972</v>
          </cell>
          <cell r="W7">
            <v>7310</v>
          </cell>
          <cell r="X7">
            <v>0</v>
          </cell>
          <cell r="Y7">
            <v>24.8</v>
          </cell>
          <cell r="Z7">
            <v>24.5</v>
          </cell>
        </row>
        <row r="8">
          <cell r="F8">
            <v>141.84</v>
          </cell>
          <cell r="G8">
            <v>23.6</v>
          </cell>
          <cell r="H8">
            <v>8.9</v>
          </cell>
          <cell r="I8">
            <v>23.4</v>
          </cell>
          <cell r="J8">
            <v>23.4</v>
          </cell>
          <cell r="M8">
            <v>22.6</v>
          </cell>
          <cell r="N8">
            <v>0</v>
          </cell>
          <cell r="O8">
            <v>23.4</v>
          </cell>
          <cell r="P8">
            <v>23.4</v>
          </cell>
          <cell r="Q8">
            <v>66701</v>
          </cell>
          <cell r="R8">
            <v>13602</v>
          </cell>
          <cell r="W8">
            <v>7560</v>
          </cell>
          <cell r="X8">
            <v>0</v>
          </cell>
          <cell r="Y8">
            <v>23.3</v>
          </cell>
          <cell r="Z8">
            <v>23.3</v>
          </cell>
        </row>
        <row r="9">
          <cell r="F9">
            <v>141.43</v>
          </cell>
          <cell r="G9">
            <v>22.2</v>
          </cell>
          <cell r="H9">
            <v>0</v>
          </cell>
          <cell r="I9">
            <v>22.4</v>
          </cell>
          <cell r="J9">
            <v>22.4</v>
          </cell>
          <cell r="M9">
            <v>21.1</v>
          </cell>
          <cell r="N9">
            <v>0</v>
          </cell>
          <cell r="O9">
            <v>21.1</v>
          </cell>
          <cell r="P9">
            <v>21.1</v>
          </cell>
          <cell r="Q9">
            <v>61884</v>
          </cell>
          <cell r="R9">
            <v>12613</v>
          </cell>
          <cell r="W9">
            <v>8220</v>
          </cell>
          <cell r="X9">
            <v>0</v>
          </cell>
          <cell r="Y9">
            <v>25.6</v>
          </cell>
          <cell r="Z9">
            <v>25.6</v>
          </cell>
        </row>
        <row r="10">
          <cell r="F10">
            <v>102.01</v>
          </cell>
          <cell r="G10">
            <v>19.899999999999999</v>
          </cell>
          <cell r="H10">
            <v>19.899999999999999</v>
          </cell>
          <cell r="I10">
            <v>19.899999999999999</v>
          </cell>
          <cell r="J10">
            <v>0</v>
          </cell>
          <cell r="M10">
            <v>19.899999999999999</v>
          </cell>
          <cell r="N10">
            <v>19.8</v>
          </cell>
          <cell r="O10">
            <v>19.8</v>
          </cell>
          <cell r="P10">
            <v>0</v>
          </cell>
          <cell r="Q10">
            <v>60110</v>
          </cell>
          <cell r="R10">
            <v>13563</v>
          </cell>
          <cell r="W10">
            <v>6530</v>
          </cell>
          <cell r="X10">
            <v>0</v>
          </cell>
          <cell r="Y10">
            <v>24</v>
          </cell>
          <cell r="Z10">
            <v>24</v>
          </cell>
        </row>
        <row r="11">
          <cell r="F11">
            <v>96.02</v>
          </cell>
          <cell r="G11">
            <v>23.4</v>
          </cell>
          <cell r="H11">
            <v>17.7</v>
          </cell>
          <cell r="I11">
            <v>25</v>
          </cell>
          <cell r="J11">
            <v>0</v>
          </cell>
          <cell r="M11">
            <v>22.4</v>
          </cell>
          <cell r="N11">
            <v>17.399999999999999</v>
          </cell>
          <cell r="O11">
            <v>25.1</v>
          </cell>
          <cell r="P11">
            <v>0</v>
          </cell>
          <cell r="Q11">
            <v>68896</v>
          </cell>
          <cell r="R11">
            <v>16970</v>
          </cell>
          <cell r="W11">
            <v>7057</v>
          </cell>
          <cell r="X11">
            <v>0</v>
          </cell>
          <cell r="Y11">
            <v>23.1</v>
          </cell>
          <cell r="Z11">
            <v>23</v>
          </cell>
        </row>
        <row r="12">
          <cell r="F12">
            <v>116.62</v>
          </cell>
          <cell r="G12">
            <v>23.4</v>
          </cell>
          <cell r="H12">
            <v>23.3</v>
          </cell>
          <cell r="I12">
            <v>23.4</v>
          </cell>
          <cell r="J12">
            <v>0.5</v>
          </cell>
          <cell r="M12">
            <v>17.7</v>
          </cell>
          <cell r="N12">
            <v>22.3</v>
          </cell>
          <cell r="O12">
            <v>22.2</v>
          </cell>
          <cell r="P12">
            <v>0</v>
          </cell>
          <cell r="Q12">
            <v>66547</v>
          </cell>
          <cell r="R12">
            <v>14233</v>
          </cell>
          <cell r="W12">
            <v>6770</v>
          </cell>
          <cell r="X12">
            <v>0</v>
          </cell>
          <cell r="Y12">
            <v>24</v>
          </cell>
          <cell r="Z12">
            <v>24.1</v>
          </cell>
        </row>
        <row r="13">
          <cell r="F13">
            <v>111.62</v>
          </cell>
          <cell r="G13">
            <v>18</v>
          </cell>
          <cell r="H13">
            <v>19.5</v>
          </cell>
          <cell r="I13">
            <v>19.899999999999999</v>
          </cell>
          <cell r="J13">
            <v>0.1</v>
          </cell>
          <cell r="M13">
            <v>14.9</v>
          </cell>
          <cell r="N13">
            <v>16</v>
          </cell>
          <cell r="O13">
            <v>19.2</v>
          </cell>
          <cell r="P13">
            <v>0.1</v>
          </cell>
          <cell r="Q13">
            <v>55471</v>
          </cell>
          <cell r="R13">
            <v>10781</v>
          </cell>
          <cell r="W13">
            <v>6030</v>
          </cell>
          <cell r="X13">
            <v>0</v>
          </cell>
          <cell r="Y13">
            <v>22.5</v>
          </cell>
          <cell r="Z13">
            <v>22.4</v>
          </cell>
        </row>
        <row r="14">
          <cell r="F14">
            <v>114.28</v>
          </cell>
          <cell r="G14">
            <v>16.3</v>
          </cell>
          <cell r="H14">
            <v>18.100000000000001</v>
          </cell>
          <cell r="I14">
            <v>23.3</v>
          </cell>
          <cell r="J14">
            <v>7.9</v>
          </cell>
          <cell r="M14">
            <v>14.8</v>
          </cell>
          <cell r="N14">
            <v>12.1</v>
          </cell>
          <cell r="O14">
            <v>23.2</v>
          </cell>
          <cell r="P14">
            <v>7.6</v>
          </cell>
          <cell r="Q14">
            <v>66522</v>
          </cell>
          <cell r="R14">
            <v>12303</v>
          </cell>
          <cell r="W14">
            <v>6750</v>
          </cell>
          <cell r="X14">
            <v>0</v>
          </cell>
          <cell r="Y14">
            <v>23.9</v>
          </cell>
          <cell r="Z14">
            <v>23.6</v>
          </cell>
        </row>
        <row r="15">
          <cell r="F15">
            <v>60.01</v>
          </cell>
          <cell r="G15">
            <v>0</v>
          </cell>
          <cell r="H15">
            <v>0</v>
          </cell>
          <cell r="I15">
            <v>24.5</v>
          </cell>
          <cell r="J15">
            <v>24.6</v>
          </cell>
          <cell r="M15">
            <v>0</v>
          </cell>
          <cell r="N15">
            <v>0</v>
          </cell>
          <cell r="O15">
            <v>24</v>
          </cell>
          <cell r="P15">
            <v>24.2</v>
          </cell>
          <cell r="Q15">
            <v>59429</v>
          </cell>
          <cell r="R15">
            <v>12195</v>
          </cell>
          <cell r="W15">
            <v>6820</v>
          </cell>
          <cell r="X15">
            <v>0</v>
          </cell>
          <cell r="Y15">
            <v>24</v>
          </cell>
          <cell r="Z15">
            <v>24.4</v>
          </cell>
        </row>
        <row r="16">
          <cell r="F16">
            <v>80.64</v>
          </cell>
          <cell r="G16">
            <v>0</v>
          </cell>
          <cell r="H16">
            <v>0</v>
          </cell>
          <cell r="I16">
            <v>23.1</v>
          </cell>
          <cell r="J16">
            <v>23.2</v>
          </cell>
          <cell r="M16">
            <v>0</v>
          </cell>
          <cell r="N16">
            <v>0</v>
          </cell>
          <cell r="O16">
            <v>21.6</v>
          </cell>
          <cell r="P16">
            <v>21.7</v>
          </cell>
          <cell r="Q16">
            <v>51795</v>
          </cell>
          <cell r="R16">
            <v>10999</v>
          </cell>
          <cell r="W16">
            <v>5070</v>
          </cell>
          <cell r="X16">
            <v>0</v>
          </cell>
          <cell r="Y16">
            <v>23.6</v>
          </cell>
          <cell r="Z16">
            <v>23.5</v>
          </cell>
        </row>
        <row r="17">
          <cell r="F17">
            <v>81.53</v>
          </cell>
          <cell r="G17">
            <v>0</v>
          </cell>
          <cell r="H17">
            <v>0</v>
          </cell>
          <cell r="I17">
            <v>24.6</v>
          </cell>
          <cell r="J17">
            <v>24.6</v>
          </cell>
          <cell r="M17">
            <v>0</v>
          </cell>
          <cell r="N17">
            <v>0</v>
          </cell>
          <cell r="O17">
            <v>21.4</v>
          </cell>
          <cell r="P17">
            <v>21.8</v>
          </cell>
          <cell r="Q17">
            <v>57137</v>
          </cell>
          <cell r="R17">
            <v>12964</v>
          </cell>
          <cell r="W17">
            <v>6070</v>
          </cell>
          <cell r="X17">
            <v>0</v>
          </cell>
          <cell r="Y17">
            <v>24.4</v>
          </cell>
          <cell r="Z17">
            <v>24.5</v>
          </cell>
        </row>
        <row r="18">
          <cell r="F18">
            <v>92.96</v>
          </cell>
          <cell r="G18">
            <v>0</v>
          </cell>
          <cell r="H18">
            <v>0</v>
          </cell>
          <cell r="I18">
            <v>24.5</v>
          </cell>
          <cell r="J18">
            <v>24.5</v>
          </cell>
          <cell r="M18">
            <v>0</v>
          </cell>
          <cell r="N18">
            <v>0</v>
          </cell>
          <cell r="O18">
            <v>24.6</v>
          </cell>
          <cell r="P18">
            <v>24.6</v>
          </cell>
          <cell r="Q18">
            <v>70708</v>
          </cell>
          <cell r="R18">
            <v>16720</v>
          </cell>
          <cell r="W18">
            <v>6070</v>
          </cell>
          <cell r="X18">
            <v>0</v>
          </cell>
          <cell r="Y18">
            <v>24.4</v>
          </cell>
          <cell r="Z18">
            <v>24.4</v>
          </cell>
        </row>
        <row r="19">
          <cell r="F19">
            <v>94.04</v>
          </cell>
          <cell r="G19">
            <v>0</v>
          </cell>
          <cell r="H19">
            <v>0</v>
          </cell>
          <cell r="I19">
            <v>22.6</v>
          </cell>
          <cell r="J19">
            <v>23.5</v>
          </cell>
          <cell r="M19">
            <v>0</v>
          </cell>
          <cell r="N19">
            <v>0</v>
          </cell>
          <cell r="O19">
            <v>21.4</v>
          </cell>
          <cell r="P19">
            <v>22.5</v>
          </cell>
          <cell r="Q19">
            <v>61077</v>
          </cell>
          <cell r="R19">
            <v>14350</v>
          </cell>
          <cell r="W19">
            <v>18770</v>
          </cell>
          <cell r="X19">
            <v>0</v>
          </cell>
          <cell r="Y19">
            <v>22.2</v>
          </cell>
          <cell r="Z19">
            <v>22.2</v>
          </cell>
        </row>
        <row r="20">
          <cell r="F20">
            <v>88.27</v>
          </cell>
          <cell r="G20">
            <v>5.6</v>
          </cell>
          <cell r="H20">
            <v>5</v>
          </cell>
          <cell r="I20">
            <v>24.4</v>
          </cell>
          <cell r="J20">
            <v>24.4</v>
          </cell>
          <cell r="M20">
            <v>4.8</v>
          </cell>
          <cell r="N20">
            <v>2.4</v>
          </cell>
          <cell r="O20">
            <v>22.2</v>
          </cell>
          <cell r="P20">
            <v>22.4</v>
          </cell>
          <cell r="Q20">
            <v>61482</v>
          </cell>
          <cell r="R20">
            <v>12984</v>
          </cell>
          <cell r="W20">
            <v>6300</v>
          </cell>
          <cell r="X20">
            <v>0</v>
          </cell>
          <cell r="Y20">
            <v>24.6</v>
          </cell>
          <cell r="Z20">
            <v>24.6</v>
          </cell>
        </row>
        <row r="21">
          <cell r="F21">
            <v>104.88</v>
          </cell>
          <cell r="G21">
            <v>4.5999999999999996</v>
          </cell>
          <cell r="H21">
            <v>0.1</v>
          </cell>
          <cell r="I21">
            <v>23.2</v>
          </cell>
          <cell r="J21">
            <v>23.3</v>
          </cell>
          <cell r="M21">
            <v>4.2</v>
          </cell>
          <cell r="N21">
            <v>0.1</v>
          </cell>
          <cell r="O21">
            <v>23.2</v>
          </cell>
          <cell r="P21">
            <v>23.3</v>
          </cell>
          <cell r="Q21">
            <v>64974</v>
          </cell>
          <cell r="R21">
            <v>13798</v>
          </cell>
          <cell r="W21">
            <v>6260</v>
          </cell>
          <cell r="X21">
            <v>7.2</v>
          </cell>
          <cell r="Y21">
            <v>23.1</v>
          </cell>
          <cell r="Z21">
            <v>23.1</v>
          </cell>
        </row>
        <row r="22">
          <cell r="F22">
            <v>155.5</v>
          </cell>
          <cell r="G22">
            <v>0</v>
          </cell>
          <cell r="H22">
            <v>24.6</v>
          </cell>
          <cell r="I22">
            <v>24.6</v>
          </cell>
          <cell r="J22">
            <v>29.5</v>
          </cell>
          <cell r="M22">
            <v>0</v>
          </cell>
          <cell r="N22">
            <v>21.6</v>
          </cell>
          <cell r="O22">
            <v>23.2</v>
          </cell>
          <cell r="P22">
            <v>24.3</v>
          </cell>
          <cell r="Q22">
            <v>85620</v>
          </cell>
          <cell r="R22">
            <v>19235</v>
          </cell>
          <cell r="W22">
            <v>6650</v>
          </cell>
          <cell r="X22">
            <v>24.9</v>
          </cell>
          <cell r="Y22">
            <v>24.6</v>
          </cell>
          <cell r="Z22">
            <v>24.8</v>
          </cell>
        </row>
        <row r="23">
          <cell r="F23">
            <v>47.63</v>
          </cell>
          <cell r="G23">
            <v>0</v>
          </cell>
          <cell r="H23">
            <v>16.100000000000001</v>
          </cell>
          <cell r="I23">
            <v>23.1</v>
          </cell>
          <cell r="J23">
            <v>7.6</v>
          </cell>
          <cell r="M23">
            <v>0</v>
          </cell>
          <cell r="N23">
            <v>8.3000000000000007</v>
          </cell>
          <cell r="O23">
            <v>12.3</v>
          </cell>
          <cell r="P23">
            <v>3.6</v>
          </cell>
          <cell r="Q23">
            <v>29626</v>
          </cell>
          <cell r="R23">
            <v>7067</v>
          </cell>
          <cell r="W23">
            <v>6410</v>
          </cell>
          <cell r="X23">
            <v>24.5</v>
          </cell>
          <cell r="Y23">
            <v>24.8</v>
          </cell>
          <cell r="Z23">
            <v>24.5</v>
          </cell>
        </row>
        <row r="24">
          <cell r="F24">
            <v>73.03</v>
          </cell>
          <cell r="G24">
            <v>14.6</v>
          </cell>
          <cell r="H24">
            <v>18.100000000000001</v>
          </cell>
          <cell r="I24">
            <v>18.100000000000001</v>
          </cell>
          <cell r="J24">
            <v>0</v>
          </cell>
          <cell r="M24">
            <v>13.3</v>
          </cell>
          <cell r="N24">
            <v>16.899999999999999</v>
          </cell>
          <cell r="O24">
            <v>16.899999999999999</v>
          </cell>
          <cell r="P24">
            <v>0</v>
          </cell>
          <cell r="Q24">
            <v>54773</v>
          </cell>
          <cell r="R24">
            <v>13982</v>
          </cell>
          <cell r="W24">
            <v>5770</v>
          </cell>
          <cell r="X24">
            <v>23.4</v>
          </cell>
          <cell r="Y24">
            <v>23.3</v>
          </cell>
          <cell r="Z24">
            <v>23.4</v>
          </cell>
        </row>
        <row r="25">
          <cell r="F25">
            <v>113.69</v>
          </cell>
          <cell r="G25">
            <v>24.9</v>
          </cell>
          <cell r="H25">
            <v>24.9</v>
          </cell>
          <cell r="I25">
            <v>25</v>
          </cell>
          <cell r="J25">
            <v>0.2</v>
          </cell>
          <cell r="M25">
            <v>24.9</v>
          </cell>
          <cell r="N25">
            <v>24.9</v>
          </cell>
          <cell r="O25">
            <v>24.9</v>
          </cell>
          <cell r="P25">
            <v>0</v>
          </cell>
          <cell r="Q25">
            <v>85237</v>
          </cell>
          <cell r="R25">
            <v>21983</v>
          </cell>
          <cell r="W25">
            <v>5880</v>
          </cell>
          <cell r="X25">
            <v>24.1</v>
          </cell>
          <cell r="Y25">
            <v>24.3</v>
          </cell>
          <cell r="Z25">
            <v>24.2</v>
          </cell>
        </row>
        <row r="26">
          <cell r="F26">
            <v>108.12</v>
          </cell>
          <cell r="G26">
            <v>23.5</v>
          </cell>
          <cell r="H26">
            <v>23.5</v>
          </cell>
          <cell r="I26">
            <v>23.4</v>
          </cell>
          <cell r="J26">
            <v>3.7</v>
          </cell>
          <cell r="M26">
            <v>2.2000000000000002</v>
          </cell>
          <cell r="N26">
            <v>22.7</v>
          </cell>
          <cell r="O26">
            <v>23.5</v>
          </cell>
          <cell r="P26">
            <v>0</v>
          </cell>
          <cell r="Q26">
            <v>83381</v>
          </cell>
          <cell r="R26">
            <v>20498</v>
          </cell>
          <cell r="W26">
            <v>5620</v>
          </cell>
          <cell r="X26">
            <v>23.5</v>
          </cell>
          <cell r="Y26">
            <v>23.5</v>
          </cell>
          <cell r="Z26">
            <v>23.5</v>
          </cell>
        </row>
        <row r="27">
          <cell r="F27">
            <v>100.78</v>
          </cell>
          <cell r="G27">
            <v>23.2</v>
          </cell>
          <cell r="H27">
            <v>20.399999999999999</v>
          </cell>
          <cell r="I27">
            <v>18.8</v>
          </cell>
          <cell r="J27">
            <v>0</v>
          </cell>
          <cell r="M27">
            <v>20</v>
          </cell>
          <cell r="N27">
            <v>13.5</v>
          </cell>
          <cell r="O27">
            <v>14.7</v>
          </cell>
          <cell r="P27">
            <v>0</v>
          </cell>
          <cell r="Q27">
            <v>57390</v>
          </cell>
          <cell r="R27">
            <v>11487</v>
          </cell>
          <cell r="W27">
            <v>7050</v>
          </cell>
          <cell r="X27">
            <v>23.9</v>
          </cell>
          <cell r="Y27">
            <v>23.9</v>
          </cell>
          <cell r="Z27">
            <v>23.5</v>
          </cell>
        </row>
        <row r="28">
          <cell r="F28">
            <v>157.85</v>
          </cell>
          <cell r="G28">
            <v>24.4</v>
          </cell>
          <cell r="H28">
            <v>24.3</v>
          </cell>
          <cell r="I28">
            <v>24.4</v>
          </cell>
          <cell r="J28">
            <v>0.8</v>
          </cell>
          <cell r="M28">
            <v>19.600000000000001</v>
          </cell>
          <cell r="N28">
            <v>23.4</v>
          </cell>
          <cell r="O28">
            <v>23.9</v>
          </cell>
          <cell r="P28">
            <v>0</v>
          </cell>
          <cell r="Q28">
            <v>77110</v>
          </cell>
          <cell r="R28">
            <v>13776</v>
          </cell>
          <cell r="W28">
            <v>7100</v>
          </cell>
          <cell r="X28">
            <v>24.5</v>
          </cell>
          <cell r="Y28">
            <v>24.4</v>
          </cell>
          <cell r="Z28">
            <v>23.5</v>
          </cell>
        </row>
        <row r="29">
          <cell r="F29">
            <v>142.52000000000001</v>
          </cell>
          <cell r="G29">
            <v>20.9</v>
          </cell>
          <cell r="H29">
            <v>20.9</v>
          </cell>
          <cell r="I29">
            <v>20.9</v>
          </cell>
          <cell r="J29">
            <v>0</v>
          </cell>
          <cell r="M29">
            <v>19.899999999999999</v>
          </cell>
          <cell r="N29">
            <v>20.9</v>
          </cell>
          <cell r="O29">
            <v>20.9</v>
          </cell>
          <cell r="P29">
            <v>0</v>
          </cell>
          <cell r="Q29">
            <v>76417</v>
          </cell>
          <cell r="R29">
            <v>12641</v>
          </cell>
          <cell r="W29">
            <v>5740</v>
          </cell>
          <cell r="X29">
            <v>25.6</v>
          </cell>
          <cell r="Y29">
            <v>17.899999999999999</v>
          </cell>
          <cell r="Z29">
            <v>25.6</v>
          </cell>
        </row>
        <row r="30">
          <cell r="F30">
            <v>89.93</v>
          </cell>
          <cell r="G30">
            <v>22.4</v>
          </cell>
          <cell r="H30">
            <v>18.5</v>
          </cell>
          <cell r="I30">
            <v>24.9</v>
          </cell>
          <cell r="J30">
            <v>0</v>
          </cell>
          <cell r="M30">
            <v>15.9</v>
          </cell>
          <cell r="N30">
            <v>12.1</v>
          </cell>
          <cell r="O30">
            <v>18.3</v>
          </cell>
          <cell r="P30">
            <v>0</v>
          </cell>
          <cell r="Q30">
            <v>44736</v>
          </cell>
          <cell r="R30">
            <v>9831</v>
          </cell>
          <cell r="W30">
            <v>6390</v>
          </cell>
          <cell r="X30">
            <v>21.4</v>
          </cell>
          <cell r="Y30">
            <v>0</v>
          </cell>
          <cell r="Z30">
            <v>21.4</v>
          </cell>
        </row>
        <row r="31">
          <cell r="F31">
            <v>80.87</v>
          </cell>
          <cell r="G31">
            <v>19.399999999999999</v>
          </cell>
          <cell r="H31">
            <v>17.399999999999999</v>
          </cell>
          <cell r="I31">
            <v>19.899999999999999</v>
          </cell>
          <cell r="J31">
            <v>0</v>
          </cell>
          <cell r="M31">
            <v>14.8</v>
          </cell>
          <cell r="N31">
            <v>17.600000000000001</v>
          </cell>
          <cell r="O31">
            <v>17.5</v>
          </cell>
          <cell r="P31">
            <v>0</v>
          </cell>
          <cell r="Q31">
            <v>56911</v>
          </cell>
          <cell r="R31">
            <v>12326</v>
          </cell>
          <cell r="W31">
            <v>6100</v>
          </cell>
          <cell r="X31">
            <v>27</v>
          </cell>
          <cell r="Y31">
            <v>7</v>
          </cell>
          <cell r="Z31">
            <v>19</v>
          </cell>
        </row>
        <row r="32">
          <cell r="F32">
            <v>63.22</v>
          </cell>
          <cell r="G32">
            <v>14.5</v>
          </cell>
          <cell r="H32">
            <v>7.9</v>
          </cell>
          <cell r="I32">
            <v>14.7</v>
          </cell>
          <cell r="J32">
            <v>8.6</v>
          </cell>
          <cell r="M32">
            <v>13.5</v>
          </cell>
          <cell r="N32">
            <v>5.6</v>
          </cell>
          <cell r="O32">
            <v>13.4</v>
          </cell>
          <cell r="P32">
            <v>7.8</v>
          </cell>
          <cell r="Q32">
            <v>45526</v>
          </cell>
          <cell r="R32">
            <v>10338</v>
          </cell>
          <cell r="W32">
            <v>5670</v>
          </cell>
          <cell r="X32">
            <v>10.6</v>
          </cell>
          <cell r="Y32">
            <v>22.7</v>
          </cell>
          <cell r="Z32">
            <v>12.6</v>
          </cell>
        </row>
        <row r="33">
          <cell r="F33">
            <v>136.04</v>
          </cell>
          <cell r="G33">
            <v>24.4</v>
          </cell>
          <cell r="H33">
            <v>13.2</v>
          </cell>
          <cell r="I33">
            <v>24.3</v>
          </cell>
          <cell r="J33">
            <v>13.4</v>
          </cell>
          <cell r="M33">
            <v>23.5</v>
          </cell>
          <cell r="N33">
            <v>11</v>
          </cell>
          <cell r="O33">
            <v>23.4</v>
          </cell>
          <cell r="P33">
            <v>9.3000000000000007</v>
          </cell>
          <cell r="Q33">
            <v>76596</v>
          </cell>
          <cell r="R33">
            <v>16357</v>
          </cell>
          <cell r="W33">
            <v>5530</v>
          </cell>
          <cell r="X33">
            <v>0</v>
          </cell>
          <cell r="Y33">
            <v>24.4</v>
          </cell>
          <cell r="Z33">
            <v>24.4</v>
          </cell>
        </row>
        <row r="34">
          <cell r="F34">
            <v>151.79</v>
          </cell>
          <cell r="G34">
            <v>23.4</v>
          </cell>
          <cell r="H34">
            <v>23.2</v>
          </cell>
          <cell r="I34">
            <v>23</v>
          </cell>
          <cell r="J34">
            <v>0</v>
          </cell>
          <cell r="M34">
            <v>23.4</v>
          </cell>
          <cell r="N34">
            <v>22.1</v>
          </cell>
          <cell r="O34">
            <v>22.7</v>
          </cell>
          <cell r="P34">
            <v>0</v>
          </cell>
          <cell r="Q34">
            <v>79960</v>
          </cell>
          <cell r="R34">
            <v>16400</v>
          </cell>
          <cell r="W34">
            <v>6680</v>
          </cell>
          <cell r="X34">
            <v>0</v>
          </cell>
          <cell r="Y34">
            <v>23.6</v>
          </cell>
          <cell r="Z34">
            <v>23.6</v>
          </cell>
        </row>
      </sheetData>
      <sheetData sheetId="8">
        <row r="4">
          <cell r="B4">
            <v>0.67</v>
          </cell>
          <cell r="C4">
            <v>4.38</v>
          </cell>
        </row>
        <row r="5">
          <cell r="B5">
            <v>0.67</v>
          </cell>
          <cell r="C5">
            <v>4.8899999999999997</v>
          </cell>
        </row>
        <row r="6">
          <cell r="B6">
            <v>0.61</v>
          </cell>
          <cell r="C6">
            <v>5.01</v>
          </cell>
        </row>
        <row r="7">
          <cell r="B7">
            <v>0.68</v>
          </cell>
          <cell r="C7">
            <v>4.22</v>
          </cell>
        </row>
        <row r="8">
          <cell r="B8">
            <v>0.66</v>
          </cell>
          <cell r="C8">
            <v>6.04</v>
          </cell>
        </row>
        <row r="9">
          <cell r="B9">
            <v>0.65</v>
          </cell>
          <cell r="C9">
            <v>4.2699999999999996</v>
          </cell>
        </row>
        <row r="10">
          <cell r="B10">
            <v>0.65</v>
          </cell>
          <cell r="C10">
            <v>4.6500000000000004</v>
          </cell>
        </row>
        <row r="11">
          <cell r="B11">
            <v>0.65</v>
          </cell>
          <cell r="C11">
            <v>4.95</v>
          </cell>
        </row>
        <row r="12">
          <cell r="B12">
            <v>0.61</v>
          </cell>
          <cell r="C12">
            <v>4.74</v>
          </cell>
        </row>
        <row r="13">
          <cell r="B13">
            <v>0.68</v>
          </cell>
          <cell r="C13">
            <v>4.34</v>
          </cell>
        </row>
        <row r="14">
          <cell r="B14">
            <v>0.65</v>
          </cell>
          <cell r="C14">
            <v>4.4000000000000004</v>
          </cell>
        </row>
        <row r="15">
          <cell r="B15">
            <v>0.61</v>
          </cell>
          <cell r="C15">
            <v>4.4400000000000004</v>
          </cell>
        </row>
        <row r="16">
          <cell r="B16">
            <v>0.65</v>
          </cell>
          <cell r="C16">
            <v>4.3099999999999996</v>
          </cell>
        </row>
        <row r="17">
          <cell r="B17">
            <v>0.65</v>
          </cell>
          <cell r="C17">
            <v>4.5</v>
          </cell>
        </row>
        <row r="18">
          <cell r="B18">
            <v>0.68</v>
          </cell>
          <cell r="C18">
            <v>4.5</v>
          </cell>
        </row>
        <row r="19">
          <cell r="B19">
            <v>0.64</v>
          </cell>
          <cell r="C19">
            <v>4.32</v>
          </cell>
        </row>
        <row r="20">
          <cell r="B20">
            <v>0.68</v>
          </cell>
          <cell r="C20">
            <v>4.51</v>
          </cell>
        </row>
        <row r="21">
          <cell r="B21">
            <v>0.64</v>
          </cell>
          <cell r="C21">
            <v>3.9</v>
          </cell>
        </row>
        <row r="22">
          <cell r="B22">
            <v>0.55000000000000004</v>
          </cell>
          <cell r="C22">
            <v>4.03</v>
          </cell>
        </row>
        <row r="23">
          <cell r="B23">
            <v>0.59</v>
          </cell>
          <cell r="C23">
            <v>5.17</v>
          </cell>
        </row>
        <row r="24">
          <cell r="B24">
            <v>0.61</v>
          </cell>
          <cell r="C24">
            <v>6.27</v>
          </cell>
        </row>
        <row r="25">
          <cell r="B25">
            <v>0.66</v>
          </cell>
          <cell r="C25">
            <v>4.95</v>
          </cell>
        </row>
        <row r="26">
          <cell r="B26">
            <v>0.62</v>
          </cell>
          <cell r="C26">
            <v>4.9000000000000004</v>
          </cell>
        </row>
        <row r="27">
          <cell r="B27">
            <v>0.68</v>
          </cell>
          <cell r="C27">
            <v>5</v>
          </cell>
        </row>
        <row r="28">
          <cell r="B28">
            <v>0.62</v>
          </cell>
          <cell r="C28">
            <v>4.4000000000000004</v>
          </cell>
        </row>
        <row r="29">
          <cell r="B29">
            <v>0.71</v>
          </cell>
          <cell r="C29">
            <v>4.3899999999999997</v>
          </cell>
        </row>
        <row r="30">
          <cell r="B30">
            <v>0.57999999999999996</v>
          </cell>
          <cell r="C30">
            <v>4.62</v>
          </cell>
        </row>
        <row r="31">
          <cell r="B31">
            <v>0.66</v>
          </cell>
          <cell r="C31">
            <v>4.78</v>
          </cell>
        </row>
        <row r="32">
          <cell r="B32">
            <v>0.62</v>
          </cell>
          <cell r="C32">
            <v>5.12</v>
          </cell>
        </row>
        <row r="33">
          <cell r="B33">
            <v>0.59</v>
          </cell>
          <cell r="C33">
            <v>4.3899999999999997</v>
          </cell>
        </row>
        <row r="34">
          <cell r="B34">
            <v>0.76</v>
          </cell>
          <cell r="C34">
            <v>5.05</v>
          </cell>
        </row>
      </sheetData>
      <sheetData sheetId="9">
        <row r="4">
          <cell r="B4"/>
          <cell r="C4"/>
        </row>
        <row r="5">
          <cell r="B5">
            <v>2.35</v>
          </cell>
          <cell r="C5">
            <v>638.4</v>
          </cell>
        </row>
        <row r="6">
          <cell r="B6">
            <v>3.84</v>
          </cell>
          <cell r="C6">
            <v>231</v>
          </cell>
        </row>
        <row r="7">
          <cell r="B7">
            <v>2.82</v>
          </cell>
          <cell r="C7">
            <v>184</v>
          </cell>
        </row>
        <row r="8">
          <cell r="B8">
            <v>1.69</v>
          </cell>
          <cell r="C8">
            <v>162.6</v>
          </cell>
        </row>
        <row r="9">
          <cell r="B9">
            <v>3.67</v>
          </cell>
          <cell r="C9">
            <v>285</v>
          </cell>
        </row>
        <row r="10">
          <cell r="B10">
            <v>4.0999999999999996</v>
          </cell>
          <cell r="C10">
            <v>238</v>
          </cell>
        </row>
        <row r="11">
          <cell r="B11">
            <v>4.08</v>
          </cell>
          <cell r="C11">
            <v>698</v>
          </cell>
        </row>
        <row r="12">
          <cell r="B12">
            <v>2.8</v>
          </cell>
          <cell r="C12">
            <v>684</v>
          </cell>
        </row>
        <row r="13">
          <cell r="B13">
            <v>3.64</v>
          </cell>
          <cell r="C13">
            <v>562</v>
          </cell>
        </row>
        <row r="14">
          <cell r="B14">
            <v>4.32</v>
          </cell>
          <cell r="C14">
            <v>270</v>
          </cell>
        </row>
        <row r="15">
          <cell r="B15">
            <v>2.15</v>
          </cell>
          <cell r="C15">
            <v>186</v>
          </cell>
        </row>
        <row r="16">
          <cell r="B16"/>
          <cell r="C16"/>
        </row>
        <row r="17">
          <cell r="B17">
            <v>3.8</v>
          </cell>
          <cell r="C17">
            <v>103</v>
          </cell>
        </row>
        <row r="18">
          <cell r="B18">
            <v>4.01</v>
          </cell>
          <cell r="C18">
            <v>719</v>
          </cell>
        </row>
        <row r="19">
          <cell r="B19"/>
          <cell r="C19"/>
        </row>
        <row r="20">
          <cell r="B20">
            <v>3.46</v>
          </cell>
          <cell r="C20">
            <v>541</v>
          </cell>
        </row>
        <row r="21">
          <cell r="B21">
            <v>4.3499999999999996</v>
          </cell>
          <cell r="C21">
            <v>119</v>
          </cell>
        </row>
        <row r="22">
          <cell r="B22"/>
          <cell r="C22"/>
        </row>
        <row r="23">
          <cell r="B23"/>
          <cell r="C23"/>
        </row>
        <row r="24">
          <cell r="B24"/>
          <cell r="C24"/>
        </row>
        <row r="25">
          <cell r="B25">
            <v>3.48</v>
          </cell>
          <cell r="C25">
            <v>404.6</v>
          </cell>
        </row>
        <row r="26">
          <cell r="B26">
            <v>4.12</v>
          </cell>
          <cell r="C26">
            <v>528</v>
          </cell>
        </row>
        <row r="27">
          <cell r="B27">
            <v>3.97</v>
          </cell>
          <cell r="C27">
            <v>649</v>
          </cell>
        </row>
        <row r="28">
          <cell r="B28">
            <v>4.0599999999999996</v>
          </cell>
          <cell r="C28">
            <v>498</v>
          </cell>
        </row>
        <row r="29">
          <cell r="B29"/>
          <cell r="C29"/>
        </row>
        <row r="30">
          <cell r="B30"/>
          <cell r="C30"/>
        </row>
        <row r="31">
          <cell r="B31">
            <v>4.25</v>
          </cell>
          <cell r="C31">
            <v>432</v>
          </cell>
        </row>
        <row r="32">
          <cell r="B32">
            <v>3.15</v>
          </cell>
          <cell r="C32">
            <v>352</v>
          </cell>
        </row>
        <row r="33">
          <cell r="B33">
            <v>3.73</v>
          </cell>
          <cell r="C33">
            <v>461</v>
          </cell>
        </row>
        <row r="34">
          <cell r="B34">
            <v>3.59</v>
          </cell>
          <cell r="C34">
            <v>678</v>
          </cell>
        </row>
        <row r="36">
          <cell r="B36">
            <v>3.5404347826086959</v>
          </cell>
        </row>
      </sheetData>
      <sheetData sheetId="10">
        <row r="4">
          <cell r="E4">
            <v>136.29</v>
          </cell>
          <cell r="F4">
            <v>4</v>
          </cell>
        </row>
        <row r="5">
          <cell r="E5">
            <v>273.09000000000003</v>
          </cell>
          <cell r="F5">
            <v>8</v>
          </cell>
        </row>
        <row r="6">
          <cell r="E6">
            <v>238.58</v>
          </cell>
          <cell r="F6">
            <v>7</v>
          </cell>
        </row>
        <row r="7">
          <cell r="E7">
            <v>236.81</v>
          </cell>
          <cell r="F7">
            <v>7</v>
          </cell>
        </row>
        <row r="8">
          <cell r="E8">
            <v>171.7</v>
          </cell>
          <cell r="F8">
            <v>5</v>
          </cell>
        </row>
        <row r="9">
          <cell r="E9">
            <v>102.55000000000001</v>
          </cell>
          <cell r="F9">
            <v>3</v>
          </cell>
        </row>
        <row r="10">
          <cell r="E10">
            <v>239.23000000000002</v>
          </cell>
          <cell r="F10">
            <v>7</v>
          </cell>
        </row>
        <row r="11">
          <cell r="E11">
            <v>239.27</v>
          </cell>
          <cell r="F11">
            <v>7</v>
          </cell>
        </row>
        <row r="12">
          <cell r="E12">
            <v>235.12</v>
          </cell>
          <cell r="F12">
            <v>7</v>
          </cell>
        </row>
        <row r="13">
          <cell r="E13">
            <v>207.10999999999999</v>
          </cell>
          <cell r="F13">
            <v>6</v>
          </cell>
        </row>
        <row r="14">
          <cell r="E14">
            <v>204.61</v>
          </cell>
          <cell r="F14">
            <v>6</v>
          </cell>
        </row>
        <row r="15">
          <cell r="E15">
            <v>170.92000000000002</v>
          </cell>
          <cell r="F15">
            <v>5</v>
          </cell>
        </row>
        <row r="16">
          <cell r="E16">
            <v>136.62</v>
          </cell>
          <cell r="F16">
            <v>4</v>
          </cell>
        </row>
        <row r="17">
          <cell r="E17">
            <v>238.57000000000002</v>
          </cell>
          <cell r="F17">
            <v>7</v>
          </cell>
        </row>
        <row r="18">
          <cell r="E18">
            <v>242.20000000000002</v>
          </cell>
          <cell r="F18">
            <v>7</v>
          </cell>
        </row>
        <row r="19">
          <cell r="E19">
            <v>206.69</v>
          </cell>
          <cell r="F19">
            <v>6</v>
          </cell>
        </row>
        <row r="20">
          <cell r="E20">
            <v>170.49</v>
          </cell>
          <cell r="F20">
            <v>5</v>
          </cell>
        </row>
        <row r="21">
          <cell r="E21">
            <v>238.83</v>
          </cell>
          <cell r="F21">
            <v>7</v>
          </cell>
        </row>
        <row r="22">
          <cell r="E22">
            <v>200.86</v>
          </cell>
          <cell r="F22">
            <v>6</v>
          </cell>
        </row>
        <row r="23">
          <cell r="E23">
            <v>68.12</v>
          </cell>
          <cell r="F23">
            <v>2</v>
          </cell>
        </row>
        <row r="24">
          <cell r="E24">
            <v>271.33</v>
          </cell>
          <cell r="F24">
            <v>8</v>
          </cell>
        </row>
        <row r="25">
          <cell r="E25">
            <v>240.43</v>
          </cell>
          <cell r="F25">
            <v>7</v>
          </cell>
        </row>
        <row r="26">
          <cell r="E26">
            <v>241.9</v>
          </cell>
          <cell r="F26">
            <v>7</v>
          </cell>
        </row>
        <row r="27">
          <cell r="E27">
            <v>206.76999999999998</v>
          </cell>
          <cell r="F27">
            <v>6</v>
          </cell>
        </row>
        <row r="28">
          <cell r="E28">
            <v>271.79999999999995</v>
          </cell>
          <cell r="F28">
            <v>8</v>
          </cell>
        </row>
        <row r="29">
          <cell r="E29">
            <v>170.38</v>
          </cell>
          <cell r="F29">
            <v>5</v>
          </cell>
        </row>
        <row r="30">
          <cell r="E30">
            <v>67.800000000000011</v>
          </cell>
          <cell r="F30">
            <v>2</v>
          </cell>
        </row>
        <row r="31">
          <cell r="E31">
            <v>236.85999999999999</v>
          </cell>
          <cell r="F31">
            <v>7</v>
          </cell>
        </row>
        <row r="32">
          <cell r="E32">
            <v>170.64</v>
          </cell>
          <cell r="F32">
            <v>5</v>
          </cell>
        </row>
        <row r="33">
          <cell r="E33">
            <v>238.97000000000003</v>
          </cell>
          <cell r="F33">
            <v>7</v>
          </cell>
        </row>
        <row r="34">
          <cell r="E34">
            <v>205.09999999999997</v>
          </cell>
          <cell r="F34">
            <v>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288</v>
          </cell>
          <cell r="C4">
            <v>257</v>
          </cell>
          <cell r="D4">
            <v>161</v>
          </cell>
          <cell r="E4">
            <v>13</v>
          </cell>
          <cell r="F4"/>
          <cell r="H4">
            <v>288</v>
          </cell>
          <cell r="J4">
            <v>161</v>
          </cell>
          <cell r="K4">
            <v>13</v>
          </cell>
          <cell r="L4" t="str">
            <v/>
          </cell>
        </row>
        <row r="5">
          <cell r="B5">
            <v>281</v>
          </cell>
          <cell r="C5">
            <v>313</v>
          </cell>
          <cell r="D5">
            <v>162</v>
          </cell>
          <cell r="E5">
            <v>9</v>
          </cell>
          <cell r="F5"/>
          <cell r="H5">
            <v>281</v>
          </cell>
          <cell r="J5">
            <v>162</v>
          </cell>
          <cell r="K5">
            <v>9</v>
          </cell>
          <cell r="L5" t="str">
            <v/>
          </cell>
        </row>
        <row r="6">
          <cell r="B6">
            <v>269</v>
          </cell>
          <cell r="C6">
            <v>300</v>
          </cell>
          <cell r="D6">
            <v>162</v>
          </cell>
          <cell r="E6">
            <v>8</v>
          </cell>
          <cell r="F6"/>
          <cell r="H6">
            <v>269</v>
          </cell>
          <cell r="J6">
            <v>162</v>
          </cell>
          <cell r="K6">
            <v>8</v>
          </cell>
          <cell r="L6" t="str">
            <v/>
          </cell>
        </row>
        <row r="7">
          <cell r="B7">
            <v>280</v>
          </cell>
          <cell r="C7">
            <v>287</v>
          </cell>
          <cell r="D7">
            <v>173</v>
          </cell>
          <cell r="E7">
            <v>12</v>
          </cell>
          <cell r="F7"/>
          <cell r="H7">
            <v>280</v>
          </cell>
          <cell r="J7">
            <v>173</v>
          </cell>
          <cell r="K7">
            <v>12</v>
          </cell>
          <cell r="L7" t="str">
            <v/>
          </cell>
        </row>
        <row r="8">
          <cell r="B8">
            <v>282</v>
          </cell>
          <cell r="C8">
            <v>298</v>
          </cell>
          <cell r="D8">
            <v>173</v>
          </cell>
          <cell r="E8">
            <v>10</v>
          </cell>
          <cell r="F8"/>
          <cell r="H8">
            <v>282</v>
          </cell>
          <cell r="J8">
            <v>173</v>
          </cell>
          <cell r="K8">
            <v>10</v>
          </cell>
          <cell r="L8" t="str">
            <v/>
          </cell>
        </row>
        <row r="9">
          <cell r="B9">
            <v>190</v>
          </cell>
          <cell r="C9">
            <v>220</v>
          </cell>
          <cell r="D9">
            <v>126</v>
          </cell>
          <cell r="E9">
            <v>13</v>
          </cell>
          <cell r="F9">
            <v>63</v>
          </cell>
          <cell r="H9">
            <v>190</v>
          </cell>
          <cell r="J9">
            <v>126</v>
          </cell>
          <cell r="K9">
            <v>13</v>
          </cell>
          <cell r="L9">
            <v>63</v>
          </cell>
        </row>
        <row r="10">
          <cell r="B10">
            <v>224</v>
          </cell>
          <cell r="C10">
            <v>272</v>
          </cell>
          <cell r="D10">
            <v>178</v>
          </cell>
          <cell r="E10">
            <v>15</v>
          </cell>
          <cell r="F10"/>
          <cell r="H10">
            <v>224</v>
          </cell>
          <cell r="J10">
            <v>178</v>
          </cell>
          <cell r="K10">
            <v>15</v>
          </cell>
          <cell r="L10" t="str">
            <v/>
          </cell>
        </row>
        <row r="11">
          <cell r="B11">
            <v>168</v>
          </cell>
          <cell r="C11">
            <v>204</v>
          </cell>
          <cell r="D11">
            <v>119</v>
          </cell>
          <cell r="E11">
            <v>11</v>
          </cell>
          <cell r="F11">
            <v>35</v>
          </cell>
          <cell r="H11">
            <v>168</v>
          </cell>
          <cell r="J11">
            <v>119</v>
          </cell>
          <cell r="K11">
            <v>11</v>
          </cell>
          <cell r="L11">
            <v>35</v>
          </cell>
        </row>
        <row r="12">
          <cell r="B12">
            <v>197</v>
          </cell>
          <cell r="C12">
            <v>218</v>
          </cell>
          <cell r="D12">
            <v>118</v>
          </cell>
          <cell r="E12">
            <v>13</v>
          </cell>
          <cell r="F12"/>
          <cell r="H12">
            <v>197</v>
          </cell>
          <cell r="J12">
            <v>118</v>
          </cell>
          <cell r="K12">
            <v>13</v>
          </cell>
          <cell r="L12" t="str">
            <v/>
          </cell>
        </row>
        <row r="13">
          <cell r="B13">
            <v>196</v>
          </cell>
          <cell r="C13">
            <v>272</v>
          </cell>
          <cell r="D13">
            <v>153</v>
          </cell>
          <cell r="E13">
            <v>8</v>
          </cell>
          <cell r="F13"/>
          <cell r="H13">
            <v>196</v>
          </cell>
          <cell r="J13">
            <v>153</v>
          </cell>
          <cell r="K13">
            <v>8</v>
          </cell>
          <cell r="L13" t="str">
            <v/>
          </cell>
        </row>
        <row r="14">
          <cell r="B14">
            <v>298</v>
          </cell>
          <cell r="C14">
            <v>332</v>
          </cell>
          <cell r="D14">
            <v>185</v>
          </cell>
          <cell r="E14">
            <v>9</v>
          </cell>
          <cell r="F14"/>
          <cell r="H14">
            <v>298</v>
          </cell>
          <cell r="J14">
            <v>185</v>
          </cell>
          <cell r="K14">
            <v>9</v>
          </cell>
          <cell r="L14" t="str">
            <v/>
          </cell>
        </row>
        <row r="15">
          <cell r="B15">
            <v>370</v>
          </cell>
          <cell r="C15">
            <v>399</v>
          </cell>
          <cell r="D15">
            <v>237</v>
          </cell>
          <cell r="E15">
            <v>10</v>
          </cell>
          <cell r="F15"/>
          <cell r="H15">
            <v>370</v>
          </cell>
          <cell r="J15">
            <v>237</v>
          </cell>
          <cell r="K15">
            <v>10</v>
          </cell>
          <cell r="L15" t="str">
            <v/>
          </cell>
        </row>
        <row r="16">
          <cell r="B16">
            <v>251</v>
          </cell>
          <cell r="C16">
            <v>286</v>
          </cell>
          <cell r="D16">
            <v>169</v>
          </cell>
          <cell r="E16">
            <v>8</v>
          </cell>
          <cell r="F16"/>
          <cell r="H16">
            <v>251</v>
          </cell>
          <cell r="J16">
            <v>169</v>
          </cell>
          <cell r="K16">
            <v>8</v>
          </cell>
          <cell r="L16" t="str">
            <v/>
          </cell>
        </row>
        <row r="17">
          <cell r="B17">
            <v>268</v>
          </cell>
          <cell r="C17">
            <v>276</v>
          </cell>
          <cell r="D17">
            <v>152</v>
          </cell>
          <cell r="E17">
            <v>7</v>
          </cell>
          <cell r="F17"/>
          <cell r="H17">
            <v>268</v>
          </cell>
          <cell r="J17">
            <v>152</v>
          </cell>
          <cell r="K17">
            <v>7</v>
          </cell>
          <cell r="L17" t="str">
            <v/>
          </cell>
        </row>
        <row r="18">
          <cell r="B18">
            <v>197</v>
          </cell>
          <cell r="C18">
            <v>358</v>
          </cell>
          <cell r="D18">
            <v>189</v>
          </cell>
          <cell r="E18">
            <v>8</v>
          </cell>
          <cell r="F18"/>
          <cell r="H18">
            <v>197</v>
          </cell>
          <cell r="J18">
            <v>189</v>
          </cell>
          <cell r="K18">
            <v>8</v>
          </cell>
          <cell r="L18" t="str">
            <v/>
          </cell>
        </row>
        <row r="19">
          <cell r="B19">
            <v>278</v>
          </cell>
          <cell r="C19">
            <v>271</v>
          </cell>
          <cell r="D19">
            <v>150</v>
          </cell>
          <cell r="E19">
            <v>9</v>
          </cell>
          <cell r="F19"/>
          <cell r="H19">
            <v>278</v>
          </cell>
          <cell r="J19">
            <v>150</v>
          </cell>
          <cell r="K19">
            <v>9</v>
          </cell>
          <cell r="L19" t="str">
            <v/>
          </cell>
        </row>
        <row r="20">
          <cell r="B20">
            <v>292</v>
          </cell>
          <cell r="C20">
            <v>302</v>
          </cell>
          <cell r="D20">
            <v>170</v>
          </cell>
          <cell r="E20">
            <v>10</v>
          </cell>
          <cell r="F20"/>
          <cell r="H20">
            <v>292</v>
          </cell>
          <cell r="J20">
            <v>170</v>
          </cell>
          <cell r="K20">
            <v>10</v>
          </cell>
          <cell r="L20" t="str">
            <v/>
          </cell>
        </row>
        <row r="21">
          <cell r="B21">
            <v>180</v>
          </cell>
          <cell r="C21">
            <v>116</v>
          </cell>
          <cell r="D21">
            <v>88</v>
          </cell>
          <cell r="E21">
            <v>9</v>
          </cell>
          <cell r="F21">
            <v>39</v>
          </cell>
          <cell r="H21">
            <v>180</v>
          </cell>
          <cell r="J21">
            <v>88</v>
          </cell>
          <cell r="K21">
            <v>9</v>
          </cell>
          <cell r="L21">
            <v>39</v>
          </cell>
        </row>
        <row r="22">
          <cell r="B22">
            <v>95</v>
          </cell>
          <cell r="C22">
            <v>186</v>
          </cell>
          <cell r="D22">
            <v>110</v>
          </cell>
          <cell r="E22">
            <v>16</v>
          </cell>
          <cell r="F22">
            <v>37</v>
          </cell>
          <cell r="H22">
            <v>95</v>
          </cell>
          <cell r="J22">
            <v>110</v>
          </cell>
          <cell r="K22">
            <v>16</v>
          </cell>
          <cell r="L22">
            <v>37</v>
          </cell>
        </row>
        <row r="23">
          <cell r="B23">
            <v>108</v>
          </cell>
          <cell r="C23">
            <v>129</v>
          </cell>
          <cell r="D23">
            <v>70</v>
          </cell>
          <cell r="E23">
            <v>8</v>
          </cell>
          <cell r="F23">
            <v>36</v>
          </cell>
          <cell r="H23">
            <v>108</v>
          </cell>
          <cell r="J23">
            <v>70</v>
          </cell>
          <cell r="K23">
            <v>8</v>
          </cell>
          <cell r="L23">
            <v>36</v>
          </cell>
        </row>
        <row r="24">
          <cell r="B24">
            <v>160</v>
          </cell>
          <cell r="C24">
            <v>186</v>
          </cell>
          <cell r="D24">
            <v>128</v>
          </cell>
          <cell r="E24">
            <v>11</v>
          </cell>
          <cell r="F24"/>
          <cell r="H24">
            <v>160</v>
          </cell>
          <cell r="J24">
            <v>128</v>
          </cell>
          <cell r="K24">
            <v>11</v>
          </cell>
          <cell r="L24" t="str">
            <v/>
          </cell>
        </row>
        <row r="25">
          <cell r="B25">
            <v>172</v>
          </cell>
          <cell r="C25">
            <v>176</v>
          </cell>
          <cell r="D25">
            <v>119</v>
          </cell>
          <cell r="E25">
            <v>12</v>
          </cell>
          <cell r="F25">
            <v>69</v>
          </cell>
          <cell r="H25">
            <v>172</v>
          </cell>
          <cell r="J25">
            <v>119</v>
          </cell>
          <cell r="K25">
            <v>12</v>
          </cell>
          <cell r="L25">
            <v>69</v>
          </cell>
        </row>
        <row r="26">
          <cell r="B26">
            <v>222</v>
          </cell>
          <cell r="C26">
            <v>248</v>
          </cell>
          <cell r="D26">
            <v>157</v>
          </cell>
          <cell r="E26">
            <v>10</v>
          </cell>
          <cell r="F26"/>
          <cell r="H26">
            <v>222</v>
          </cell>
          <cell r="J26">
            <v>157</v>
          </cell>
          <cell r="K26">
            <v>10</v>
          </cell>
          <cell r="L26" t="str">
            <v/>
          </cell>
        </row>
        <row r="27">
          <cell r="B27">
            <v>268</v>
          </cell>
          <cell r="C27">
            <v>294</v>
          </cell>
          <cell r="D27">
            <v>178</v>
          </cell>
          <cell r="E27">
            <v>14</v>
          </cell>
          <cell r="F27"/>
          <cell r="H27">
            <v>268</v>
          </cell>
          <cell r="J27">
            <v>178</v>
          </cell>
          <cell r="K27">
            <v>14</v>
          </cell>
          <cell r="L27" t="str">
            <v/>
          </cell>
        </row>
        <row r="28">
          <cell r="B28">
            <v>233</v>
          </cell>
          <cell r="C28">
            <v>242</v>
          </cell>
          <cell r="D28">
            <v>155</v>
          </cell>
          <cell r="E28">
            <v>12</v>
          </cell>
          <cell r="F28"/>
          <cell r="H28">
            <v>233</v>
          </cell>
          <cell r="J28">
            <v>155</v>
          </cell>
          <cell r="K28">
            <v>12</v>
          </cell>
          <cell r="L28" t="str">
            <v/>
          </cell>
        </row>
        <row r="29">
          <cell r="B29">
            <v>228</v>
          </cell>
          <cell r="C29">
            <v>352</v>
          </cell>
          <cell r="D29">
            <v>167</v>
          </cell>
          <cell r="E29">
            <v>15</v>
          </cell>
          <cell r="F29"/>
          <cell r="H29">
            <v>228</v>
          </cell>
          <cell r="J29">
            <v>167</v>
          </cell>
          <cell r="K29">
            <v>15</v>
          </cell>
          <cell r="L29" t="str">
            <v/>
          </cell>
        </row>
        <row r="30">
          <cell r="B30">
            <v>287</v>
          </cell>
          <cell r="C30">
            <v>272</v>
          </cell>
          <cell r="D30">
            <v>188</v>
          </cell>
          <cell r="E30">
            <v>8</v>
          </cell>
          <cell r="F30"/>
          <cell r="H30">
            <v>287</v>
          </cell>
          <cell r="J30">
            <v>188</v>
          </cell>
          <cell r="K30">
            <v>8</v>
          </cell>
          <cell r="L30" t="str">
            <v/>
          </cell>
        </row>
        <row r="31">
          <cell r="B31">
            <v>284</v>
          </cell>
          <cell r="C31">
            <v>294</v>
          </cell>
          <cell r="D31">
            <v>184</v>
          </cell>
          <cell r="E31">
            <v>8</v>
          </cell>
          <cell r="F31"/>
          <cell r="H31">
            <v>284</v>
          </cell>
          <cell r="J31">
            <v>184</v>
          </cell>
          <cell r="K31">
            <v>8</v>
          </cell>
          <cell r="L31" t="str">
            <v/>
          </cell>
        </row>
        <row r="32">
          <cell r="B32">
            <v>282</v>
          </cell>
          <cell r="C32">
            <v>331</v>
          </cell>
          <cell r="D32">
            <v>187</v>
          </cell>
          <cell r="E32">
            <v>13</v>
          </cell>
          <cell r="F32"/>
          <cell r="H32">
            <v>282</v>
          </cell>
          <cell r="J32">
            <v>187</v>
          </cell>
          <cell r="K32">
            <v>13</v>
          </cell>
          <cell r="L32" t="str">
            <v/>
          </cell>
        </row>
        <row r="33">
          <cell r="B33">
            <v>323</v>
          </cell>
          <cell r="C33">
            <v>341</v>
          </cell>
          <cell r="D33">
            <v>216</v>
          </cell>
          <cell r="E33">
            <v>14</v>
          </cell>
          <cell r="F33"/>
          <cell r="H33">
            <v>323</v>
          </cell>
          <cell r="J33">
            <v>216</v>
          </cell>
          <cell r="K33">
            <v>14</v>
          </cell>
          <cell r="L33" t="str">
            <v/>
          </cell>
        </row>
        <row r="34">
          <cell r="B34">
            <v>405</v>
          </cell>
          <cell r="C34">
            <v>440</v>
          </cell>
          <cell r="D34">
            <v>278</v>
          </cell>
          <cell r="E34">
            <v>14</v>
          </cell>
          <cell r="F34"/>
          <cell r="H34">
            <v>405</v>
          </cell>
          <cell r="J34">
            <v>278</v>
          </cell>
          <cell r="K34">
            <v>14</v>
          </cell>
          <cell r="L34" t="str">
            <v/>
          </cell>
        </row>
        <row r="36">
          <cell r="H36">
            <v>244.38709677419354</v>
          </cell>
          <cell r="J36">
            <v>161.35483870967741</v>
          </cell>
          <cell r="K36">
            <v>10.870967741935484</v>
          </cell>
        </row>
      </sheetData>
      <sheetData sheetId="2">
        <row r="4">
          <cell r="B4">
            <v>498</v>
          </cell>
          <cell r="C4">
            <v>295</v>
          </cell>
          <cell r="D4">
            <v>80</v>
          </cell>
          <cell r="E4">
            <v>13</v>
          </cell>
          <cell r="F4"/>
          <cell r="H4">
            <v>498</v>
          </cell>
          <cell r="J4">
            <v>80</v>
          </cell>
          <cell r="K4">
            <v>13</v>
          </cell>
          <cell r="L4" t="str">
            <v/>
          </cell>
        </row>
        <row r="5">
          <cell r="B5">
            <v>292</v>
          </cell>
          <cell r="C5">
            <v>300</v>
          </cell>
          <cell r="D5">
            <v>82</v>
          </cell>
          <cell r="E5">
            <v>12</v>
          </cell>
          <cell r="F5"/>
          <cell r="H5">
            <v>292</v>
          </cell>
          <cell r="J5">
            <v>82</v>
          </cell>
          <cell r="K5">
            <v>12</v>
          </cell>
          <cell r="L5" t="str">
            <v/>
          </cell>
        </row>
        <row r="6">
          <cell r="B6">
            <v>292</v>
          </cell>
          <cell r="C6">
            <v>298</v>
          </cell>
          <cell r="D6">
            <v>78</v>
          </cell>
          <cell r="E6">
            <v>11</v>
          </cell>
          <cell r="F6"/>
          <cell r="H6">
            <v>292</v>
          </cell>
          <cell r="J6">
            <v>78</v>
          </cell>
          <cell r="K6">
            <v>11</v>
          </cell>
          <cell r="L6" t="str">
            <v/>
          </cell>
        </row>
        <row r="7">
          <cell r="B7">
            <v>365</v>
          </cell>
          <cell r="C7">
            <v>240</v>
          </cell>
          <cell r="D7">
            <v>71</v>
          </cell>
          <cell r="E7">
            <v>12</v>
          </cell>
          <cell r="F7"/>
          <cell r="H7">
            <v>365</v>
          </cell>
          <cell r="J7">
            <v>71</v>
          </cell>
          <cell r="K7">
            <v>12</v>
          </cell>
          <cell r="L7" t="str">
            <v/>
          </cell>
        </row>
        <row r="8">
          <cell r="B8">
            <v>252</v>
          </cell>
          <cell r="C8">
            <v>360</v>
          </cell>
          <cell r="D8">
            <v>47</v>
          </cell>
          <cell r="E8">
            <v>8</v>
          </cell>
          <cell r="F8"/>
          <cell r="H8">
            <v>252</v>
          </cell>
          <cell r="J8">
            <v>47</v>
          </cell>
          <cell r="K8">
            <v>8</v>
          </cell>
          <cell r="L8" t="str">
            <v/>
          </cell>
        </row>
        <row r="9">
          <cell r="B9">
            <v>240</v>
          </cell>
          <cell r="C9">
            <v>240</v>
          </cell>
          <cell r="D9">
            <v>57</v>
          </cell>
          <cell r="E9">
            <v>14</v>
          </cell>
          <cell r="F9">
            <v>40</v>
          </cell>
          <cell r="H9">
            <v>240</v>
          </cell>
          <cell r="J9">
            <v>57</v>
          </cell>
          <cell r="K9">
            <v>14</v>
          </cell>
          <cell r="L9">
            <v>40</v>
          </cell>
        </row>
        <row r="10">
          <cell r="B10">
            <v>224</v>
          </cell>
          <cell r="C10">
            <v>256</v>
          </cell>
          <cell r="D10">
            <v>99</v>
          </cell>
          <cell r="E10">
            <v>19</v>
          </cell>
          <cell r="F10"/>
          <cell r="H10">
            <v>224</v>
          </cell>
          <cell r="J10">
            <v>99</v>
          </cell>
          <cell r="K10">
            <v>19</v>
          </cell>
          <cell r="L10" t="str">
            <v/>
          </cell>
        </row>
        <row r="11">
          <cell r="B11">
            <v>220</v>
          </cell>
          <cell r="C11">
            <v>200</v>
          </cell>
          <cell r="D11">
            <v>79</v>
          </cell>
          <cell r="E11">
            <v>16</v>
          </cell>
          <cell r="F11">
            <v>14</v>
          </cell>
          <cell r="H11">
            <v>220</v>
          </cell>
          <cell r="J11">
            <v>79</v>
          </cell>
          <cell r="K11">
            <v>16</v>
          </cell>
          <cell r="L11">
            <v>14</v>
          </cell>
        </row>
        <row r="12">
          <cell r="B12">
            <v>272</v>
          </cell>
          <cell r="C12">
            <v>242</v>
          </cell>
          <cell r="D12">
            <v>79</v>
          </cell>
          <cell r="E12">
            <v>22</v>
          </cell>
          <cell r="F12"/>
          <cell r="H12">
            <v>272</v>
          </cell>
          <cell r="J12">
            <v>79</v>
          </cell>
          <cell r="K12">
            <v>22</v>
          </cell>
          <cell r="L12" t="str">
            <v/>
          </cell>
        </row>
        <row r="13">
          <cell r="B13">
            <v>262</v>
          </cell>
          <cell r="C13">
            <v>230</v>
          </cell>
          <cell r="D13">
            <v>66</v>
          </cell>
          <cell r="E13">
            <v>12</v>
          </cell>
          <cell r="F13"/>
          <cell r="H13">
            <v>262</v>
          </cell>
          <cell r="J13">
            <v>66</v>
          </cell>
          <cell r="K13">
            <v>12</v>
          </cell>
          <cell r="L13" t="str">
            <v/>
          </cell>
        </row>
        <row r="14">
          <cell r="B14">
            <v>318</v>
          </cell>
          <cell r="C14">
            <v>478</v>
          </cell>
          <cell r="D14">
            <v>84</v>
          </cell>
          <cell r="E14">
            <v>13</v>
          </cell>
          <cell r="F14"/>
          <cell r="H14">
            <v>318</v>
          </cell>
          <cell r="J14">
            <v>84</v>
          </cell>
          <cell r="K14">
            <v>13</v>
          </cell>
          <cell r="L14" t="str">
            <v/>
          </cell>
        </row>
        <row r="15">
          <cell r="B15">
            <v>288</v>
          </cell>
          <cell r="C15">
            <v>285</v>
          </cell>
          <cell r="D15">
            <v>67</v>
          </cell>
          <cell r="E15">
            <v>14</v>
          </cell>
          <cell r="F15"/>
          <cell r="H15">
            <v>288</v>
          </cell>
          <cell r="J15">
            <v>67</v>
          </cell>
          <cell r="K15">
            <v>14</v>
          </cell>
          <cell r="L15" t="str">
            <v/>
          </cell>
        </row>
        <row r="16">
          <cell r="B16">
            <v>290</v>
          </cell>
          <cell r="C16">
            <v>358</v>
          </cell>
          <cell r="D16">
            <v>70</v>
          </cell>
          <cell r="E16">
            <v>10</v>
          </cell>
          <cell r="F16"/>
          <cell r="H16">
            <v>290</v>
          </cell>
          <cell r="J16">
            <v>70</v>
          </cell>
          <cell r="K16">
            <v>10</v>
          </cell>
          <cell r="L16" t="str">
            <v/>
          </cell>
        </row>
        <row r="17">
          <cell r="B17">
            <v>336</v>
          </cell>
          <cell r="C17">
            <v>318</v>
          </cell>
          <cell r="D17">
            <v>110</v>
          </cell>
          <cell r="E17">
            <v>14</v>
          </cell>
          <cell r="F17"/>
          <cell r="H17">
            <v>336</v>
          </cell>
          <cell r="J17">
            <v>110</v>
          </cell>
          <cell r="K17">
            <v>14</v>
          </cell>
          <cell r="L17" t="str">
            <v/>
          </cell>
        </row>
        <row r="18">
          <cell r="B18">
            <v>305</v>
          </cell>
          <cell r="C18">
            <v>302</v>
          </cell>
          <cell r="D18">
            <v>72</v>
          </cell>
          <cell r="E18">
            <v>27</v>
          </cell>
          <cell r="F18"/>
          <cell r="H18">
            <v>305</v>
          </cell>
          <cell r="J18">
            <v>72</v>
          </cell>
          <cell r="K18">
            <v>27</v>
          </cell>
          <cell r="L18" t="str">
            <v/>
          </cell>
        </row>
        <row r="19">
          <cell r="B19">
            <v>582</v>
          </cell>
          <cell r="C19">
            <v>450</v>
          </cell>
          <cell r="D19">
            <v>130</v>
          </cell>
          <cell r="E19">
            <v>21</v>
          </cell>
          <cell r="F19"/>
          <cell r="H19">
            <v>582</v>
          </cell>
          <cell r="J19">
            <v>130</v>
          </cell>
          <cell r="K19">
            <v>21</v>
          </cell>
          <cell r="L19" t="str">
            <v/>
          </cell>
        </row>
        <row r="20">
          <cell r="B20">
            <v>368</v>
          </cell>
          <cell r="C20">
            <v>268</v>
          </cell>
          <cell r="D20">
            <v>87</v>
          </cell>
          <cell r="E20">
            <v>16</v>
          </cell>
          <cell r="F20"/>
          <cell r="H20">
            <v>368</v>
          </cell>
          <cell r="J20">
            <v>87</v>
          </cell>
          <cell r="K20">
            <v>16</v>
          </cell>
          <cell r="L20" t="str">
            <v/>
          </cell>
        </row>
        <row r="21">
          <cell r="B21">
            <v>266</v>
          </cell>
          <cell r="C21">
            <v>160</v>
          </cell>
          <cell r="D21">
            <v>66</v>
          </cell>
          <cell r="E21">
            <v>16</v>
          </cell>
          <cell r="F21">
            <v>26</v>
          </cell>
          <cell r="H21">
            <v>266</v>
          </cell>
          <cell r="J21">
            <v>66</v>
          </cell>
          <cell r="K21">
            <v>16</v>
          </cell>
          <cell r="L21">
            <v>26</v>
          </cell>
        </row>
        <row r="22">
          <cell r="B22">
            <v>120</v>
          </cell>
          <cell r="C22">
            <v>264</v>
          </cell>
          <cell r="D22">
            <v>80</v>
          </cell>
          <cell r="E22">
            <v>35</v>
          </cell>
          <cell r="F22">
            <v>37</v>
          </cell>
          <cell r="H22">
            <v>120</v>
          </cell>
          <cell r="J22">
            <v>80</v>
          </cell>
          <cell r="K22">
            <v>35</v>
          </cell>
          <cell r="L22">
            <v>37</v>
          </cell>
        </row>
        <row r="23">
          <cell r="B23">
            <v>140</v>
          </cell>
          <cell r="C23">
            <v>140</v>
          </cell>
          <cell r="D23">
            <v>43</v>
          </cell>
          <cell r="E23">
            <v>17</v>
          </cell>
          <cell r="F23">
            <v>28</v>
          </cell>
          <cell r="H23">
            <v>140</v>
          </cell>
          <cell r="J23">
            <v>43</v>
          </cell>
          <cell r="K23">
            <v>17</v>
          </cell>
          <cell r="L23">
            <v>28</v>
          </cell>
        </row>
        <row r="24">
          <cell r="B24">
            <v>140</v>
          </cell>
          <cell r="C24">
            <v>150</v>
          </cell>
          <cell r="D24">
            <v>72</v>
          </cell>
          <cell r="E24">
            <v>22</v>
          </cell>
          <cell r="F24"/>
          <cell r="H24">
            <v>140</v>
          </cell>
          <cell r="J24">
            <v>72</v>
          </cell>
          <cell r="K24">
            <v>22</v>
          </cell>
          <cell r="L24" t="str">
            <v/>
          </cell>
        </row>
        <row r="25">
          <cell r="B25">
            <v>242</v>
          </cell>
          <cell r="C25">
            <v>224</v>
          </cell>
          <cell r="D25">
            <v>99</v>
          </cell>
          <cell r="E25">
            <v>17</v>
          </cell>
          <cell r="F25">
            <v>21</v>
          </cell>
          <cell r="H25">
            <v>242</v>
          </cell>
          <cell r="J25">
            <v>99</v>
          </cell>
          <cell r="K25">
            <v>17</v>
          </cell>
          <cell r="L25">
            <v>21</v>
          </cell>
        </row>
        <row r="26">
          <cell r="B26">
            <v>217</v>
          </cell>
          <cell r="C26">
            <v>222</v>
          </cell>
          <cell r="D26">
            <v>84</v>
          </cell>
          <cell r="E26">
            <v>16</v>
          </cell>
          <cell r="F26"/>
          <cell r="H26">
            <v>217</v>
          </cell>
          <cell r="J26">
            <v>84</v>
          </cell>
          <cell r="K26">
            <v>16</v>
          </cell>
          <cell r="L26" t="str">
            <v/>
          </cell>
        </row>
        <row r="27">
          <cell r="B27">
            <v>562</v>
          </cell>
          <cell r="C27">
            <v>310</v>
          </cell>
          <cell r="D27">
            <v>91</v>
          </cell>
          <cell r="E27">
            <v>19</v>
          </cell>
          <cell r="F27"/>
          <cell r="H27">
            <v>562</v>
          </cell>
          <cell r="J27">
            <v>91</v>
          </cell>
          <cell r="K27">
            <v>19</v>
          </cell>
          <cell r="L27" t="str">
            <v/>
          </cell>
        </row>
        <row r="28">
          <cell r="B28">
            <v>370</v>
          </cell>
          <cell r="C28">
            <v>294</v>
          </cell>
          <cell r="D28">
            <v>110</v>
          </cell>
          <cell r="E28">
            <v>17</v>
          </cell>
          <cell r="F28"/>
          <cell r="H28">
            <v>370</v>
          </cell>
          <cell r="J28">
            <v>110</v>
          </cell>
          <cell r="K28">
            <v>17</v>
          </cell>
          <cell r="L28" t="str">
            <v/>
          </cell>
        </row>
        <row r="29">
          <cell r="B29">
            <v>130</v>
          </cell>
          <cell r="C29">
            <v>360</v>
          </cell>
          <cell r="D29">
            <v>44</v>
          </cell>
          <cell r="E29">
            <v>17</v>
          </cell>
          <cell r="F29"/>
          <cell r="H29">
            <v>130</v>
          </cell>
          <cell r="J29">
            <v>44</v>
          </cell>
          <cell r="K29">
            <v>17</v>
          </cell>
          <cell r="L29" t="str">
            <v/>
          </cell>
        </row>
        <row r="30">
          <cell r="B30">
            <v>620</v>
          </cell>
          <cell r="C30">
            <v>530</v>
          </cell>
          <cell r="D30">
            <v>120</v>
          </cell>
          <cell r="E30">
            <v>12</v>
          </cell>
          <cell r="F30"/>
          <cell r="H30">
            <v>620</v>
          </cell>
          <cell r="J30">
            <v>120</v>
          </cell>
          <cell r="K30">
            <v>12</v>
          </cell>
          <cell r="L30" t="str">
            <v/>
          </cell>
        </row>
        <row r="31">
          <cell r="B31">
            <v>332</v>
          </cell>
          <cell r="C31">
            <v>315</v>
          </cell>
          <cell r="D31">
            <v>84</v>
          </cell>
          <cell r="E31">
            <v>16</v>
          </cell>
          <cell r="F31"/>
          <cell r="H31">
            <v>332</v>
          </cell>
          <cell r="J31">
            <v>84</v>
          </cell>
          <cell r="K31">
            <v>16</v>
          </cell>
          <cell r="L31" t="str">
            <v/>
          </cell>
        </row>
        <row r="32">
          <cell r="B32">
            <v>258</v>
          </cell>
          <cell r="C32">
            <v>265</v>
          </cell>
          <cell r="D32">
            <v>89</v>
          </cell>
          <cell r="E32">
            <v>18</v>
          </cell>
          <cell r="F32"/>
          <cell r="H32">
            <v>258</v>
          </cell>
          <cell r="J32">
            <v>89</v>
          </cell>
          <cell r="K32">
            <v>18</v>
          </cell>
          <cell r="L32" t="str">
            <v/>
          </cell>
        </row>
        <row r="33">
          <cell r="B33">
            <v>495</v>
          </cell>
          <cell r="C33">
            <v>405</v>
          </cell>
          <cell r="D33">
            <v>120</v>
          </cell>
          <cell r="E33">
            <v>18</v>
          </cell>
          <cell r="F33"/>
          <cell r="H33">
            <v>495</v>
          </cell>
          <cell r="J33">
            <v>120</v>
          </cell>
          <cell r="K33">
            <v>18</v>
          </cell>
          <cell r="L33" t="str">
            <v/>
          </cell>
        </row>
        <row r="34">
          <cell r="B34">
            <v>278</v>
          </cell>
          <cell r="C34">
            <v>365</v>
          </cell>
          <cell r="D34">
            <v>91</v>
          </cell>
          <cell r="E34">
            <v>18</v>
          </cell>
          <cell r="F34"/>
          <cell r="H34">
            <v>278</v>
          </cell>
          <cell r="J34">
            <v>91</v>
          </cell>
          <cell r="K34">
            <v>18</v>
          </cell>
          <cell r="L34" t="str">
            <v/>
          </cell>
        </row>
        <row r="36">
          <cell r="H36">
            <v>308.83870967741933</v>
          </cell>
          <cell r="J36">
            <v>82.290322580645167</v>
          </cell>
          <cell r="K36">
            <v>16.516129032258064</v>
          </cell>
        </row>
      </sheetData>
      <sheetData sheetId="3">
        <row r="4">
          <cell r="B4"/>
        </row>
        <row r="5">
          <cell r="B5"/>
        </row>
        <row r="6">
          <cell r="B6">
            <v>50</v>
          </cell>
          <cell r="D6">
            <v>38</v>
          </cell>
          <cell r="F6">
            <v>15</v>
          </cell>
        </row>
        <row r="7">
          <cell r="B7"/>
        </row>
        <row r="8">
          <cell r="B8"/>
        </row>
        <row r="9">
          <cell r="B9">
            <v>32</v>
          </cell>
          <cell r="D9">
            <v>25</v>
          </cell>
          <cell r="F9">
            <v>15</v>
          </cell>
        </row>
        <row r="10">
          <cell r="B10"/>
        </row>
        <row r="11">
          <cell r="B11"/>
        </row>
        <row r="12">
          <cell r="B12"/>
        </row>
        <row r="13">
          <cell r="B13">
            <v>32</v>
          </cell>
          <cell r="D13">
            <v>48</v>
          </cell>
          <cell r="F13">
            <v>15</v>
          </cell>
        </row>
        <row r="14">
          <cell r="B14"/>
        </row>
        <row r="15">
          <cell r="B15"/>
        </row>
        <row r="16">
          <cell r="B16">
            <v>52</v>
          </cell>
          <cell r="D16">
            <v>40</v>
          </cell>
          <cell r="F16">
            <v>18</v>
          </cell>
        </row>
        <row r="17">
          <cell r="B17"/>
        </row>
        <row r="18">
          <cell r="B18"/>
        </row>
        <row r="19">
          <cell r="B19"/>
        </row>
        <row r="20">
          <cell r="B20">
            <v>48</v>
          </cell>
          <cell r="D20">
            <v>40</v>
          </cell>
          <cell r="F20">
            <v>15</v>
          </cell>
        </row>
        <row r="21">
          <cell r="B21"/>
        </row>
        <row r="22">
          <cell r="B22"/>
        </row>
        <row r="23">
          <cell r="B23">
            <v>22</v>
          </cell>
          <cell r="D23">
            <v>22</v>
          </cell>
          <cell r="F23">
            <v>18</v>
          </cell>
        </row>
        <row r="24">
          <cell r="B24"/>
        </row>
        <row r="25">
          <cell r="B25"/>
        </row>
        <row r="26">
          <cell r="B26"/>
        </row>
        <row r="27">
          <cell r="B27">
            <v>50</v>
          </cell>
          <cell r="D27">
            <v>38</v>
          </cell>
          <cell r="F27">
            <v>12</v>
          </cell>
        </row>
        <row r="28">
          <cell r="B28"/>
        </row>
        <row r="29">
          <cell r="B29"/>
        </row>
        <row r="30">
          <cell r="B30">
            <v>38</v>
          </cell>
          <cell r="D30">
            <v>32</v>
          </cell>
          <cell r="F30">
            <v>15</v>
          </cell>
        </row>
        <row r="31">
          <cell r="B31"/>
          <cell r="D31"/>
        </row>
        <row r="32">
          <cell r="B32"/>
        </row>
        <row r="33">
          <cell r="B33"/>
        </row>
        <row r="34">
          <cell r="B34">
            <v>78</v>
          </cell>
          <cell r="D34">
            <v>62</v>
          </cell>
          <cell r="F34">
            <v>20</v>
          </cell>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v>172</v>
          </cell>
          <cell r="C4"/>
          <cell r="D4">
            <v>7.2</v>
          </cell>
          <cell r="E4">
            <v>7.1</v>
          </cell>
          <cell r="F4"/>
          <cell r="G4">
            <v>9</v>
          </cell>
          <cell r="H4"/>
          <cell r="I4">
            <v>0.48325735330581665</v>
          </cell>
          <cell r="J4" t="str">
            <v/>
          </cell>
          <cell r="N4">
            <v>9</v>
          </cell>
        </row>
        <row r="5">
          <cell r="B5"/>
          <cell r="C5"/>
          <cell r="D5">
            <v>7</v>
          </cell>
          <cell r="E5">
            <v>7.2</v>
          </cell>
          <cell r="F5"/>
          <cell r="G5">
            <v>28</v>
          </cell>
          <cell r="H5"/>
          <cell r="I5">
            <v>0.44776621460914612</v>
          </cell>
          <cell r="J5" t="str">
            <v/>
          </cell>
          <cell r="N5">
            <v>28</v>
          </cell>
        </row>
        <row r="6">
          <cell r="B6"/>
          <cell r="C6"/>
          <cell r="D6">
            <v>7.2</v>
          </cell>
          <cell r="E6">
            <v>7.3</v>
          </cell>
          <cell r="F6"/>
          <cell r="G6">
            <v>3</v>
          </cell>
          <cell r="H6"/>
          <cell r="I6">
            <v>0.43910521268844604</v>
          </cell>
          <cell r="J6" t="str">
            <v/>
          </cell>
          <cell r="N6">
            <v>3</v>
          </cell>
        </row>
        <row r="7">
          <cell r="B7"/>
          <cell r="C7"/>
          <cell r="D7">
            <v>7.1</v>
          </cell>
          <cell r="E7">
            <v>7.2</v>
          </cell>
          <cell r="F7"/>
          <cell r="G7">
            <v>14</v>
          </cell>
          <cell r="H7"/>
          <cell r="I7">
            <v>0.41157582402229309</v>
          </cell>
          <cell r="J7" t="str">
            <v/>
          </cell>
          <cell r="N7">
            <v>14</v>
          </cell>
        </row>
        <row r="8">
          <cell r="B8"/>
          <cell r="C8"/>
          <cell r="D8">
            <v>7.1</v>
          </cell>
          <cell r="E8">
            <v>7.1</v>
          </cell>
          <cell r="F8"/>
          <cell r="G8">
            <v>3</v>
          </cell>
          <cell r="H8"/>
          <cell r="I8">
            <v>0.40999197959899902</v>
          </cell>
          <cell r="J8" t="str">
            <v/>
          </cell>
          <cell r="N8">
            <v>3</v>
          </cell>
        </row>
        <row r="9">
          <cell r="B9"/>
          <cell r="C9"/>
          <cell r="D9">
            <v>7.2</v>
          </cell>
          <cell r="E9">
            <v>7.2</v>
          </cell>
          <cell r="F9"/>
          <cell r="G9">
            <v>19</v>
          </cell>
          <cell r="H9"/>
          <cell r="I9">
            <v>0.69608795642852783</v>
          </cell>
          <cell r="J9">
            <v>4.8693988472223282E-2</v>
          </cell>
          <cell r="N9">
            <v>19</v>
          </cell>
        </row>
        <row r="10">
          <cell r="B10"/>
          <cell r="C10"/>
          <cell r="D10">
            <v>7</v>
          </cell>
          <cell r="E10">
            <v>6.9</v>
          </cell>
          <cell r="F10"/>
          <cell r="G10">
            <v>6</v>
          </cell>
          <cell r="H10"/>
          <cell r="I10">
            <v>0.50391161441802979</v>
          </cell>
          <cell r="J10" t="str">
            <v/>
          </cell>
          <cell r="N10">
            <v>6</v>
          </cell>
        </row>
        <row r="11">
          <cell r="B11"/>
          <cell r="C11"/>
          <cell r="D11">
            <v>7.2</v>
          </cell>
          <cell r="E11">
            <v>7</v>
          </cell>
          <cell r="F11"/>
          <cell r="G11">
            <v>66</v>
          </cell>
          <cell r="H11"/>
          <cell r="I11">
            <v>0.66499632596969604</v>
          </cell>
          <cell r="J11" t="str">
            <v/>
          </cell>
          <cell r="N11">
            <v>66</v>
          </cell>
        </row>
        <row r="12">
          <cell r="B12"/>
          <cell r="C12"/>
          <cell r="D12">
            <v>7.3</v>
          </cell>
          <cell r="E12">
            <v>7</v>
          </cell>
          <cell r="F12"/>
          <cell r="G12">
            <v>4</v>
          </cell>
          <cell r="H12"/>
          <cell r="I12">
            <v>0.46463125944137573</v>
          </cell>
          <cell r="J12" t="str">
            <v/>
          </cell>
          <cell r="N12">
            <v>4</v>
          </cell>
        </row>
        <row r="13">
          <cell r="B13"/>
          <cell r="C13"/>
          <cell r="D13">
            <v>7.3</v>
          </cell>
          <cell r="E13">
            <v>7</v>
          </cell>
          <cell r="F13"/>
          <cell r="G13" t="str">
            <v>&lt;1</v>
          </cell>
          <cell r="H13"/>
          <cell r="I13">
            <v>0.50736582279205322</v>
          </cell>
          <cell r="J13" t="str">
            <v/>
          </cell>
          <cell r="N13">
            <v>1</v>
          </cell>
        </row>
        <row r="14">
          <cell r="B14"/>
          <cell r="C14"/>
          <cell r="D14">
            <v>7.3</v>
          </cell>
          <cell r="E14">
            <v>7.3</v>
          </cell>
          <cell r="F14"/>
          <cell r="G14" t="str">
            <v>&lt;1</v>
          </cell>
          <cell r="H14"/>
          <cell r="I14">
            <v>0.54946565628051758</v>
          </cell>
          <cell r="J14" t="str">
            <v/>
          </cell>
          <cell r="N14">
            <v>1</v>
          </cell>
        </row>
        <row r="15">
          <cell r="B15"/>
          <cell r="C15"/>
          <cell r="D15">
            <v>7.2</v>
          </cell>
          <cell r="E15">
            <v>7.2</v>
          </cell>
          <cell r="F15"/>
          <cell r="G15">
            <v>3</v>
          </cell>
          <cell r="H15"/>
          <cell r="I15">
            <v>0.52355265617370605</v>
          </cell>
          <cell r="J15" t="str">
            <v/>
          </cell>
          <cell r="N15">
            <v>3</v>
          </cell>
        </row>
        <row r="16">
          <cell r="B16"/>
          <cell r="C16"/>
          <cell r="D16">
            <v>7.2</v>
          </cell>
          <cell r="E16">
            <v>7.1</v>
          </cell>
          <cell r="F16"/>
          <cell r="G16">
            <v>5</v>
          </cell>
          <cell r="H16"/>
          <cell r="I16">
            <v>0.49671745300292969</v>
          </cell>
          <cell r="J16" t="str">
            <v/>
          </cell>
          <cell r="N16">
            <v>5</v>
          </cell>
        </row>
        <row r="17">
          <cell r="B17"/>
          <cell r="C17"/>
          <cell r="D17">
            <v>7.2</v>
          </cell>
          <cell r="E17">
            <v>7.2</v>
          </cell>
          <cell r="F17"/>
          <cell r="G17">
            <v>3</v>
          </cell>
          <cell r="H17"/>
          <cell r="I17">
            <v>0.49106317758560181</v>
          </cell>
          <cell r="J17" t="str">
            <v/>
          </cell>
          <cell r="N17">
            <v>3</v>
          </cell>
        </row>
        <row r="18">
          <cell r="B18"/>
          <cell r="C18"/>
          <cell r="D18">
            <v>7.4</v>
          </cell>
          <cell r="E18">
            <v>7.3</v>
          </cell>
          <cell r="F18"/>
          <cell r="G18">
            <v>1</v>
          </cell>
          <cell r="H18"/>
          <cell r="I18">
            <v>0.46239244937896729</v>
          </cell>
          <cell r="J18" t="str">
            <v/>
          </cell>
          <cell r="N18">
            <v>1</v>
          </cell>
        </row>
        <row r="19">
          <cell r="B19"/>
          <cell r="C19"/>
          <cell r="D19">
            <v>7.1</v>
          </cell>
          <cell r="E19">
            <v>7.2</v>
          </cell>
          <cell r="F19"/>
          <cell r="G19">
            <v>6</v>
          </cell>
          <cell r="H19"/>
          <cell r="I19">
            <v>0.43811589479446411</v>
          </cell>
          <cell r="J19" t="str">
            <v/>
          </cell>
          <cell r="N19">
            <v>6</v>
          </cell>
        </row>
        <row r="20">
          <cell r="B20"/>
          <cell r="C20"/>
          <cell r="D20">
            <v>6.8</v>
          </cell>
          <cell r="E20">
            <v>6.8</v>
          </cell>
          <cell r="F20"/>
          <cell r="G20">
            <v>4</v>
          </cell>
          <cell r="H20"/>
          <cell r="I20">
            <v>0.4999409019947052</v>
          </cell>
          <cell r="J20" t="str">
            <v/>
          </cell>
          <cell r="N20">
            <v>4</v>
          </cell>
        </row>
        <row r="21">
          <cell r="B21"/>
          <cell r="C21"/>
          <cell r="D21">
            <v>7</v>
          </cell>
          <cell r="E21">
            <v>7.1</v>
          </cell>
          <cell r="F21"/>
          <cell r="G21">
            <v>6</v>
          </cell>
          <cell r="H21"/>
          <cell r="I21">
            <v>0.60604161024093628</v>
          </cell>
          <cell r="J21">
            <v>0.13875436782836914</v>
          </cell>
          <cell r="N21">
            <v>6</v>
          </cell>
        </row>
        <row r="22">
          <cell r="B22"/>
          <cell r="C22"/>
          <cell r="D22">
            <v>7.1</v>
          </cell>
          <cell r="E22">
            <v>6.6</v>
          </cell>
          <cell r="F22"/>
          <cell r="G22">
            <v>10</v>
          </cell>
          <cell r="H22"/>
          <cell r="I22">
            <v>0.67780792713165283</v>
          </cell>
          <cell r="J22">
            <v>4.4378116726875305E-2</v>
          </cell>
          <cell r="N22">
            <v>10</v>
          </cell>
        </row>
        <row r="23">
          <cell r="B23"/>
          <cell r="C23"/>
          <cell r="D23">
            <v>7</v>
          </cell>
          <cell r="E23">
            <v>7</v>
          </cell>
          <cell r="F23"/>
          <cell r="G23">
            <v>5</v>
          </cell>
          <cell r="H23"/>
          <cell r="I23">
            <v>0.51827239990234375</v>
          </cell>
          <cell r="J23">
            <v>9.9785923957824707E-2</v>
          </cell>
          <cell r="N23">
            <v>5</v>
          </cell>
        </row>
        <row r="24">
          <cell r="B24"/>
          <cell r="C24"/>
          <cell r="D24">
            <v>7.1</v>
          </cell>
          <cell r="E24">
            <v>6.8</v>
          </cell>
          <cell r="F24"/>
          <cell r="G24">
            <v>12</v>
          </cell>
          <cell r="H24"/>
          <cell r="I24">
            <v>0.73684978485107422</v>
          </cell>
          <cell r="J24" t="str">
            <v/>
          </cell>
          <cell r="N24">
            <v>12</v>
          </cell>
        </row>
        <row r="25">
          <cell r="B25"/>
          <cell r="C25"/>
          <cell r="D25">
            <v>6.9</v>
          </cell>
          <cell r="E25">
            <v>7</v>
          </cell>
          <cell r="F25"/>
          <cell r="G25">
            <v>4</v>
          </cell>
          <cell r="I25">
            <v>0.64570462703704834</v>
          </cell>
          <cell r="J25">
            <v>0.13265416026115417</v>
          </cell>
          <cell r="N25">
            <v>4</v>
          </cell>
        </row>
        <row r="26">
          <cell r="B26"/>
          <cell r="C26"/>
          <cell r="D26">
            <v>7</v>
          </cell>
          <cell r="E26">
            <v>6.9</v>
          </cell>
          <cell r="G26">
            <v>22</v>
          </cell>
          <cell r="I26">
            <v>0.57925868034362793</v>
          </cell>
          <cell r="J26" t="str">
            <v/>
          </cell>
          <cell r="N26">
            <v>22</v>
          </cell>
        </row>
        <row r="27">
          <cell r="B27"/>
          <cell r="C27"/>
          <cell r="D27">
            <v>7.2</v>
          </cell>
          <cell r="E27">
            <v>7.2</v>
          </cell>
          <cell r="F27"/>
          <cell r="G27">
            <v>36</v>
          </cell>
          <cell r="H27"/>
          <cell r="I27">
            <v>0.51021862030029297</v>
          </cell>
          <cell r="J27" t="str">
            <v/>
          </cell>
          <cell r="N27">
            <v>36</v>
          </cell>
        </row>
        <row r="28">
          <cell r="B28"/>
          <cell r="C28"/>
          <cell r="D28">
            <v>7.2</v>
          </cell>
          <cell r="E28">
            <v>7.1</v>
          </cell>
          <cell r="F28"/>
          <cell r="G28">
            <v>3</v>
          </cell>
          <cell r="H28"/>
          <cell r="I28">
            <v>0.49374294281005859</v>
          </cell>
          <cell r="J28" t="str">
            <v/>
          </cell>
          <cell r="N28">
            <v>3</v>
          </cell>
        </row>
        <row r="29">
          <cell r="B29"/>
          <cell r="C29"/>
          <cell r="D29">
            <v>7.2</v>
          </cell>
          <cell r="E29">
            <v>7.1</v>
          </cell>
          <cell r="F29"/>
          <cell r="G29">
            <v>14</v>
          </cell>
          <cell r="H29"/>
          <cell r="I29">
            <v>0.4524846076965332</v>
          </cell>
          <cell r="J29" t="str">
            <v/>
          </cell>
          <cell r="N29">
            <v>14</v>
          </cell>
        </row>
        <row r="30">
          <cell r="B30"/>
          <cell r="C30"/>
          <cell r="D30">
            <v>7.1</v>
          </cell>
          <cell r="E30">
            <v>7.1</v>
          </cell>
          <cell r="F30"/>
          <cell r="G30">
            <v>2</v>
          </cell>
          <cell r="H30"/>
          <cell r="I30">
            <v>0.45363187789916992</v>
          </cell>
          <cell r="J30" t="str">
            <v/>
          </cell>
          <cell r="N30">
            <v>2</v>
          </cell>
        </row>
        <row r="31">
          <cell r="B31"/>
          <cell r="D31">
            <v>7.1</v>
          </cell>
          <cell r="E31">
            <v>7</v>
          </cell>
          <cell r="F31"/>
          <cell r="G31">
            <v>3</v>
          </cell>
          <cell r="H31"/>
          <cell r="I31">
            <v>0.44300210475921631</v>
          </cell>
          <cell r="J31" t="str">
            <v/>
          </cell>
          <cell r="N31">
            <v>3</v>
          </cell>
        </row>
        <row r="32">
          <cell r="B32"/>
          <cell r="C32"/>
          <cell r="D32">
            <v>7.2</v>
          </cell>
          <cell r="E32">
            <v>7.1</v>
          </cell>
          <cell r="F32"/>
          <cell r="G32">
            <v>5</v>
          </cell>
          <cell r="H32"/>
          <cell r="I32">
            <v>0.37443482875823975</v>
          </cell>
          <cell r="J32" t="str">
            <v/>
          </cell>
          <cell r="N32">
            <v>5</v>
          </cell>
        </row>
        <row r="33">
          <cell r="B33"/>
          <cell r="C33"/>
          <cell r="D33">
            <v>7.1</v>
          </cell>
          <cell r="E33">
            <v>7.2</v>
          </cell>
          <cell r="F33"/>
          <cell r="G33">
            <v>7</v>
          </cell>
          <cell r="H33"/>
          <cell r="I33">
            <v>0.41462740302085876</v>
          </cell>
          <cell r="J33" t="str">
            <v/>
          </cell>
          <cell r="N33">
            <v>7</v>
          </cell>
        </row>
        <row r="34">
          <cell r="B34"/>
          <cell r="C34"/>
          <cell r="D34">
            <v>7</v>
          </cell>
          <cell r="E34">
            <v>7.2</v>
          </cell>
          <cell r="F34"/>
          <cell r="G34">
            <v>36</v>
          </cell>
          <cell r="H34"/>
          <cell r="I34">
            <v>0.48165202140808105</v>
          </cell>
          <cell r="J34" t="str">
            <v/>
          </cell>
          <cell r="N34">
            <v>36</v>
          </cell>
        </row>
        <row r="37">
          <cell r="N37">
            <v>6.2038787682630208</v>
          </cell>
          <cell r="O37" t="str">
            <v/>
          </cell>
        </row>
      </sheetData>
      <sheetData sheetId="6">
        <row r="4">
          <cell r="H4">
            <v>7.3</v>
          </cell>
          <cell r="I4">
            <v>3750</v>
          </cell>
          <cell r="J4">
            <v>45</v>
          </cell>
          <cell r="K4">
            <v>7.3</v>
          </cell>
          <cell r="L4">
            <v>3500</v>
          </cell>
          <cell r="M4">
            <v>55</v>
          </cell>
          <cell r="N4">
            <v>7.3</v>
          </cell>
          <cell r="O4">
            <v>5620</v>
          </cell>
          <cell r="P4">
            <v>75</v>
          </cell>
          <cell r="Q4">
            <v>7.3</v>
          </cell>
          <cell r="R4">
            <v>3660</v>
          </cell>
          <cell r="S4">
            <v>60</v>
          </cell>
          <cell r="T4">
            <v>7.4</v>
          </cell>
          <cell r="U4">
            <v>3620</v>
          </cell>
          <cell r="V4">
            <v>48</v>
          </cell>
          <cell r="W4">
            <v>7.2</v>
          </cell>
          <cell r="X4">
            <v>3800</v>
          </cell>
          <cell r="Y4">
            <v>50</v>
          </cell>
          <cell r="AA4">
            <v>2.12</v>
          </cell>
          <cell r="AB4">
            <v>1.02</v>
          </cell>
          <cell r="AD4">
            <v>1.78</v>
          </cell>
          <cell r="AE4">
            <v>0.97</v>
          </cell>
          <cell r="AG4">
            <v>2.1</v>
          </cell>
          <cell r="AH4">
            <v>1.1200000000000001</v>
          </cell>
          <cell r="AJ4">
            <v>2.15</v>
          </cell>
          <cell r="AK4">
            <v>1.1100000000000001</v>
          </cell>
          <cell r="AM4">
            <v>2.5099999999999998</v>
          </cell>
          <cell r="AN4">
            <v>1.55</v>
          </cell>
          <cell r="AP4">
            <v>2.16</v>
          </cell>
          <cell r="AQ4">
            <v>1.1599999999999999</v>
          </cell>
          <cell r="AS4">
            <v>2.08</v>
          </cell>
          <cell r="AT4">
            <v>1.1299999999999999</v>
          </cell>
          <cell r="AV4">
            <v>2.06</v>
          </cell>
          <cell r="AW4">
            <v>1.1299999999999999</v>
          </cell>
        </row>
        <row r="5">
          <cell r="H5">
            <v>7.3</v>
          </cell>
          <cell r="I5">
            <v>3990</v>
          </cell>
          <cell r="J5">
            <v>65</v>
          </cell>
          <cell r="K5">
            <v>7.3</v>
          </cell>
          <cell r="L5">
            <v>3410</v>
          </cell>
          <cell r="M5">
            <v>62</v>
          </cell>
          <cell r="N5">
            <v>7.4</v>
          </cell>
          <cell r="O5">
            <v>5550</v>
          </cell>
          <cell r="P5">
            <v>90</v>
          </cell>
          <cell r="Q5">
            <v>7.4</v>
          </cell>
          <cell r="R5">
            <v>3570</v>
          </cell>
          <cell r="S5">
            <v>75</v>
          </cell>
          <cell r="T5">
            <v>7.3</v>
          </cell>
          <cell r="U5">
            <v>3790</v>
          </cell>
          <cell r="V5">
            <v>55</v>
          </cell>
          <cell r="W5">
            <v>7.2</v>
          </cell>
          <cell r="X5">
            <v>3970</v>
          </cell>
          <cell r="Y5">
            <v>60</v>
          </cell>
          <cell r="AA5"/>
          <cell r="AB5"/>
          <cell r="AD5"/>
          <cell r="AE5"/>
          <cell r="AG5"/>
          <cell r="AH5"/>
          <cell r="AJ5"/>
          <cell r="AK5"/>
          <cell r="AM5"/>
          <cell r="AN5"/>
          <cell r="AP5"/>
          <cell r="AQ5"/>
          <cell r="AS5"/>
          <cell r="AT5"/>
          <cell r="AV5"/>
          <cell r="AW5"/>
        </row>
        <row r="6">
          <cell r="H6">
            <v>7.2</v>
          </cell>
          <cell r="I6">
            <v>3680</v>
          </cell>
          <cell r="J6">
            <v>55</v>
          </cell>
          <cell r="K6">
            <v>7.3</v>
          </cell>
          <cell r="L6">
            <v>3420</v>
          </cell>
          <cell r="M6">
            <v>60</v>
          </cell>
          <cell r="N6">
            <v>7.3</v>
          </cell>
          <cell r="O6">
            <v>5430</v>
          </cell>
          <cell r="P6">
            <v>85</v>
          </cell>
          <cell r="Q6">
            <v>7.4</v>
          </cell>
          <cell r="R6">
            <v>3780</v>
          </cell>
          <cell r="S6">
            <v>60</v>
          </cell>
          <cell r="T6">
            <v>7.3</v>
          </cell>
          <cell r="U6">
            <v>3640</v>
          </cell>
          <cell r="V6">
            <v>60</v>
          </cell>
          <cell r="W6">
            <v>7.2</v>
          </cell>
          <cell r="X6">
            <v>3800</v>
          </cell>
          <cell r="Y6">
            <v>50</v>
          </cell>
          <cell r="AA6"/>
          <cell r="AB6"/>
          <cell r="AD6"/>
          <cell r="AE6"/>
          <cell r="AG6"/>
          <cell r="AH6"/>
          <cell r="AJ6"/>
          <cell r="AK6"/>
          <cell r="AM6"/>
          <cell r="AN6"/>
          <cell r="AP6"/>
          <cell r="AQ6"/>
          <cell r="AS6"/>
          <cell r="AT6"/>
          <cell r="AV6"/>
          <cell r="AW6"/>
        </row>
        <row r="7">
          <cell r="H7">
            <v>7.2</v>
          </cell>
          <cell r="I7">
            <v>4070</v>
          </cell>
          <cell r="J7">
            <v>45</v>
          </cell>
          <cell r="K7">
            <v>7.2</v>
          </cell>
          <cell r="L7">
            <v>3530</v>
          </cell>
          <cell r="M7">
            <v>55</v>
          </cell>
          <cell r="N7">
            <v>7.4</v>
          </cell>
          <cell r="O7">
            <v>6070</v>
          </cell>
          <cell r="P7">
            <v>78</v>
          </cell>
          <cell r="Q7">
            <v>7.3</v>
          </cell>
          <cell r="R7">
            <v>4040</v>
          </cell>
          <cell r="S7">
            <v>58</v>
          </cell>
          <cell r="T7">
            <v>7.3</v>
          </cell>
          <cell r="U7">
            <v>3960</v>
          </cell>
          <cell r="V7">
            <v>58</v>
          </cell>
          <cell r="W7">
            <v>7.3</v>
          </cell>
          <cell r="X7">
            <v>3890</v>
          </cell>
          <cell r="Y7">
            <v>52</v>
          </cell>
          <cell r="AA7"/>
          <cell r="AB7"/>
          <cell r="AD7"/>
          <cell r="AE7"/>
          <cell r="AG7"/>
          <cell r="AH7"/>
          <cell r="AJ7"/>
          <cell r="AK7"/>
          <cell r="AM7"/>
          <cell r="AN7"/>
          <cell r="AP7"/>
          <cell r="AQ7"/>
          <cell r="AS7"/>
          <cell r="AT7"/>
          <cell r="AV7"/>
          <cell r="AW7"/>
        </row>
        <row r="8">
          <cell r="H8">
            <v>7.3</v>
          </cell>
          <cell r="I8">
            <v>3640</v>
          </cell>
          <cell r="J8">
            <v>50</v>
          </cell>
          <cell r="K8">
            <v>7.3</v>
          </cell>
          <cell r="L8">
            <v>3610</v>
          </cell>
          <cell r="M8">
            <v>48</v>
          </cell>
          <cell r="N8">
            <v>7.3</v>
          </cell>
          <cell r="O8">
            <v>5610</v>
          </cell>
          <cell r="P8">
            <v>80</v>
          </cell>
          <cell r="Q8">
            <v>7.3</v>
          </cell>
          <cell r="R8">
            <v>3800</v>
          </cell>
          <cell r="S8">
            <v>60</v>
          </cell>
          <cell r="T8">
            <v>7.3</v>
          </cell>
          <cell r="U8">
            <v>3470</v>
          </cell>
          <cell r="V8">
            <v>68</v>
          </cell>
          <cell r="W8">
            <v>7.2</v>
          </cell>
          <cell r="X8">
            <v>3660</v>
          </cell>
          <cell r="Y8">
            <v>58</v>
          </cell>
          <cell r="AA8"/>
          <cell r="AB8"/>
          <cell r="AD8"/>
          <cell r="AE8"/>
          <cell r="AG8"/>
          <cell r="AH8"/>
          <cell r="AJ8"/>
          <cell r="AK8"/>
          <cell r="AM8"/>
          <cell r="AN8"/>
          <cell r="AP8"/>
          <cell r="AQ8"/>
          <cell r="AS8"/>
          <cell r="AT8"/>
          <cell r="AV8"/>
          <cell r="AW8"/>
        </row>
        <row r="9">
          <cell r="H9">
            <v>7.3</v>
          </cell>
          <cell r="I9">
            <v>3670</v>
          </cell>
          <cell r="J9">
            <v>62</v>
          </cell>
          <cell r="K9">
            <v>7.3</v>
          </cell>
          <cell r="L9">
            <v>3500</v>
          </cell>
          <cell r="M9">
            <v>55</v>
          </cell>
          <cell r="N9">
            <v>7.3</v>
          </cell>
          <cell r="O9">
            <v>5600</v>
          </cell>
          <cell r="P9">
            <v>80</v>
          </cell>
          <cell r="Q9">
            <v>7.3</v>
          </cell>
          <cell r="R9">
            <v>3600</v>
          </cell>
          <cell r="S9">
            <v>65</v>
          </cell>
          <cell r="T9">
            <v>7.3</v>
          </cell>
          <cell r="U9">
            <v>3670</v>
          </cell>
          <cell r="V9">
            <v>58</v>
          </cell>
          <cell r="W9">
            <v>7.3</v>
          </cell>
          <cell r="X9">
            <v>3570</v>
          </cell>
          <cell r="Y9">
            <v>55</v>
          </cell>
          <cell r="AA9"/>
          <cell r="AB9"/>
          <cell r="AD9"/>
          <cell r="AE9"/>
          <cell r="AG9"/>
          <cell r="AH9"/>
          <cell r="AJ9"/>
          <cell r="AK9"/>
          <cell r="AM9"/>
          <cell r="AN9"/>
          <cell r="AP9"/>
          <cell r="AQ9"/>
          <cell r="AS9"/>
          <cell r="AT9"/>
          <cell r="AV9"/>
          <cell r="AW9"/>
        </row>
        <row r="10">
          <cell r="H10">
            <v>7.2</v>
          </cell>
          <cell r="I10">
            <v>3670</v>
          </cell>
          <cell r="J10">
            <v>48</v>
          </cell>
          <cell r="K10">
            <v>7.3</v>
          </cell>
          <cell r="L10">
            <v>3450</v>
          </cell>
          <cell r="M10">
            <v>42</v>
          </cell>
          <cell r="N10">
            <v>7.4</v>
          </cell>
          <cell r="O10">
            <v>5540</v>
          </cell>
          <cell r="P10">
            <v>60</v>
          </cell>
          <cell r="Q10">
            <v>7.3</v>
          </cell>
          <cell r="R10">
            <v>3600</v>
          </cell>
          <cell r="S10">
            <v>45</v>
          </cell>
          <cell r="T10">
            <v>7.2</v>
          </cell>
          <cell r="U10">
            <v>3820</v>
          </cell>
          <cell r="V10">
            <v>42</v>
          </cell>
          <cell r="W10">
            <v>7.2</v>
          </cell>
          <cell r="X10">
            <v>3820</v>
          </cell>
          <cell r="Y10">
            <v>40</v>
          </cell>
          <cell r="AA10"/>
          <cell r="AB10"/>
          <cell r="AD10"/>
          <cell r="AE10"/>
          <cell r="AG10"/>
          <cell r="AH10"/>
          <cell r="AJ10"/>
          <cell r="AK10"/>
          <cell r="AM10"/>
          <cell r="AN10"/>
          <cell r="AP10"/>
          <cell r="AQ10"/>
          <cell r="AS10"/>
          <cell r="AT10"/>
          <cell r="AV10"/>
          <cell r="AW10"/>
        </row>
        <row r="11">
          <cell r="H11">
            <v>7.2</v>
          </cell>
          <cell r="I11">
            <v>3800</v>
          </cell>
          <cell r="J11">
            <v>50</v>
          </cell>
          <cell r="K11">
            <v>7.3</v>
          </cell>
          <cell r="L11">
            <v>3540</v>
          </cell>
          <cell r="M11">
            <v>45</v>
          </cell>
          <cell r="N11">
            <v>7.4</v>
          </cell>
          <cell r="O11">
            <v>5590</v>
          </cell>
          <cell r="P11">
            <v>75</v>
          </cell>
          <cell r="Q11">
            <v>7.2</v>
          </cell>
          <cell r="R11">
            <v>3800</v>
          </cell>
          <cell r="S11">
            <v>58</v>
          </cell>
          <cell r="T11">
            <v>7.2</v>
          </cell>
          <cell r="U11">
            <v>3710</v>
          </cell>
          <cell r="V11">
            <v>45</v>
          </cell>
          <cell r="W11">
            <v>7.2</v>
          </cell>
          <cell r="X11">
            <v>3840</v>
          </cell>
          <cell r="Y11">
            <v>55</v>
          </cell>
          <cell r="AA11">
            <v>1.89</v>
          </cell>
          <cell r="AB11">
            <v>0.95</v>
          </cell>
          <cell r="AD11">
            <v>1.72</v>
          </cell>
          <cell r="AE11">
            <v>0.96</v>
          </cell>
          <cell r="AG11">
            <v>2.16</v>
          </cell>
          <cell r="AH11">
            <v>1.1000000000000001</v>
          </cell>
          <cell r="AJ11">
            <v>2</v>
          </cell>
          <cell r="AK11">
            <v>1.06</v>
          </cell>
          <cell r="AM11">
            <v>2.4700000000000002</v>
          </cell>
          <cell r="AN11">
            <v>1.5</v>
          </cell>
          <cell r="AP11">
            <v>2.12</v>
          </cell>
          <cell r="AQ11">
            <v>1.1299999999999999</v>
          </cell>
          <cell r="AS11">
            <v>2.0699999999999998</v>
          </cell>
          <cell r="AT11">
            <v>1.1000000000000001</v>
          </cell>
          <cell r="AV11">
            <v>2.06</v>
          </cell>
          <cell r="AW11">
            <v>1.1200000000000001</v>
          </cell>
        </row>
        <row r="12">
          <cell r="H12">
            <v>7.2</v>
          </cell>
          <cell r="I12">
            <v>3760</v>
          </cell>
          <cell r="J12">
            <v>75</v>
          </cell>
          <cell r="K12">
            <v>7.2</v>
          </cell>
          <cell r="L12">
            <v>3580</v>
          </cell>
          <cell r="M12">
            <v>55</v>
          </cell>
          <cell r="N12">
            <v>7.3</v>
          </cell>
          <cell r="O12">
            <v>6180</v>
          </cell>
          <cell r="P12">
            <v>68</v>
          </cell>
          <cell r="Q12">
            <v>7.2</v>
          </cell>
          <cell r="R12">
            <v>3550</v>
          </cell>
          <cell r="S12">
            <v>60</v>
          </cell>
          <cell r="T12">
            <v>7.2</v>
          </cell>
          <cell r="U12">
            <v>3850</v>
          </cell>
          <cell r="V12">
            <v>50</v>
          </cell>
          <cell r="W12">
            <v>7.2</v>
          </cell>
          <cell r="X12">
            <v>3690</v>
          </cell>
          <cell r="Y12">
            <v>50</v>
          </cell>
          <cell r="AA12"/>
          <cell r="AB12"/>
          <cell r="AD12"/>
          <cell r="AE12"/>
          <cell r="AG12"/>
          <cell r="AH12"/>
          <cell r="AJ12"/>
          <cell r="AK12"/>
          <cell r="AM12"/>
          <cell r="AN12"/>
          <cell r="AP12"/>
          <cell r="AQ12"/>
          <cell r="AS12"/>
          <cell r="AT12"/>
          <cell r="AV12"/>
          <cell r="AW12"/>
        </row>
        <row r="13">
          <cell r="H13">
            <v>7.2</v>
          </cell>
          <cell r="I13">
            <v>3700</v>
          </cell>
          <cell r="J13">
            <v>62</v>
          </cell>
          <cell r="K13">
            <v>7.2</v>
          </cell>
          <cell r="L13">
            <v>3530</v>
          </cell>
          <cell r="M13">
            <v>48</v>
          </cell>
          <cell r="N13">
            <v>7.3</v>
          </cell>
          <cell r="O13">
            <v>6310</v>
          </cell>
          <cell r="P13">
            <v>65</v>
          </cell>
          <cell r="Q13">
            <v>7.3</v>
          </cell>
          <cell r="R13">
            <v>3710</v>
          </cell>
          <cell r="S13">
            <v>52</v>
          </cell>
          <cell r="T13">
            <v>7.2</v>
          </cell>
          <cell r="U13">
            <v>3970</v>
          </cell>
          <cell r="V13">
            <v>50</v>
          </cell>
          <cell r="W13">
            <v>7.2</v>
          </cell>
          <cell r="X13">
            <v>3590</v>
          </cell>
          <cell r="Y13">
            <v>45</v>
          </cell>
          <cell r="AA13"/>
          <cell r="AB13"/>
          <cell r="AD13"/>
          <cell r="AE13"/>
          <cell r="AG13"/>
          <cell r="AH13"/>
          <cell r="AJ13"/>
          <cell r="AK13"/>
          <cell r="AM13"/>
          <cell r="AN13"/>
          <cell r="AP13"/>
          <cell r="AQ13"/>
          <cell r="AS13"/>
          <cell r="AT13"/>
          <cell r="AV13"/>
          <cell r="AW13"/>
        </row>
        <row r="14">
          <cell r="H14">
            <v>7.3</v>
          </cell>
          <cell r="I14">
            <v>3570</v>
          </cell>
          <cell r="J14">
            <v>60</v>
          </cell>
          <cell r="K14">
            <v>7.3</v>
          </cell>
          <cell r="L14">
            <v>3330</v>
          </cell>
          <cell r="M14">
            <v>52</v>
          </cell>
          <cell r="N14">
            <v>7.4</v>
          </cell>
          <cell r="O14">
            <v>5750</v>
          </cell>
          <cell r="P14">
            <v>75</v>
          </cell>
          <cell r="Q14">
            <v>7.4</v>
          </cell>
          <cell r="R14">
            <v>3790</v>
          </cell>
          <cell r="S14">
            <v>55</v>
          </cell>
          <cell r="T14">
            <v>7.3</v>
          </cell>
          <cell r="U14">
            <v>3580</v>
          </cell>
          <cell r="V14">
            <v>50</v>
          </cell>
          <cell r="W14">
            <v>7.4</v>
          </cell>
          <cell r="X14">
            <v>3740</v>
          </cell>
          <cell r="Y14">
            <v>65</v>
          </cell>
          <cell r="AA14"/>
          <cell r="AB14"/>
          <cell r="AD14"/>
          <cell r="AE14"/>
          <cell r="AG14"/>
          <cell r="AH14"/>
          <cell r="AJ14"/>
          <cell r="AK14"/>
          <cell r="AM14"/>
          <cell r="AN14"/>
          <cell r="AP14"/>
          <cell r="AQ14"/>
          <cell r="AS14"/>
          <cell r="AT14"/>
          <cell r="AV14"/>
          <cell r="AW14"/>
        </row>
        <row r="15">
          <cell r="H15">
            <v>7.2</v>
          </cell>
          <cell r="I15">
            <v>3630</v>
          </cell>
          <cell r="J15">
            <v>52</v>
          </cell>
          <cell r="K15">
            <v>7.3</v>
          </cell>
          <cell r="L15">
            <v>3600</v>
          </cell>
          <cell r="M15">
            <v>52</v>
          </cell>
          <cell r="N15">
            <v>8.3000000000000007</v>
          </cell>
          <cell r="O15">
            <v>5710</v>
          </cell>
          <cell r="P15">
            <v>75</v>
          </cell>
          <cell r="Q15">
            <v>7.2</v>
          </cell>
          <cell r="R15">
            <v>3690</v>
          </cell>
          <cell r="S15">
            <v>50</v>
          </cell>
          <cell r="T15">
            <v>7.2</v>
          </cell>
          <cell r="U15">
            <v>3770</v>
          </cell>
          <cell r="V15">
            <v>48</v>
          </cell>
          <cell r="W15">
            <v>7.2</v>
          </cell>
          <cell r="X15">
            <v>3820</v>
          </cell>
          <cell r="Y15">
            <v>48</v>
          </cell>
          <cell r="AA15"/>
          <cell r="AB15"/>
          <cell r="AD15"/>
          <cell r="AE15"/>
          <cell r="AG15"/>
          <cell r="AH15"/>
          <cell r="AJ15"/>
          <cell r="AK15"/>
          <cell r="AM15"/>
          <cell r="AN15"/>
          <cell r="AP15"/>
          <cell r="AQ15"/>
          <cell r="AS15"/>
          <cell r="AT15"/>
          <cell r="AV15"/>
          <cell r="AW15"/>
        </row>
        <row r="16">
          <cell r="H16">
            <v>7.2</v>
          </cell>
          <cell r="I16">
            <v>3670</v>
          </cell>
          <cell r="J16">
            <v>60</v>
          </cell>
          <cell r="K16">
            <v>7.3</v>
          </cell>
          <cell r="L16">
            <v>3500</v>
          </cell>
          <cell r="M16">
            <v>55</v>
          </cell>
          <cell r="N16">
            <v>7.3</v>
          </cell>
          <cell r="O16">
            <v>5960</v>
          </cell>
          <cell r="P16">
            <v>65</v>
          </cell>
          <cell r="Q16">
            <v>7.3</v>
          </cell>
          <cell r="R16">
            <v>3650</v>
          </cell>
          <cell r="S16">
            <v>55</v>
          </cell>
          <cell r="T16">
            <v>7.3</v>
          </cell>
          <cell r="U16">
            <v>3740</v>
          </cell>
          <cell r="V16">
            <v>52</v>
          </cell>
          <cell r="W16">
            <v>7.4</v>
          </cell>
          <cell r="X16">
            <v>3830</v>
          </cell>
          <cell r="Y16">
            <v>55</v>
          </cell>
          <cell r="AA16"/>
          <cell r="AB16"/>
          <cell r="AD16"/>
          <cell r="AE16"/>
          <cell r="AG16"/>
          <cell r="AH16"/>
          <cell r="AJ16"/>
          <cell r="AK16"/>
          <cell r="AM16"/>
          <cell r="AN16"/>
          <cell r="AP16"/>
          <cell r="AQ16"/>
          <cell r="AS16"/>
          <cell r="AT16"/>
          <cell r="AV16"/>
          <cell r="AW16"/>
        </row>
        <row r="17">
          <cell r="H17">
            <v>7.2</v>
          </cell>
          <cell r="I17">
            <v>3760</v>
          </cell>
          <cell r="J17">
            <v>45</v>
          </cell>
          <cell r="K17">
            <v>7.3</v>
          </cell>
          <cell r="L17">
            <v>3580</v>
          </cell>
          <cell r="M17">
            <v>40</v>
          </cell>
          <cell r="N17">
            <v>7.4</v>
          </cell>
          <cell r="O17">
            <v>5690</v>
          </cell>
          <cell r="P17">
            <v>60</v>
          </cell>
          <cell r="Q17">
            <v>7.2</v>
          </cell>
          <cell r="R17">
            <v>3780</v>
          </cell>
          <cell r="S17">
            <v>48</v>
          </cell>
          <cell r="T17">
            <v>7.2</v>
          </cell>
          <cell r="U17">
            <v>3880</v>
          </cell>
          <cell r="V17">
            <v>52</v>
          </cell>
          <cell r="W17">
            <v>7.3</v>
          </cell>
          <cell r="X17">
            <v>3860</v>
          </cell>
          <cell r="Y17">
            <v>45</v>
          </cell>
          <cell r="AA17"/>
          <cell r="AB17"/>
          <cell r="AD17"/>
          <cell r="AE17"/>
          <cell r="AG17"/>
          <cell r="AH17"/>
          <cell r="AJ17"/>
          <cell r="AK17"/>
          <cell r="AM17"/>
          <cell r="AN17"/>
          <cell r="AP17"/>
          <cell r="AQ17"/>
          <cell r="AS17"/>
          <cell r="AT17"/>
          <cell r="AV17"/>
          <cell r="AW17"/>
        </row>
        <row r="18">
          <cell r="H18">
            <v>7.2</v>
          </cell>
          <cell r="I18">
            <v>3930</v>
          </cell>
          <cell r="J18">
            <v>45</v>
          </cell>
          <cell r="K18">
            <v>7.3</v>
          </cell>
          <cell r="L18">
            <v>3340</v>
          </cell>
          <cell r="M18">
            <v>45</v>
          </cell>
          <cell r="N18">
            <v>7.4</v>
          </cell>
          <cell r="O18">
            <v>5600</v>
          </cell>
          <cell r="P18">
            <v>75</v>
          </cell>
          <cell r="Q18">
            <v>7.2</v>
          </cell>
          <cell r="R18">
            <v>3640</v>
          </cell>
          <cell r="S18">
            <v>55</v>
          </cell>
          <cell r="T18">
            <v>7.2</v>
          </cell>
          <cell r="U18">
            <v>3580</v>
          </cell>
          <cell r="V18">
            <v>45</v>
          </cell>
          <cell r="W18">
            <v>7.3</v>
          </cell>
          <cell r="X18">
            <v>3600</v>
          </cell>
          <cell r="Y18">
            <v>45</v>
          </cell>
          <cell r="AA18">
            <v>1.9</v>
          </cell>
          <cell r="AB18">
            <v>0.91</v>
          </cell>
          <cell r="AD18">
            <v>1.74</v>
          </cell>
          <cell r="AE18">
            <v>0.97</v>
          </cell>
          <cell r="AG18">
            <v>2.14</v>
          </cell>
          <cell r="AH18">
            <v>1.0900000000000001</v>
          </cell>
          <cell r="AJ18">
            <v>1.94</v>
          </cell>
          <cell r="AK18">
            <v>1.02</v>
          </cell>
          <cell r="AM18">
            <v>2.44</v>
          </cell>
          <cell r="AN18">
            <v>1.51</v>
          </cell>
          <cell r="AP18">
            <v>2.12</v>
          </cell>
          <cell r="AQ18">
            <v>1.1200000000000001</v>
          </cell>
          <cell r="AS18">
            <v>1.98</v>
          </cell>
          <cell r="AT18">
            <v>1.08</v>
          </cell>
          <cell r="AV18">
            <v>2.0099999999999998</v>
          </cell>
          <cell r="AW18">
            <v>1.1100000000000001</v>
          </cell>
        </row>
        <row r="19">
          <cell r="H19">
            <v>7.2</v>
          </cell>
          <cell r="I19">
            <v>3990</v>
          </cell>
          <cell r="J19">
            <v>50</v>
          </cell>
          <cell r="K19">
            <v>7.2</v>
          </cell>
          <cell r="L19">
            <v>3620</v>
          </cell>
          <cell r="M19">
            <v>42</v>
          </cell>
          <cell r="N19">
            <v>7.4</v>
          </cell>
          <cell r="O19">
            <v>5580</v>
          </cell>
          <cell r="P19">
            <v>55</v>
          </cell>
          <cell r="Q19">
            <v>7.3</v>
          </cell>
          <cell r="R19">
            <v>3770</v>
          </cell>
          <cell r="S19">
            <v>48</v>
          </cell>
          <cell r="T19">
            <v>7.2</v>
          </cell>
          <cell r="U19">
            <v>3800</v>
          </cell>
          <cell r="V19">
            <v>45</v>
          </cell>
          <cell r="W19">
            <v>7.2</v>
          </cell>
          <cell r="X19">
            <v>3960</v>
          </cell>
          <cell r="Y19">
            <v>40</v>
          </cell>
          <cell r="AA19"/>
          <cell r="AB19"/>
          <cell r="AD19"/>
          <cell r="AE19"/>
          <cell r="AG19"/>
          <cell r="AH19"/>
          <cell r="AJ19"/>
          <cell r="AK19"/>
          <cell r="AM19"/>
          <cell r="AN19"/>
          <cell r="AP19"/>
          <cell r="AQ19"/>
          <cell r="AS19"/>
          <cell r="AT19"/>
          <cell r="AV19"/>
          <cell r="AW19"/>
        </row>
        <row r="20">
          <cell r="H20">
            <v>7.2</v>
          </cell>
          <cell r="I20">
            <v>3610</v>
          </cell>
          <cell r="J20">
            <v>48</v>
          </cell>
          <cell r="K20">
            <v>7.3</v>
          </cell>
          <cell r="L20">
            <v>3510</v>
          </cell>
          <cell r="M20">
            <v>42</v>
          </cell>
          <cell r="N20">
            <v>7.4</v>
          </cell>
          <cell r="O20">
            <v>5430</v>
          </cell>
          <cell r="P20">
            <v>58</v>
          </cell>
          <cell r="Q20">
            <v>7.3</v>
          </cell>
          <cell r="R20">
            <v>3760</v>
          </cell>
          <cell r="S20">
            <v>48</v>
          </cell>
          <cell r="T20">
            <v>7.2</v>
          </cell>
          <cell r="U20">
            <v>3450</v>
          </cell>
          <cell r="V20">
            <v>48</v>
          </cell>
          <cell r="W20">
            <v>7.2</v>
          </cell>
          <cell r="X20">
            <v>3990</v>
          </cell>
          <cell r="Y20">
            <v>42</v>
          </cell>
          <cell r="AA20"/>
          <cell r="AB20"/>
          <cell r="AD20"/>
          <cell r="AE20"/>
          <cell r="AG20"/>
          <cell r="AH20"/>
          <cell r="AJ20"/>
          <cell r="AK20"/>
          <cell r="AM20"/>
          <cell r="AN20"/>
          <cell r="AP20"/>
          <cell r="AQ20"/>
          <cell r="AS20"/>
          <cell r="AT20"/>
          <cell r="AV20"/>
          <cell r="AW20"/>
        </row>
        <row r="21">
          <cell r="H21">
            <v>7.3</v>
          </cell>
          <cell r="I21">
            <v>3670</v>
          </cell>
          <cell r="J21">
            <v>52</v>
          </cell>
          <cell r="K21">
            <v>7.3</v>
          </cell>
          <cell r="L21">
            <v>3600</v>
          </cell>
          <cell r="M21">
            <v>48</v>
          </cell>
          <cell r="N21">
            <v>7.4</v>
          </cell>
          <cell r="O21">
            <v>5980</v>
          </cell>
          <cell r="P21">
            <v>92</v>
          </cell>
          <cell r="Q21">
            <v>7.5</v>
          </cell>
          <cell r="R21">
            <v>3890</v>
          </cell>
          <cell r="S21">
            <v>62</v>
          </cell>
          <cell r="T21">
            <v>7.2</v>
          </cell>
          <cell r="U21">
            <v>3710</v>
          </cell>
          <cell r="V21">
            <v>50</v>
          </cell>
          <cell r="W21">
            <v>7.2</v>
          </cell>
          <cell r="X21">
            <v>3620</v>
          </cell>
          <cell r="Y21">
            <v>55</v>
          </cell>
          <cell r="AA21"/>
          <cell r="AB21"/>
          <cell r="AD21"/>
          <cell r="AE21"/>
          <cell r="AG21"/>
          <cell r="AH21"/>
          <cell r="AJ21"/>
          <cell r="AK21"/>
          <cell r="AM21"/>
          <cell r="AN21"/>
          <cell r="AP21"/>
          <cell r="AQ21"/>
          <cell r="AS21"/>
          <cell r="AT21"/>
          <cell r="AV21"/>
          <cell r="AW21"/>
        </row>
        <row r="22">
          <cell r="H22">
            <v>7.2</v>
          </cell>
          <cell r="I22">
            <v>3860</v>
          </cell>
          <cell r="J22">
            <v>92</v>
          </cell>
          <cell r="K22">
            <v>7.3</v>
          </cell>
          <cell r="L22">
            <v>3400</v>
          </cell>
          <cell r="M22">
            <v>58</v>
          </cell>
          <cell r="N22">
            <v>7.3</v>
          </cell>
          <cell r="O22">
            <v>5510</v>
          </cell>
          <cell r="P22">
            <v>75</v>
          </cell>
          <cell r="Q22">
            <v>7.4</v>
          </cell>
          <cell r="R22">
            <v>3580</v>
          </cell>
          <cell r="S22">
            <v>58</v>
          </cell>
          <cell r="T22">
            <v>7.3</v>
          </cell>
          <cell r="U22">
            <v>3720</v>
          </cell>
          <cell r="V22">
            <v>55</v>
          </cell>
          <cell r="W22">
            <v>7.2</v>
          </cell>
          <cell r="X22">
            <v>3600</v>
          </cell>
          <cell r="Y22">
            <v>88</v>
          </cell>
          <cell r="AA22"/>
          <cell r="AB22"/>
          <cell r="AD22"/>
          <cell r="AE22"/>
          <cell r="AG22"/>
          <cell r="AH22"/>
          <cell r="AJ22"/>
          <cell r="AK22"/>
          <cell r="AM22"/>
          <cell r="AN22"/>
          <cell r="AP22"/>
          <cell r="AQ22"/>
          <cell r="AS22"/>
          <cell r="AT22"/>
          <cell r="AV22"/>
          <cell r="AW22"/>
        </row>
        <row r="23">
          <cell r="H23">
            <v>7.2</v>
          </cell>
          <cell r="I23">
            <v>3630</v>
          </cell>
          <cell r="J23">
            <v>50</v>
          </cell>
          <cell r="K23">
            <v>7.2</v>
          </cell>
          <cell r="L23">
            <v>3410</v>
          </cell>
          <cell r="M23">
            <v>40</v>
          </cell>
          <cell r="N23">
            <v>7.4</v>
          </cell>
          <cell r="O23">
            <v>5610</v>
          </cell>
          <cell r="P23">
            <v>92</v>
          </cell>
          <cell r="Q23">
            <v>7.3</v>
          </cell>
          <cell r="R23">
            <v>3530</v>
          </cell>
          <cell r="S23">
            <v>52</v>
          </cell>
          <cell r="T23">
            <v>7.2</v>
          </cell>
          <cell r="U23">
            <v>3700</v>
          </cell>
          <cell r="V23">
            <v>55</v>
          </cell>
          <cell r="W23">
            <v>7.2</v>
          </cell>
          <cell r="X23">
            <v>3590</v>
          </cell>
          <cell r="Y23">
            <v>45</v>
          </cell>
          <cell r="AA23"/>
          <cell r="AB23"/>
          <cell r="AD23"/>
          <cell r="AE23"/>
          <cell r="AG23"/>
          <cell r="AH23"/>
          <cell r="AJ23"/>
          <cell r="AK23"/>
          <cell r="AM23"/>
          <cell r="AN23"/>
          <cell r="AP23"/>
          <cell r="AQ23"/>
          <cell r="AS23"/>
          <cell r="AT23"/>
          <cell r="AV23"/>
          <cell r="AW23"/>
        </row>
        <row r="24">
          <cell r="H24">
            <v>7.2</v>
          </cell>
          <cell r="I24">
            <v>3610</v>
          </cell>
          <cell r="J24">
            <v>48</v>
          </cell>
          <cell r="K24">
            <v>7.3</v>
          </cell>
          <cell r="L24">
            <v>3440</v>
          </cell>
          <cell r="M24">
            <v>45</v>
          </cell>
          <cell r="N24">
            <v>7.4</v>
          </cell>
          <cell r="O24">
            <v>5560</v>
          </cell>
          <cell r="P24">
            <v>62</v>
          </cell>
          <cell r="Q24">
            <v>7.3</v>
          </cell>
          <cell r="R24">
            <v>3270</v>
          </cell>
          <cell r="S24">
            <v>45</v>
          </cell>
          <cell r="T24">
            <v>7.2</v>
          </cell>
          <cell r="U24">
            <v>3790</v>
          </cell>
          <cell r="V24">
            <v>48</v>
          </cell>
          <cell r="W24">
            <v>7.2</v>
          </cell>
          <cell r="X24">
            <v>3600</v>
          </cell>
          <cell r="Y24">
            <v>50</v>
          </cell>
          <cell r="AA24"/>
          <cell r="AB24"/>
          <cell r="AD24"/>
          <cell r="AE24"/>
          <cell r="AG24"/>
          <cell r="AH24"/>
          <cell r="AJ24"/>
          <cell r="AK24"/>
          <cell r="AM24"/>
          <cell r="AN24"/>
          <cell r="AP24"/>
          <cell r="AQ24"/>
          <cell r="AS24"/>
          <cell r="AT24"/>
          <cell r="AV24"/>
          <cell r="AW24"/>
        </row>
        <row r="25">
          <cell r="H25">
            <v>7.2</v>
          </cell>
          <cell r="I25">
            <v>3580</v>
          </cell>
          <cell r="J25">
            <v>42</v>
          </cell>
          <cell r="K25">
            <v>7.2</v>
          </cell>
          <cell r="L25">
            <v>3550</v>
          </cell>
          <cell r="M25">
            <v>48</v>
          </cell>
          <cell r="N25">
            <v>7.3</v>
          </cell>
          <cell r="O25">
            <v>5520</v>
          </cell>
          <cell r="P25">
            <v>70</v>
          </cell>
          <cell r="Q25">
            <v>7.3</v>
          </cell>
          <cell r="R25">
            <v>3800</v>
          </cell>
          <cell r="S25">
            <v>50</v>
          </cell>
          <cell r="T25">
            <v>7.2</v>
          </cell>
          <cell r="U25">
            <v>3990</v>
          </cell>
          <cell r="V25">
            <v>48</v>
          </cell>
          <cell r="W25">
            <v>7.2</v>
          </cell>
          <cell r="X25">
            <v>3760</v>
          </cell>
          <cell r="Y25">
            <v>55</v>
          </cell>
          <cell r="AA25">
            <v>2.0099999999999998</v>
          </cell>
          <cell r="AB25">
            <v>0.96</v>
          </cell>
          <cell r="AD25">
            <v>1.68</v>
          </cell>
          <cell r="AE25">
            <v>0.93</v>
          </cell>
          <cell r="AG25">
            <v>1.92</v>
          </cell>
          <cell r="AH25">
            <v>1.02</v>
          </cell>
          <cell r="AJ25">
            <v>1.84</v>
          </cell>
          <cell r="AK25">
            <v>1</v>
          </cell>
          <cell r="AM25">
            <v>2.36</v>
          </cell>
          <cell r="AN25">
            <v>1.47</v>
          </cell>
          <cell r="AP25">
            <v>2.1</v>
          </cell>
          <cell r="AQ25">
            <v>1.1100000000000001</v>
          </cell>
          <cell r="AS25">
            <v>1.97</v>
          </cell>
          <cell r="AT25">
            <v>1.08</v>
          </cell>
          <cell r="AV25">
            <v>2.02</v>
          </cell>
          <cell r="AW25">
            <v>1.1000000000000001</v>
          </cell>
        </row>
        <row r="26">
          <cell r="H26">
            <v>7.3</v>
          </cell>
          <cell r="I26">
            <v>3570</v>
          </cell>
          <cell r="J26">
            <v>60</v>
          </cell>
          <cell r="K26">
            <v>7.3</v>
          </cell>
          <cell r="L26">
            <v>3530</v>
          </cell>
          <cell r="M26">
            <v>52</v>
          </cell>
          <cell r="N26">
            <v>7.3</v>
          </cell>
          <cell r="O26">
            <v>6180</v>
          </cell>
          <cell r="P26">
            <v>68</v>
          </cell>
          <cell r="Q26">
            <v>7.3</v>
          </cell>
          <cell r="R26">
            <v>3580</v>
          </cell>
          <cell r="S26">
            <v>68</v>
          </cell>
          <cell r="T26">
            <v>7.3</v>
          </cell>
          <cell r="U26">
            <v>3550</v>
          </cell>
          <cell r="V26">
            <v>50</v>
          </cell>
          <cell r="W26">
            <v>7.2</v>
          </cell>
          <cell r="X26">
            <v>3620</v>
          </cell>
          <cell r="Y26">
            <v>55</v>
          </cell>
          <cell r="AA26"/>
          <cell r="AB26"/>
          <cell r="AD26"/>
          <cell r="AE26"/>
          <cell r="AG26"/>
          <cell r="AH26"/>
          <cell r="AJ26"/>
          <cell r="AK26"/>
          <cell r="AM26"/>
          <cell r="AN26"/>
          <cell r="AP26"/>
          <cell r="AQ26"/>
          <cell r="AS26"/>
          <cell r="AT26"/>
          <cell r="AV26"/>
          <cell r="AW26"/>
        </row>
        <row r="27">
          <cell r="H27">
            <v>7.2</v>
          </cell>
          <cell r="I27">
            <v>3700</v>
          </cell>
          <cell r="J27">
            <v>50</v>
          </cell>
          <cell r="K27">
            <v>7.2</v>
          </cell>
          <cell r="L27">
            <v>3540</v>
          </cell>
          <cell r="M27">
            <v>45</v>
          </cell>
          <cell r="N27">
            <v>7.4</v>
          </cell>
          <cell r="O27">
            <v>5890</v>
          </cell>
          <cell r="P27">
            <v>65</v>
          </cell>
          <cell r="Q27">
            <v>7.2</v>
          </cell>
          <cell r="R27">
            <v>3680</v>
          </cell>
          <cell r="S27">
            <v>55</v>
          </cell>
          <cell r="T27">
            <v>7.2</v>
          </cell>
          <cell r="U27">
            <v>3730</v>
          </cell>
          <cell r="V27">
            <v>48</v>
          </cell>
          <cell r="W27">
            <v>7.1</v>
          </cell>
          <cell r="X27">
            <v>3920</v>
          </cell>
          <cell r="Y27">
            <v>52</v>
          </cell>
          <cell r="AA27"/>
          <cell r="AB27"/>
          <cell r="AD27"/>
          <cell r="AE27"/>
          <cell r="AG27"/>
          <cell r="AH27"/>
          <cell r="AJ27"/>
          <cell r="AK27"/>
          <cell r="AM27"/>
          <cell r="AN27"/>
          <cell r="AP27"/>
          <cell r="AQ27"/>
          <cell r="AS27"/>
          <cell r="AT27"/>
          <cell r="AV27"/>
          <cell r="AW27"/>
        </row>
        <row r="28">
          <cell r="H28">
            <v>7.1</v>
          </cell>
          <cell r="I28">
            <v>3740</v>
          </cell>
          <cell r="J28">
            <v>50</v>
          </cell>
          <cell r="K28">
            <v>7.2</v>
          </cell>
          <cell r="L28">
            <v>3250</v>
          </cell>
          <cell r="M28">
            <v>45</v>
          </cell>
          <cell r="N28">
            <v>7.3</v>
          </cell>
          <cell r="O28">
            <v>5720</v>
          </cell>
          <cell r="P28">
            <v>68</v>
          </cell>
          <cell r="Q28">
            <v>7.2</v>
          </cell>
          <cell r="R28">
            <v>3550</v>
          </cell>
          <cell r="S28">
            <v>58</v>
          </cell>
          <cell r="T28">
            <v>7.2</v>
          </cell>
          <cell r="U28">
            <v>3660</v>
          </cell>
          <cell r="V28">
            <v>48</v>
          </cell>
          <cell r="W28">
            <v>7.2</v>
          </cell>
          <cell r="X28">
            <v>3630</v>
          </cell>
          <cell r="Y28">
            <v>48</v>
          </cell>
          <cell r="AA28"/>
          <cell r="AB28"/>
          <cell r="AD28"/>
          <cell r="AE28"/>
          <cell r="AG28"/>
          <cell r="AH28"/>
          <cell r="AJ28"/>
          <cell r="AK28"/>
          <cell r="AM28"/>
          <cell r="AN28"/>
          <cell r="AP28"/>
          <cell r="AQ28"/>
          <cell r="AS28"/>
          <cell r="AT28"/>
          <cell r="AV28"/>
          <cell r="AW28"/>
        </row>
        <row r="29">
          <cell r="H29">
            <v>7.2</v>
          </cell>
          <cell r="I29">
            <v>3620</v>
          </cell>
          <cell r="J29">
            <v>50</v>
          </cell>
          <cell r="K29">
            <v>7.1</v>
          </cell>
          <cell r="L29">
            <v>3610</v>
          </cell>
          <cell r="M29">
            <v>40</v>
          </cell>
          <cell r="N29">
            <v>7.3</v>
          </cell>
          <cell r="O29">
            <v>5740</v>
          </cell>
          <cell r="P29">
            <v>78</v>
          </cell>
          <cell r="Q29">
            <v>7.2</v>
          </cell>
          <cell r="R29">
            <v>3680</v>
          </cell>
          <cell r="S29">
            <v>60</v>
          </cell>
          <cell r="T29">
            <v>7.1</v>
          </cell>
          <cell r="U29">
            <v>3790</v>
          </cell>
          <cell r="V29">
            <v>50</v>
          </cell>
          <cell r="W29">
            <v>7.1</v>
          </cell>
          <cell r="X29">
            <v>3730</v>
          </cell>
          <cell r="Y29">
            <v>50</v>
          </cell>
          <cell r="AA29"/>
          <cell r="AB29"/>
          <cell r="AD29"/>
          <cell r="AE29"/>
          <cell r="AG29"/>
          <cell r="AH29"/>
          <cell r="AJ29"/>
          <cell r="AK29"/>
          <cell r="AM29"/>
          <cell r="AN29"/>
          <cell r="AP29"/>
          <cell r="AQ29"/>
          <cell r="AS29"/>
          <cell r="AT29"/>
          <cell r="AV29"/>
          <cell r="AW29"/>
        </row>
        <row r="30">
          <cell r="H30">
            <v>7.2</v>
          </cell>
          <cell r="I30">
            <v>4090</v>
          </cell>
          <cell r="J30">
            <v>45</v>
          </cell>
          <cell r="K30">
            <v>7.2</v>
          </cell>
          <cell r="L30">
            <v>3750</v>
          </cell>
          <cell r="M30">
            <v>42</v>
          </cell>
          <cell r="N30">
            <v>7.4</v>
          </cell>
          <cell r="O30">
            <v>5630</v>
          </cell>
          <cell r="P30">
            <v>70</v>
          </cell>
          <cell r="Q30">
            <v>7.2</v>
          </cell>
          <cell r="R30">
            <v>3740</v>
          </cell>
          <cell r="S30">
            <v>45</v>
          </cell>
          <cell r="T30">
            <v>7.2</v>
          </cell>
          <cell r="U30">
            <v>3920</v>
          </cell>
          <cell r="V30">
            <v>45</v>
          </cell>
          <cell r="W30">
            <v>7.2</v>
          </cell>
          <cell r="X30">
            <v>4030</v>
          </cell>
          <cell r="Y30">
            <v>50</v>
          </cell>
          <cell r="AA30"/>
          <cell r="AB30"/>
          <cell r="AD30"/>
          <cell r="AE30"/>
          <cell r="AG30"/>
          <cell r="AH30"/>
          <cell r="AJ30"/>
          <cell r="AK30"/>
          <cell r="AM30"/>
          <cell r="AN30"/>
          <cell r="AP30"/>
          <cell r="AQ30"/>
          <cell r="AS30"/>
          <cell r="AT30"/>
          <cell r="AV30"/>
          <cell r="AW30"/>
        </row>
        <row r="31">
          <cell r="H31">
            <v>7.2</v>
          </cell>
          <cell r="I31">
            <v>3810</v>
          </cell>
          <cell r="J31">
            <v>50</v>
          </cell>
          <cell r="K31">
            <v>7.2</v>
          </cell>
          <cell r="L31">
            <v>3520</v>
          </cell>
          <cell r="M31">
            <v>50</v>
          </cell>
          <cell r="N31">
            <v>7.3</v>
          </cell>
          <cell r="O31">
            <v>5960</v>
          </cell>
          <cell r="P31">
            <v>55</v>
          </cell>
          <cell r="Q31">
            <v>7.2</v>
          </cell>
          <cell r="R31">
            <v>3620</v>
          </cell>
          <cell r="S31">
            <v>42</v>
          </cell>
          <cell r="T31">
            <v>7.2</v>
          </cell>
          <cell r="U31">
            <v>3760</v>
          </cell>
          <cell r="V31">
            <v>42</v>
          </cell>
          <cell r="W31">
            <v>7.2</v>
          </cell>
          <cell r="X31">
            <v>3720</v>
          </cell>
          <cell r="Y31">
            <v>42</v>
          </cell>
          <cell r="AA31"/>
          <cell r="AB31"/>
          <cell r="AD31"/>
          <cell r="AE31"/>
          <cell r="AG31"/>
          <cell r="AH31"/>
          <cell r="AJ31"/>
          <cell r="AK31"/>
          <cell r="AM31"/>
          <cell r="AN31"/>
          <cell r="AP31"/>
          <cell r="AQ31"/>
          <cell r="AS31"/>
          <cell r="AT31"/>
          <cell r="AV31"/>
          <cell r="AW31"/>
        </row>
        <row r="32">
          <cell r="H32">
            <v>7.2</v>
          </cell>
          <cell r="I32">
            <v>3800</v>
          </cell>
          <cell r="J32">
            <v>58</v>
          </cell>
          <cell r="K32">
            <v>7.2</v>
          </cell>
          <cell r="L32">
            <v>3870</v>
          </cell>
          <cell r="M32">
            <v>50</v>
          </cell>
          <cell r="N32">
            <v>7.3</v>
          </cell>
          <cell r="O32">
            <v>5510</v>
          </cell>
          <cell r="P32">
            <v>98</v>
          </cell>
          <cell r="Q32">
            <v>7.2</v>
          </cell>
          <cell r="R32">
            <v>4130</v>
          </cell>
          <cell r="S32">
            <v>45</v>
          </cell>
          <cell r="T32">
            <v>7.2</v>
          </cell>
          <cell r="U32">
            <v>3580</v>
          </cell>
          <cell r="V32">
            <v>48</v>
          </cell>
          <cell r="W32">
            <v>7.2</v>
          </cell>
          <cell r="X32">
            <v>3830</v>
          </cell>
          <cell r="Y32">
            <v>48</v>
          </cell>
          <cell r="AA32">
            <v>2.12</v>
          </cell>
          <cell r="AB32">
            <v>0.95</v>
          </cell>
          <cell r="AD32">
            <v>1.7</v>
          </cell>
          <cell r="AE32">
            <v>0.9</v>
          </cell>
          <cell r="AG32">
            <v>1.89</v>
          </cell>
          <cell r="AH32">
            <v>1.06</v>
          </cell>
          <cell r="AJ32">
            <v>1.83</v>
          </cell>
          <cell r="AK32">
            <v>1.03</v>
          </cell>
          <cell r="AM32">
            <v>2.36</v>
          </cell>
          <cell r="AN32">
            <v>1.42</v>
          </cell>
          <cell r="AP32">
            <v>1.87</v>
          </cell>
          <cell r="AQ32">
            <v>1.03</v>
          </cell>
          <cell r="AS32">
            <v>1.85</v>
          </cell>
          <cell r="AT32">
            <v>1.03</v>
          </cell>
          <cell r="AV32">
            <v>184</v>
          </cell>
          <cell r="AW32">
            <v>1.04</v>
          </cell>
        </row>
        <row r="33">
          <cell r="H33">
            <v>7.2</v>
          </cell>
          <cell r="I33">
            <v>3710</v>
          </cell>
          <cell r="J33">
            <v>58</v>
          </cell>
          <cell r="K33">
            <v>7.3</v>
          </cell>
          <cell r="L33">
            <v>3540</v>
          </cell>
          <cell r="M33">
            <v>52</v>
          </cell>
          <cell r="N33">
            <v>7.3</v>
          </cell>
          <cell r="O33">
            <v>5390</v>
          </cell>
          <cell r="P33">
            <v>82</v>
          </cell>
          <cell r="Q33">
            <v>7.3</v>
          </cell>
          <cell r="R33">
            <v>3650</v>
          </cell>
          <cell r="S33">
            <v>62</v>
          </cell>
          <cell r="T33">
            <v>7.3</v>
          </cell>
          <cell r="U33">
            <v>3500</v>
          </cell>
          <cell r="V33">
            <v>45</v>
          </cell>
          <cell r="W33">
            <v>7.3</v>
          </cell>
          <cell r="X33">
            <v>3540</v>
          </cell>
          <cell r="Y33">
            <v>50</v>
          </cell>
          <cell r="AA33"/>
          <cell r="AB33"/>
          <cell r="AD33"/>
          <cell r="AE33"/>
          <cell r="AG33"/>
          <cell r="AH33"/>
          <cell r="AJ33"/>
          <cell r="AK33"/>
          <cell r="AM33"/>
          <cell r="AN33"/>
          <cell r="AP33"/>
          <cell r="AQ33"/>
          <cell r="AS33"/>
          <cell r="AT33"/>
          <cell r="AV33"/>
          <cell r="AW33"/>
        </row>
        <row r="34">
          <cell r="H34">
            <v>7.2</v>
          </cell>
          <cell r="I34">
            <v>3690</v>
          </cell>
          <cell r="J34">
            <v>48</v>
          </cell>
          <cell r="K34">
            <v>7.2</v>
          </cell>
          <cell r="L34">
            <v>3630</v>
          </cell>
          <cell r="M34">
            <v>40</v>
          </cell>
          <cell r="N34">
            <v>7.5</v>
          </cell>
          <cell r="O34">
            <v>6200</v>
          </cell>
          <cell r="P34">
            <v>80</v>
          </cell>
          <cell r="Q34">
            <v>7.2</v>
          </cell>
          <cell r="R34">
            <v>3630</v>
          </cell>
          <cell r="S34">
            <v>52</v>
          </cell>
          <cell r="T34">
            <v>7.2</v>
          </cell>
          <cell r="U34">
            <v>3750</v>
          </cell>
          <cell r="V34">
            <v>50</v>
          </cell>
          <cell r="W34">
            <v>7.2</v>
          </cell>
          <cell r="X34">
            <v>3690</v>
          </cell>
          <cell r="Y34">
            <v>40</v>
          </cell>
          <cell r="AA34"/>
          <cell r="AB34"/>
          <cell r="AD34"/>
          <cell r="AE34"/>
          <cell r="AG34"/>
          <cell r="AH34"/>
          <cell r="AJ34"/>
          <cell r="AK34"/>
          <cell r="AM34"/>
          <cell r="AN34"/>
          <cell r="AP34"/>
          <cell r="AQ34"/>
          <cell r="AS34"/>
          <cell r="AT34"/>
          <cell r="AV34"/>
          <cell r="AW34"/>
        </row>
      </sheetData>
      <sheetData sheetId="7">
        <row r="4">
          <cell r="B4">
            <v>4.1900000000000004</v>
          </cell>
          <cell r="C4">
            <v>3.49</v>
          </cell>
          <cell r="D4">
            <v>83.293556085918851</v>
          </cell>
        </row>
        <row r="5">
          <cell r="B5">
            <v>3.94</v>
          </cell>
          <cell r="C5">
            <v>3.39</v>
          </cell>
          <cell r="D5">
            <v>86.040609137055839</v>
          </cell>
        </row>
        <row r="6">
          <cell r="B6">
            <v>4.3</v>
          </cell>
          <cell r="C6">
            <v>3.61</v>
          </cell>
          <cell r="D6">
            <v>83.95348837209302</v>
          </cell>
        </row>
        <row r="7">
          <cell r="B7">
            <v>4.6900000000000004</v>
          </cell>
          <cell r="C7">
            <v>3.87</v>
          </cell>
          <cell r="D7">
            <v>82.479784366576823</v>
          </cell>
        </row>
        <row r="8">
          <cell r="B8">
            <v>3.71</v>
          </cell>
          <cell r="C8">
            <v>3.06</v>
          </cell>
          <cell r="D8">
            <v>79.241071428571416</v>
          </cell>
        </row>
        <row r="9">
          <cell r="B9">
            <v>4.4800000000000004</v>
          </cell>
          <cell r="C9">
            <v>3.55</v>
          </cell>
          <cell r="D9">
            <v>77.831325301204814</v>
          </cell>
        </row>
        <row r="10">
          <cell r="B10">
            <v>4.1500000000000004</v>
          </cell>
          <cell r="C10">
            <v>3.23</v>
          </cell>
          <cell r="D10">
            <v>80.519480519480524</v>
          </cell>
        </row>
        <row r="11">
          <cell r="B11">
            <v>3.85</v>
          </cell>
          <cell r="C11">
            <v>3.1</v>
          </cell>
          <cell r="D11">
            <v>80.434782608695642</v>
          </cell>
        </row>
        <row r="12">
          <cell r="B12">
            <v>3.68</v>
          </cell>
          <cell r="C12">
            <v>2.96</v>
          </cell>
          <cell r="D12">
            <v>82.338902147971353</v>
          </cell>
        </row>
        <row r="13">
          <cell r="B13">
            <v>4.1900000000000004</v>
          </cell>
          <cell r="C13">
            <v>3.45</v>
          </cell>
          <cell r="D13">
            <v>83.522727272727266</v>
          </cell>
        </row>
        <row r="14">
          <cell r="B14">
            <v>3.52</v>
          </cell>
          <cell r="C14">
            <v>2.94</v>
          </cell>
          <cell r="D14">
            <v>84.090909090909093</v>
          </cell>
        </row>
        <row r="15">
          <cell r="B15">
            <v>3.96</v>
          </cell>
          <cell r="C15">
            <v>3.33</v>
          </cell>
          <cell r="D15">
            <v>85.013623978201636</v>
          </cell>
        </row>
        <row r="16">
          <cell r="B16">
            <v>3.67</v>
          </cell>
          <cell r="C16">
            <v>3.12</v>
          </cell>
          <cell r="D16">
            <v>97.5</v>
          </cell>
        </row>
        <row r="17">
          <cell r="B17">
            <v>3.2</v>
          </cell>
          <cell r="C17">
            <v>2.78</v>
          </cell>
          <cell r="D17">
            <v>121.39737991266375</v>
          </cell>
        </row>
        <row r="18">
          <cell r="B18">
            <v>2.29</v>
          </cell>
          <cell r="C18">
            <v>2</v>
          </cell>
          <cell r="D18">
            <v>71.428571428571431</v>
          </cell>
        </row>
        <row r="19">
          <cell r="B19">
            <v>2.8</v>
          </cell>
          <cell r="C19">
            <v>2.27</v>
          </cell>
          <cell r="D19">
            <v>43.653846153846153</v>
          </cell>
        </row>
        <row r="20">
          <cell r="B20">
            <v>5.2</v>
          </cell>
          <cell r="C20">
            <v>3.92</v>
          </cell>
          <cell r="D20">
            <v>113.29479768786128</v>
          </cell>
        </row>
        <row r="21">
          <cell r="B21">
            <v>3.46</v>
          </cell>
          <cell r="C21">
            <v>2.91</v>
          </cell>
          <cell r="D21">
            <v>63.123644251626899</v>
          </cell>
        </row>
        <row r="22">
          <cell r="B22">
            <v>4.6100000000000003</v>
          </cell>
          <cell r="C22">
            <v>2.91</v>
          </cell>
          <cell r="D22">
            <v>63.398692810457526</v>
          </cell>
        </row>
        <row r="23">
          <cell r="B23">
            <v>4.59</v>
          </cell>
          <cell r="C23">
            <v>2.95</v>
          </cell>
          <cell r="D23">
            <v>82.86516853932585</v>
          </cell>
        </row>
        <row r="24">
          <cell r="B24">
            <v>3.56</v>
          </cell>
          <cell r="C24">
            <v>2.59</v>
          </cell>
          <cell r="D24">
            <v>60.092807424593971</v>
          </cell>
        </row>
        <row r="25">
          <cell r="B25">
            <v>4.3099999999999996</v>
          </cell>
          <cell r="C25">
            <v>3.64</v>
          </cell>
          <cell r="D25">
            <v>91</v>
          </cell>
        </row>
        <row r="26">
          <cell r="B26">
            <v>4</v>
          </cell>
          <cell r="C26">
            <v>3.05</v>
          </cell>
          <cell r="D26">
            <v>79.015544041450781</v>
          </cell>
        </row>
        <row r="27">
          <cell r="B27">
            <v>3.86</v>
          </cell>
          <cell r="C27">
            <v>3.02</v>
          </cell>
          <cell r="D27">
            <v>75.124378109452749</v>
          </cell>
        </row>
        <row r="28">
          <cell r="B28">
            <v>4.0199999999999996</v>
          </cell>
          <cell r="C28">
            <v>3.4</v>
          </cell>
          <cell r="D28">
            <v>74.398249452954047</v>
          </cell>
        </row>
        <row r="29">
          <cell r="B29">
            <v>4.57</v>
          </cell>
          <cell r="C29">
            <v>3.79</v>
          </cell>
          <cell r="D29">
            <v>135.84229390681003</v>
          </cell>
        </row>
        <row r="30">
          <cell r="B30">
            <v>2.79</v>
          </cell>
          <cell r="C30">
            <v>2.39</v>
          </cell>
          <cell r="D30">
            <v>55.710955710955709</v>
          </cell>
        </row>
        <row r="31">
          <cell r="B31">
            <v>4.29</v>
          </cell>
          <cell r="C31">
            <v>3.77</v>
          </cell>
          <cell r="D31">
            <v>108.64553314121036</v>
          </cell>
        </row>
        <row r="32">
          <cell r="B32">
            <v>3.47</v>
          </cell>
          <cell r="C32">
            <v>3.02</v>
          </cell>
          <cell r="D32">
            <v>84.122562674094709</v>
          </cell>
        </row>
        <row r="33">
          <cell r="B33">
            <v>3.59</v>
          </cell>
          <cell r="C33">
            <v>3.1</v>
          </cell>
          <cell r="D33">
            <v>75.980392156862735</v>
          </cell>
        </row>
        <row r="34">
          <cell r="B34">
            <v>4.08</v>
          </cell>
          <cell r="C34">
            <v>3.42</v>
          </cell>
          <cell r="D34">
            <v>83.82352941176471</v>
          </cell>
        </row>
      </sheetData>
      <sheetData sheetId="8">
        <row r="4">
          <cell r="B4">
            <v>4.07</v>
          </cell>
          <cell r="C4">
            <v>3.08</v>
          </cell>
          <cell r="D4">
            <v>75.675675675675663</v>
          </cell>
        </row>
        <row r="5">
          <cell r="B5">
            <v>4.3600000000000003</v>
          </cell>
          <cell r="C5">
            <v>3.21</v>
          </cell>
          <cell r="D5">
            <v>73.623853211009177</v>
          </cell>
        </row>
        <row r="6">
          <cell r="B6">
            <v>4.7300000000000004</v>
          </cell>
          <cell r="C6">
            <v>3.54</v>
          </cell>
          <cell r="D6">
            <v>74.841437632135296</v>
          </cell>
        </row>
        <row r="7">
          <cell r="B7">
            <v>4.0599999999999996</v>
          </cell>
          <cell r="C7">
            <v>3.05</v>
          </cell>
          <cell r="D7">
            <v>75.123152709359601</v>
          </cell>
        </row>
        <row r="8">
          <cell r="B8">
            <v>4.24</v>
          </cell>
          <cell r="C8">
            <v>3.16</v>
          </cell>
          <cell r="D8">
            <v>74.528301886792448</v>
          </cell>
        </row>
        <row r="9">
          <cell r="B9">
            <v>4.0199999999999996</v>
          </cell>
          <cell r="C9">
            <v>3</v>
          </cell>
          <cell r="D9">
            <v>74.626865671641795</v>
          </cell>
        </row>
        <row r="10">
          <cell r="B10">
            <v>4.05</v>
          </cell>
          <cell r="C10">
            <v>3.09</v>
          </cell>
          <cell r="D10">
            <v>76.296296296296291</v>
          </cell>
        </row>
        <row r="11">
          <cell r="B11">
            <v>4.25</v>
          </cell>
          <cell r="C11">
            <v>3.3</v>
          </cell>
          <cell r="D11">
            <v>77.647058823529406</v>
          </cell>
        </row>
        <row r="12">
          <cell r="B12">
            <v>4.17</v>
          </cell>
          <cell r="C12">
            <v>3.21</v>
          </cell>
          <cell r="D12">
            <v>76.978417266187051</v>
          </cell>
        </row>
        <row r="13">
          <cell r="B13">
            <v>4.01</v>
          </cell>
          <cell r="C13">
            <v>3.07</v>
          </cell>
          <cell r="D13">
            <v>76.558603491271825</v>
          </cell>
        </row>
        <row r="14">
          <cell r="B14">
            <v>3.73</v>
          </cell>
          <cell r="C14">
            <v>2.79</v>
          </cell>
          <cell r="D14">
            <v>74.798927613941018</v>
          </cell>
        </row>
        <row r="15">
          <cell r="B15">
            <v>4.07</v>
          </cell>
          <cell r="C15">
            <v>3.07</v>
          </cell>
          <cell r="D15">
            <v>75.429975429975414</v>
          </cell>
        </row>
        <row r="16">
          <cell r="B16">
            <v>3.95</v>
          </cell>
          <cell r="C16">
            <v>2.98</v>
          </cell>
          <cell r="D16">
            <v>75.443037974683534</v>
          </cell>
        </row>
        <row r="17">
          <cell r="B17">
            <v>3.66</v>
          </cell>
          <cell r="C17">
            <v>2.77</v>
          </cell>
          <cell r="D17">
            <v>75.683060109289613</v>
          </cell>
        </row>
        <row r="18">
          <cell r="B18">
            <v>3.85</v>
          </cell>
          <cell r="C18">
            <v>2.86</v>
          </cell>
          <cell r="D18">
            <v>74.285714285714278</v>
          </cell>
        </row>
        <row r="19">
          <cell r="B19">
            <v>4.05</v>
          </cell>
          <cell r="C19">
            <v>3</v>
          </cell>
          <cell r="D19">
            <v>74.074074074074076</v>
          </cell>
        </row>
        <row r="20">
          <cell r="B20">
            <v>3.78</v>
          </cell>
          <cell r="C20">
            <v>2.88</v>
          </cell>
          <cell r="D20">
            <v>76.19047619047619</v>
          </cell>
        </row>
        <row r="21">
          <cell r="B21">
            <v>3.63</v>
          </cell>
          <cell r="C21">
            <v>2.71</v>
          </cell>
          <cell r="D21">
            <v>74.655647382920108</v>
          </cell>
        </row>
        <row r="22">
          <cell r="B22">
            <v>3.96</v>
          </cell>
          <cell r="C22">
            <v>2.95</v>
          </cell>
          <cell r="D22">
            <v>74.494949494949509</v>
          </cell>
        </row>
        <row r="23">
          <cell r="B23">
            <v>4.53</v>
          </cell>
          <cell r="C23">
            <v>3.36</v>
          </cell>
          <cell r="D23">
            <v>74.172185430463571</v>
          </cell>
        </row>
        <row r="24">
          <cell r="B24">
            <v>4.87</v>
          </cell>
          <cell r="C24">
            <v>3.6</v>
          </cell>
          <cell r="D24">
            <v>73.921971252566735</v>
          </cell>
        </row>
        <row r="25">
          <cell r="B25">
            <v>4.29</v>
          </cell>
          <cell r="C25">
            <v>3.16</v>
          </cell>
          <cell r="D25">
            <v>73.659673659673658</v>
          </cell>
        </row>
        <row r="26">
          <cell r="B26">
            <v>4.26</v>
          </cell>
          <cell r="C26">
            <v>3.2</v>
          </cell>
          <cell r="D26">
            <v>75.117370892018783</v>
          </cell>
        </row>
        <row r="27">
          <cell r="B27">
            <v>4.41</v>
          </cell>
          <cell r="C27">
            <v>3.28</v>
          </cell>
          <cell r="D27">
            <v>74.37641723356009</v>
          </cell>
        </row>
        <row r="28">
          <cell r="B28">
            <v>3.82</v>
          </cell>
          <cell r="C28">
            <v>2.84</v>
          </cell>
          <cell r="D28">
            <v>74.345549738219901</v>
          </cell>
        </row>
        <row r="29">
          <cell r="B29">
            <v>3.6</v>
          </cell>
          <cell r="C29">
            <v>2.73</v>
          </cell>
          <cell r="D29">
            <v>75.833333333333329</v>
          </cell>
        </row>
        <row r="30">
          <cell r="B30">
            <v>4.2699999999999996</v>
          </cell>
          <cell r="C30">
            <v>3.21</v>
          </cell>
          <cell r="D30">
            <v>75.175644028103051</v>
          </cell>
        </row>
        <row r="31">
          <cell r="B31">
            <v>4.2300000000000004</v>
          </cell>
          <cell r="C31">
            <v>3.2</v>
          </cell>
          <cell r="D31">
            <v>75.650118203309688</v>
          </cell>
        </row>
        <row r="32">
          <cell r="B32">
            <v>4.24</v>
          </cell>
          <cell r="C32">
            <v>3.17</v>
          </cell>
          <cell r="D32">
            <v>74.764150943396217</v>
          </cell>
        </row>
        <row r="33">
          <cell r="B33">
            <v>3.84</v>
          </cell>
          <cell r="C33">
            <v>2.85</v>
          </cell>
          <cell r="D33">
            <v>74.21875</v>
          </cell>
        </row>
        <row r="34">
          <cell r="B34">
            <v>4.58</v>
          </cell>
          <cell r="C34">
            <v>3.36</v>
          </cell>
          <cell r="D34">
            <v>73.362445414847159</v>
          </cell>
        </row>
      </sheetData>
      <sheetData sheetId="9">
        <row r="4">
          <cell r="B4">
            <v>1.78</v>
          </cell>
          <cell r="C4">
            <v>0.96</v>
          </cell>
          <cell r="D4">
            <v>0.16</v>
          </cell>
          <cell r="H4">
            <v>0.06</v>
          </cell>
        </row>
        <row r="5">
          <cell r="B5"/>
          <cell r="C5"/>
          <cell r="D5"/>
          <cell r="H5"/>
        </row>
        <row r="6">
          <cell r="B6"/>
          <cell r="C6"/>
          <cell r="D6"/>
          <cell r="H6"/>
        </row>
        <row r="7">
          <cell r="B7"/>
          <cell r="C7"/>
          <cell r="D7"/>
          <cell r="H7"/>
        </row>
        <row r="8">
          <cell r="B8"/>
          <cell r="C8"/>
          <cell r="D8"/>
          <cell r="H8"/>
        </row>
        <row r="9">
          <cell r="B9"/>
          <cell r="C9"/>
          <cell r="D9"/>
          <cell r="H9"/>
        </row>
        <row r="10">
          <cell r="B10"/>
          <cell r="C10"/>
          <cell r="D10"/>
          <cell r="H10"/>
        </row>
        <row r="11">
          <cell r="B11">
            <v>1.69</v>
          </cell>
          <cell r="C11">
            <v>0.93</v>
          </cell>
          <cell r="D11">
            <v>0.1</v>
          </cell>
          <cell r="H11">
            <v>0.03</v>
          </cell>
        </row>
        <row r="12">
          <cell r="B12"/>
          <cell r="C12"/>
          <cell r="D12"/>
          <cell r="H12"/>
        </row>
        <row r="13">
          <cell r="B13"/>
          <cell r="C13"/>
          <cell r="D13"/>
          <cell r="H13"/>
        </row>
        <row r="14">
          <cell r="B14"/>
          <cell r="C14"/>
          <cell r="D14"/>
          <cell r="H14"/>
        </row>
        <row r="15">
          <cell r="B15"/>
          <cell r="C15"/>
          <cell r="D15"/>
          <cell r="H15"/>
        </row>
        <row r="16">
          <cell r="B16"/>
          <cell r="C16"/>
          <cell r="D16"/>
          <cell r="H16"/>
        </row>
        <row r="17">
          <cell r="B17"/>
          <cell r="C17"/>
          <cell r="D17"/>
          <cell r="H17"/>
        </row>
        <row r="18">
          <cell r="B18">
            <v>1.68</v>
          </cell>
          <cell r="C18">
            <v>0.93</v>
          </cell>
          <cell r="D18">
            <v>0.1</v>
          </cell>
          <cell r="H18">
            <v>0.03</v>
          </cell>
        </row>
        <row r="19">
          <cell r="B19"/>
          <cell r="C19"/>
          <cell r="D19"/>
          <cell r="H19"/>
        </row>
        <row r="20">
          <cell r="B20"/>
          <cell r="C20"/>
          <cell r="D20"/>
          <cell r="H20"/>
        </row>
        <row r="21">
          <cell r="B21"/>
          <cell r="C21"/>
          <cell r="D21"/>
          <cell r="H21"/>
        </row>
        <row r="22">
          <cell r="B22"/>
          <cell r="C22"/>
          <cell r="D22"/>
          <cell r="H22"/>
        </row>
        <row r="23">
          <cell r="B23"/>
          <cell r="C23"/>
          <cell r="D23"/>
          <cell r="H23"/>
        </row>
        <row r="24">
          <cell r="B24"/>
          <cell r="C24"/>
          <cell r="D24"/>
          <cell r="H24"/>
        </row>
        <row r="25">
          <cell r="B25">
            <v>1.69</v>
          </cell>
          <cell r="C25">
            <v>0.94</v>
          </cell>
          <cell r="D25">
            <v>0.11</v>
          </cell>
          <cell r="H25">
            <v>0.04</v>
          </cell>
        </row>
        <row r="26">
          <cell r="B26"/>
          <cell r="C26"/>
          <cell r="D26"/>
          <cell r="H26"/>
        </row>
        <row r="27">
          <cell r="B27"/>
          <cell r="C27"/>
          <cell r="D27"/>
          <cell r="H27"/>
        </row>
        <row r="28">
          <cell r="B28"/>
          <cell r="C28"/>
          <cell r="D28"/>
          <cell r="H28"/>
        </row>
        <row r="29">
          <cell r="B29"/>
          <cell r="C29"/>
          <cell r="D29"/>
          <cell r="H29"/>
        </row>
        <row r="30">
          <cell r="B30"/>
          <cell r="C30"/>
          <cell r="D30"/>
          <cell r="H30"/>
        </row>
        <row r="31">
          <cell r="B31"/>
          <cell r="C31"/>
          <cell r="D31"/>
          <cell r="H31"/>
        </row>
        <row r="32">
          <cell r="B32">
            <v>1.7</v>
          </cell>
          <cell r="C32">
            <v>0.93</v>
          </cell>
          <cell r="D32">
            <v>0.09</v>
          </cell>
          <cell r="H32">
            <v>0.04</v>
          </cell>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abSelected="1" zoomScale="85" zoomScaleNormal="100" workbookViewId="0"/>
  </sheetViews>
  <sheetFormatPr defaultColWidth="21.5703125" defaultRowHeight="12.75" x14ac:dyDescent="0.2"/>
  <sheetData>
    <row r="1" spans="1:13" ht="30" customHeight="1" x14ac:dyDescent="0.2">
      <c r="A1" s="1523"/>
      <c r="C1" s="614"/>
    </row>
    <row r="2" spans="1:13" ht="30" customHeight="1" x14ac:dyDescent="0.5">
      <c r="B2" s="17"/>
      <c r="C2" s="614"/>
      <c r="D2" s="131"/>
      <c r="M2" s="1497"/>
    </row>
    <row r="3" spans="1:13" ht="30" customHeight="1" x14ac:dyDescent="0.2">
      <c r="M3" s="1"/>
    </row>
    <row r="4" spans="1:13" ht="30" customHeight="1" x14ac:dyDescent="0.2">
      <c r="B4" s="131"/>
      <c r="M4" s="1"/>
    </row>
    <row r="5" spans="1:13" ht="30" customHeight="1" thickBot="1" x14ac:dyDescent="0.25">
      <c r="B5" s="1557"/>
      <c r="C5" s="1557"/>
      <c r="L5" s="1499"/>
      <c r="M5" s="1"/>
    </row>
    <row r="6" spans="1:13" ht="30" customHeight="1" thickBot="1" x14ac:dyDescent="0.55000000000000004">
      <c r="B6" s="1555">
        <f>B59</f>
        <v>43466</v>
      </c>
      <c r="C6" s="1556"/>
      <c r="D6" s="17"/>
      <c r="E6" s="1500" t="s">
        <v>756</v>
      </c>
      <c r="F6" s="50"/>
      <c r="G6" s="1562" t="str">
        <f>IF(OR(MONTH(B6)=3, MONTH(B6)=6,MONTH(B6)=9,MONTH(B6)=12),"Quarterly Month","Non-Quarterly Month")</f>
        <v>Non-Quarterly Month</v>
      </c>
      <c r="H6" s="1563"/>
      <c r="L6" s="1498"/>
      <c r="M6" s="1"/>
    </row>
    <row r="7" spans="1:13" ht="30" customHeight="1" thickBot="1" x14ac:dyDescent="0.25">
      <c r="A7" s="1561" t="s">
        <v>396</v>
      </c>
      <c r="B7" s="1561"/>
      <c r="C7" s="1561"/>
      <c r="D7" s="1561"/>
      <c r="E7" s="1501"/>
      <c r="G7" s="1564"/>
      <c r="H7" s="1565"/>
    </row>
    <row r="8" spans="1:13" ht="30" customHeight="1" thickBot="1" x14ac:dyDescent="0.25">
      <c r="E8" s="1502"/>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58" t="s">
        <v>742</v>
      </c>
      <c r="D15" s="1558"/>
      <c r="E15" s="1558"/>
      <c r="F15" s="1558"/>
      <c r="G15" s="1558"/>
      <c r="H15" s="1558"/>
      <c r="I15" s="1558"/>
      <c r="J15" s="1558"/>
    </row>
    <row r="16" spans="1:13" x14ac:dyDescent="0.2">
      <c r="B16" s="314"/>
      <c r="C16" s="1558"/>
      <c r="D16" s="1558"/>
      <c r="E16" s="1558"/>
      <c r="F16" s="1558"/>
      <c r="G16" s="1558"/>
      <c r="H16" s="1558"/>
      <c r="I16" s="1558"/>
      <c r="J16" s="1558"/>
    </row>
    <row r="17" spans="1:16" ht="14.25" x14ac:dyDescent="0.2">
      <c r="B17" s="660"/>
      <c r="C17" s="1559" t="s">
        <v>751</v>
      </c>
      <c r="D17" s="1559"/>
      <c r="E17" s="1559"/>
      <c r="F17" s="1559"/>
      <c r="G17" s="1559"/>
      <c r="H17" s="1559"/>
      <c r="I17" s="1559"/>
      <c r="J17" s="1559"/>
    </row>
    <row r="18" spans="1:16" ht="15" x14ac:dyDescent="0.25">
      <c r="C18" s="1560" t="s">
        <v>753</v>
      </c>
      <c r="D18" s="1560"/>
      <c r="E18" s="1560"/>
      <c r="F18" s="1560"/>
      <c r="G18" s="1560"/>
      <c r="H18" s="1560"/>
      <c r="I18" s="1560"/>
      <c r="J18" s="1560"/>
    </row>
    <row r="19" spans="1:16" ht="15.75" x14ac:dyDescent="0.25">
      <c r="C19" s="1553" t="s">
        <v>754</v>
      </c>
      <c r="D19" s="1553"/>
      <c r="E19" s="1553"/>
      <c r="F19" s="1553"/>
      <c r="G19" s="1553"/>
      <c r="H19" s="1553"/>
      <c r="I19" s="1553"/>
      <c r="J19" s="1553"/>
      <c r="O19" s="668"/>
    </row>
    <row r="20" spans="1:16" ht="15" x14ac:dyDescent="0.25">
      <c r="A20" s="1370"/>
      <c r="B20" s="1371"/>
      <c r="C20" s="1553" t="s">
        <v>752</v>
      </c>
      <c r="D20" s="1553"/>
      <c r="E20" s="1553"/>
      <c r="F20" s="1553"/>
      <c r="G20" s="1553"/>
      <c r="H20" s="1553"/>
      <c r="I20" s="1553"/>
      <c r="J20" s="1553"/>
    </row>
    <row r="21" spans="1:16" ht="15" x14ac:dyDescent="0.25">
      <c r="A21" s="1"/>
      <c r="B21" s="1"/>
      <c r="C21" s="1553" t="s">
        <v>755</v>
      </c>
      <c r="D21" s="1553"/>
      <c r="E21" s="1553"/>
      <c r="F21" s="1553"/>
      <c r="G21" s="1553"/>
      <c r="H21" s="1553"/>
      <c r="I21" s="1553"/>
      <c r="J21" s="1553"/>
    </row>
    <row r="22" spans="1:16" ht="15" x14ac:dyDescent="0.25">
      <c r="A22" s="1252"/>
      <c r="B22" s="1252"/>
      <c r="C22" s="1553" t="s">
        <v>805</v>
      </c>
      <c r="D22" s="1553"/>
      <c r="E22" s="1553"/>
      <c r="F22" s="1553"/>
      <c r="G22" s="1553"/>
      <c r="H22" s="1553"/>
      <c r="I22" s="1553"/>
      <c r="J22" s="1553"/>
    </row>
    <row r="23" spans="1:16" ht="15" x14ac:dyDescent="0.25">
      <c r="A23" s="1372"/>
      <c r="B23" s="1373"/>
      <c r="C23" s="1554" t="s">
        <v>809</v>
      </c>
      <c r="D23" s="1553"/>
      <c r="E23" s="1553"/>
      <c r="F23" s="1553"/>
      <c r="G23" s="1553"/>
      <c r="H23" s="1553"/>
      <c r="I23" s="1553"/>
      <c r="J23" s="1553"/>
    </row>
    <row r="24" spans="1:16" ht="15" x14ac:dyDescent="0.25">
      <c r="A24" s="1252"/>
      <c r="B24" s="1373"/>
      <c r="C24" s="1553"/>
      <c r="D24" s="1553"/>
      <c r="E24" s="1553"/>
      <c r="F24" s="1553"/>
      <c r="G24" s="1553"/>
      <c r="H24" s="1553"/>
      <c r="I24" s="1553"/>
      <c r="J24" s="1553"/>
    </row>
    <row r="25" spans="1:16" ht="15" x14ac:dyDescent="0.25">
      <c r="A25" s="1374"/>
      <c r="B25" s="1373"/>
      <c r="C25" s="1553"/>
      <c r="D25" s="1553"/>
      <c r="E25" s="1553"/>
      <c r="F25" s="1553"/>
      <c r="G25" s="1553"/>
      <c r="H25" s="1553"/>
      <c r="I25" s="1553"/>
      <c r="J25" s="1553"/>
    </row>
    <row r="26" spans="1:16" ht="15" x14ac:dyDescent="0.25">
      <c r="A26" s="1375"/>
      <c r="B26" s="1373"/>
      <c r="C26" s="1553"/>
      <c r="D26" s="1553"/>
      <c r="E26" s="1553"/>
      <c r="F26" s="1553"/>
      <c r="G26" s="1553"/>
      <c r="H26" s="1553"/>
      <c r="I26" s="1553"/>
      <c r="J26" s="1553"/>
    </row>
    <row r="27" spans="1:16" ht="15" x14ac:dyDescent="0.25">
      <c r="A27" s="1376"/>
      <c r="B27" s="1373"/>
      <c r="C27" s="1553"/>
      <c r="D27" s="1553"/>
      <c r="E27" s="1553"/>
      <c r="F27" s="1553"/>
      <c r="G27" s="1553"/>
      <c r="H27" s="1553"/>
      <c r="I27" s="1553"/>
      <c r="J27" s="1553"/>
    </row>
    <row r="28" spans="1:16" ht="15" x14ac:dyDescent="0.25">
      <c r="A28" s="1377"/>
      <c r="B28" s="1378"/>
      <c r="C28" s="1553"/>
      <c r="D28" s="1553"/>
      <c r="E28" s="1553"/>
      <c r="F28" s="1553"/>
      <c r="G28" s="1553"/>
      <c r="H28" s="1553"/>
      <c r="I28" s="1553"/>
      <c r="J28" s="1553"/>
      <c r="K28" s="36"/>
      <c r="L28" s="36"/>
      <c r="M28" s="36"/>
      <c r="N28" s="36"/>
      <c r="O28" s="36"/>
      <c r="P28" s="36"/>
    </row>
    <row r="29" spans="1:16" ht="18" x14ac:dyDescent="0.25">
      <c r="A29" s="1379"/>
      <c r="B29" s="1252"/>
      <c r="C29" s="1553"/>
      <c r="D29" s="1553"/>
      <c r="E29" s="1553"/>
      <c r="F29" s="1553"/>
      <c r="G29" s="1553"/>
      <c r="H29" s="1553"/>
      <c r="I29" s="1553"/>
      <c r="J29" s="1553"/>
    </row>
    <row r="30" spans="1:16" ht="18" x14ac:dyDescent="0.25">
      <c r="A30" s="1380"/>
      <c r="B30" s="1249"/>
      <c r="C30" s="1553"/>
      <c r="D30" s="1553"/>
      <c r="E30" s="1553"/>
      <c r="F30" s="1553"/>
      <c r="G30" s="1553"/>
      <c r="H30" s="1553"/>
      <c r="I30" s="1553"/>
      <c r="J30" s="1553"/>
    </row>
    <row r="31" spans="1:16" ht="22.15" customHeight="1" x14ac:dyDescent="0.25">
      <c r="B31" s="367"/>
      <c r="C31" s="1553"/>
      <c r="D31" s="1553"/>
      <c r="E31" s="1553"/>
      <c r="F31" s="1553"/>
      <c r="G31" s="1553"/>
      <c r="H31" s="1553"/>
      <c r="I31" s="1553"/>
      <c r="J31" s="1553"/>
    </row>
    <row r="32" spans="1:16" ht="22.15" customHeight="1" x14ac:dyDescent="0.25">
      <c r="C32" s="1553"/>
      <c r="D32" s="1553"/>
      <c r="E32" s="1553"/>
      <c r="F32" s="1553"/>
      <c r="G32" s="1553"/>
      <c r="H32" s="1553"/>
      <c r="I32" s="1553"/>
      <c r="J32" s="1553"/>
    </row>
    <row r="33" spans="1:4" ht="22.15" customHeight="1" x14ac:dyDescent="0.2">
      <c r="B33" s="315"/>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6" t="s">
        <v>726</v>
      </c>
      <c r="B47" s="626"/>
      <c r="C47" s="626"/>
    </row>
    <row r="48" spans="1:4" x14ac:dyDescent="0.2">
      <c r="A48" s="627" t="s">
        <v>729</v>
      </c>
      <c r="B48" s="626"/>
      <c r="C48" s="626"/>
    </row>
    <row r="49" spans="1:4" x14ac:dyDescent="0.2">
      <c r="A49" s="606" t="s">
        <v>725</v>
      </c>
      <c r="B49" s="607"/>
      <c r="C49" s="626"/>
    </row>
    <row r="50" spans="1:4" x14ac:dyDescent="0.2">
      <c r="A50" s="608" t="str">
        <f>A51&amp;A52</f>
        <v>01</v>
      </c>
      <c r="B50" s="609">
        <f>A59</f>
        <v>2019</v>
      </c>
      <c r="C50" s="607" t="str">
        <f>A50&amp;RIGHT(B50,2)</f>
        <v>0119</v>
      </c>
    </row>
    <row r="51" spans="1:4" ht="23.25" x14ac:dyDescent="0.35">
      <c r="A51" s="610" t="str">
        <f>IF(A52&lt;10,"0","")</f>
        <v>0</v>
      </c>
      <c r="B51" s="611"/>
      <c r="C51" s="607"/>
    </row>
    <row r="52" spans="1:4" x14ac:dyDescent="0.2">
      <c r="A52" s="612">
        <f>MONTH(B59)</f>
        <v>1</v>
      </c>
      <c r="B52" s="607"/>
      <c r="C52" s="607"/>
      <c r="D52" s="1369"/>
    </row>
    <row r="53" spans="1:4" ht="15" x14ac:dyDescent="0.25">
      <c r="A53" s="627" t="s">
        <v>728</v>
      </c>
      <c r="B53" s="626"/>
      <c r="C53" s="607"/>
      <c r="D53" s="367"/>
    </row>
    <row r="54" spans="1:4" x14ac:dyDescent="0.2">
      <c r="A54" s="608" t="str">
        <f>A55&amp;A56</f>
        <v>12</v>
      </c>
      <c r="B54" s="613">
        <f>IF(A56=12,A59-1,A59)</f>
        <v>2018</v>
      </c>
      <c r="C54" s="607" t="str">
        <f>A54&amp;RIGHT(B54,2)</f>
        <v>1218</v>
      </c>
    </row>
    <row r="55" spans="1:4" x14ac:dyDescent="0.2">
      <c r="A55" s="610" t="str">
        <f>IF(A56&lt;10,"0","")</f>
        <v/>
      </c>
      <c r="B55" s="626"/>
      <c r="C55" s="607"/>
    </row>
    <row r="56" spans="1:4" x14ac:dyDescent="0.2">
      <c r="A56" s="612">
        <f>MONTH(EOMONTH(B59,-2)+1)</f>
        <v>12</v>
      </c>
      <c r="B56" s="613"/>
      <c r="C56" s="607"/>
      <c r="D56" s="1369"/>
    </row>
    <row r="57" spans="1:4" x14ac:dyDescent="0.2">
      <c r="A57" s="627" t="s">
        <v>757</v>
      </c>
      <c r="B57" s="626"/>
      <c r="C57" s="627" t="s">
        <v>758</v>
      </c>
    </row>
    <row r="58" spans="1:4" x14ac:dyDescent="0.2">
      <c r="A58" s="612">
        <v>1</v>
      </c>
      <c r="B58" s="607"/>
      <c r="C58" s="613">
        <f>IF(A58&lt;=11,A58+1,1)</f>
        <v>2</v>
      </c>
    </row>
    <row r="59" spans="1:4" x14ac:dyDescent="0.2">
      <c r="A59" s="612">
        <v>2019</v>
      </c>
      <c r="B59" s="628">
        <f>DATE(A59,A58,1)</f>
        <v>43466</v>
      </c>
      <c r="C59" s="613">
        <f>IF(A58&lt;12,A59,A59+1)</f>
        <v>2019</v>
      </c>
    </row>
    <row r="60" spans="1:4" x14ac:dyDescent="0.2">
      <c r="A60" s="1566" t="s">
        <v>759</v>
      </c>
      <c r="B60" s="1566"/>
      <c r="C60" s="1417">
        <f>EOMONTH(B59,0)</f>
        <v>43496</v>
      </c>
    </row>
    <row r="61" spans="1:4" x14ac:dyDescent="0.2">
      <c r="A61" s="626" t="s">
        <v>727</v>
      </c>
      <c r="B61" s="626"/>
      <c r="C61" s="626"/>
    </row>
  </sheetData>
  <mergeCells count="22">
    <mergeCell ref="A60:B60"/>
    <mergeCell ref="C31:J31"/>
    <mergeCell ref="C32:J32"/>
    <mergeCell ref="C24:J24"/>
    <mergeCell ref="C25:J25"/>
    <mergeCell ref="C26:J26"/>
    <mergeCell ref="C27:J27"/>
    <mergeCell ref="C28:J28"/>
    <mergeCell ref="C29:J29"/>
    <mergeCell ref="C30:J30"/>
    <mergeCell ref="B6:C6"/>
    <mergeCell ref="B5:C5"/>
    <mergeCell ref="C15:J16"/>
    <mergeCell ref="C17:J17"/>
    <mergeCell ref="C18:J18"/>
    <mergeCell ref="A7:D7"/>
    <mergeCell ref="G6:H7"/>
    <mergeCell ref="C19:J19"/>
    <mergeCell ref="C20:J20"/>
    <mergeCell ref="C21:J21"/>
    <mergeCell ref="C22:J22"/>
    <mergeCell ref="C23:J23"/>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B51"/>
  <sheetViews>
    <sheetView showGridLines="0" topLeftCell="A4" zoomScale="80" zoomScaleNormal="80" workbookViewId="0">
      <selection activeCell="P47" sqref="P47:T47"/>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4" customWidth="1"/>
    <col min="8" max="8" width="9.5703125" style="75" customWidth="1"/>
    <col min="9" max="9" width="8.140625" style="74" bestFit="1" customWidth="1"/>
    <col min="10" max="10" width="8.140625" bestFit="1"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8.140625" bestFit="1" customWidth="1"/>
    <col min="20" max="20" width="9" customWidth="1"/>
    <col min="21" max="21" width="7.85546875" customWidth="1"/>
    <col min="22" max="22" width="10" customWidth="1"/>
    <col min="23" max="23" width="9" customWidth="1"/>
    <col min="24" max="24" width="13.7109375" customWidth="1"/>
    <col min="25" max="26" width="11.7109375" customWidth="1"/>
  </cols>
  <sheetData>
    <row r="1" spans="1:28" ht="25.5" customHeight="1" x14ac:dyDescent="0.4">
      <c r="A1" s="667"/>
      <c r="E1" s="47" t="s">
        <v>47</v>
      </c>
    </row>
    <row r="2" spans="1:28" ht="27" customHeight="1" x14ac:dyDescent="0.3">
      <c r="A2" s="5"/>
      <c r="B2" s="1"/>
      <c r="C2" s="1"/>
      <c r="D2" s="1"/>
      <c r="E2" s="318"/>
      <c r="F2" s="318"/>
      <c r="G2" s="283" t="s">
        <v>47</v>
      </c>
      <c r="H2" s="298"/>
      <c r="I2" s="283"/>
      <c r="J2" s="1"/>
      <c r="K2" s="1"/>
      <c r="L2" s="1"/>
      <c r="M2" s="1"/>
      <c r="N2" s="1"/>
      <c r="O2" s="1"/>
      <c r="P2" s="1" t="s">
        <v>47</v>
      </c>
      <c r="Q2" s="4"/>
      <c r="R2" s="4" t="s">
        <v>47</v>
      </c>
      <c r="S2" s="1"/>
      <c r="T2" s="1"/>
      <c r="U2" s="1"/>
      <c r="V2" s="1"/>
      <c r="W2" s="1"/>
      <c r="X2" s="1"/>
    </row>
    <row r="3" spans="1:28" s="8" customFormat="1" ht="16.5" x14ac:dyDescent="0.25">
      <c r="A3" s="1569" t="s">
        <v>778</v>
      </c>
      <c r="B3" s="1569"/>
      <c r="C3" s="1569"/>
      <c r="D3" s="1569"/>
      <c r="E3" s="1569"/>
      <c r="F3" s="302"/>
      <c r="G3" s="284"/>
      <c r="H3" s="214"/>
      <c r="I3" s="284"/>
      <c r="J3" s="7"/>
      <c r="K3" s="7"/>
      <c r="L3" s="7"/>
      <c r="M3" s="7"/>
      <c r="N3" s="1435"/>
      <c r="O3" s="1435"/>
      <c r="P3" s="7"/>
      <c r="Q3" s="19"/>
      <c r="R3" s="19"/>
      <c r="S3" s="7"/>
      <c r="T3" s="1567" t="s">
        <v>499</v>
      </c>
      <c r="U3" s="1567"/>
      <c r="V3" s="1567"/>
      <c r="W3" s="1567"/>
      <c r="X3" s="1567"/>
    </row>
    <row r="4" spans="1:28" s="8" customFormat="1" ht="18" customHeight="1" thickBot="1" x14ac:dyDescent="0.3">
      <c r="A4" s="1574" t="s">
        <v>779</v>
      </c>
      <c r="B4" s="1574"/>
      <c r="C4" s="1574"/>
      <c r="D4" s="1574"/>
      <c r="E4" s="1574"/>
      <c r="F4" s="1478"/>
      <c r="G4" s="1485"/>
      <c r="H4" s="1475"/>
      <c r="I4" s="1485"/>
      <c r="J4" s="45"/>
      <c r="K4" s="1573">
        <f>IF(date!B6="","",date!B6)</f>
        <v>43466</v>
      </c>
      <c r="L4" s="1573"/>
      <c r="M4" s="1573"/>
      <c r="N4" s="1573"/>
      <c r="O4" s="1573"/>
      <c r="P4" s="1486"/>
      <c r="Q4" s="1486"/>
      <c r="R4" s="1486"/>
      <c r="S4" s="1486"/>
      <c r="T4" s="1480"/>
      <c r="U4" s="1568" t="s">
        <v>500</v>
      </c>
      <c r="V4" s="1568"/>
      <c r="W4" s="1568"/>
      <c r="X4" s="1568"/>
      <c r="Y4" s="1474"/>
      <c r="Z4" s="1474"/>
      <c r="AA4" s="1474"/>
      <c r="AB4" s="1474"/>
    </row>
    <row r="5" spans="1:28" s="8" customFormat="1" ht="30" customHeight="1" thickBot="1" x14ac:dyDescent="0.25">
      <c r="Y5" s="1474"/>
      <c r="Z5" s="1474"/>
      <c r="AA5" s="1474"/>
      <c r="AB5" s="1474"/>
    </row>
    <row r="6" spans="1:28" ht="17.45" customHeight="1" thickBot="1" x14ac:dyDescent="0.25">
      <c r="A6" s="1239"/>
      <c r="B6" s="1570" t="s">
        <v>335</v>
      </c>
      <c r="C6" s="1571"/>
      <c r="D6" s="1571"/>
      <c r="E6" s="1571"/>
      <c r="F6" s="1572"/>
      <c r="G6" s="1403" t="s">
        <v>507</v>
      </c>
      <c r="H6" s="215"/>
      <c r="I6" s="1404" t="s">
        <v>496</v>
      </c>
      <c r="J6" s="15"/>
      <c r="K6" s="1405" t="s">
        <v>535</v>
      </c>
      <c r="L6" s="1406"/>
      <c r="M6" s="15"/>
      <c r="N6" s="2"/>
      <c r="O6" s="2"/>
      <c r="P6" s="2"/>
      <c r="Q6" s="2"/>
      <c r="R6" s="1405" t="s">
        <v>104</v>
      </c>
      <c r="S6" s="2"/>
      <c r="T6" s="1405"/>
      <c r="U6" s="2"/>
      <c r="V6" s="2"/>
      <c r="W6" s="1406"/>
      <c r="X6" s="6"/>
      <c r="Y6" s="3"/>
      <c r="Z6" s="1"/>
    </row>
    <row r="7" spans="1:28" s="8" customFormat="1" ht="17.45" customHeight="1" thickBot="1" x14ac:dyDescent="0.25">
      <c r="A7" s="44" t="s">
        <v>479</v>
      </c>
      <c r="B7" s="364" t="s">
        <v>509</v>
      </c>
      <c r="C7" s="365" t="s">
        <v>482</v>
      </c>
      <c r="D7" s="364" t="s">
        <v>462</v>
      </c>
      <c r="E7" s="665" t="s">
        <v>737</v>
      </c>
      <c r="F7" s="666" t="s">
        <v>738</v>
      </c>
      <c r="G7" s="285" t="s">
        <v>508</v>
      </c>
      <c r="H7" s="216"/>
      <c r="I7" s="299" t="s">
        <v>501</v>
      </c>
      <c r="J7" s="10"/>
      <c r="K7" s="13" t="s">
        <v>536</v>
      </c>
      <c r="L7" s="9"/>
      <c r="M7" s="295"/>
      <c r="N7" s="45"/>
      <c r="O7" s="45"/>
      <c r="P7" s="45"/>
      <c r="Q7" s="45"/>
      <c r="R7" s="45"/>
      <c r="S7" s="374"/>
      <c r="T7" s="374"/>
      <c r="U7" s="45"/>
      <c r="V7" s="45"/>
      <c r="W7" s="9"/>
      <c r="X7" s="1402" t="s">
        <v>537</v>
      </c>
      <c r="Y7" s="49"/>
      <c r="Z7" s="7"/>
    </row>
    <row r="8" spans="1:28" s="8" customFormat="1" ht="17.100000000000001" customHeight="1" x14ac:dyDescent="0.2">
      <c r="A8" s="1407">
        <f>date!B6</f>
        <v>43466</v>
      </c>
      <c r="B8" s="37" t="s">
        <v>480</v>
      </c>
      <c r="C8" s="38" t="s">
        <v>480</v>
      </c>
      <c r="D8" s="307" t="s">
        <v>372</v>
      </c>
      <c r="E8" s="319" t="s">
        <v>372</v>
      </c>
      <c r="F8" s="306" t="s">
        <v>506</v>
      </c>
      <c r="G8" s="286" t="s">
        <v>510</v>
      </c>
      <c r="H8" s="217" t="s">
        <v>503</v>
      </c>
      <c r="I8" s="296"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43466</v>
      </c>
      <c r="B9" s="39" t="s">
        <v>505</v>
      </c>
      <c r="C9" s="40" t="s">
        <v>481</v>
      </c>
      <c r="D9" s="39" t="s">
        <v>505</v>
      </c>
      <c r="E9" s="290" t="s">
        <v>505</v>
      </c>
      <c r="F9" s="303" t="s">
        <v>510</v>
      </c>
      <c r="G9" s="287" t="s">
        <v>511</v>
      </c>
      <c r="H9" s="218" t="s">
        <v>504</v>
      </c>
      <c r="I9" s="297" t="s">
        <v>502</v>
      </c>
      <c r="J9" s="366"/>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7">
        <v>1</v>
      </c>
      <c r="B10" s="478">
        <f>IF('[1]Plant Data'!I4="","",'[1]Plant Data'!I4)</f>
        <v>55.899334378472254</v>
      </c>
      <c r="C10" s="675">
        <f>IF('[1]Plant Data'!H4="","",'[1]Plant Data'!H4)</f>
        <v>76.465909999999994</v>
      </c>
      <c r="D10" s="479">
        <f>IF('[1]Plant Data'!P4="","",'[1]Plant Data'!P4)</f>
        <v>58.754506888888827</v>
      </c>
      <c r="E10" s="480" t="str">
        <f>IF(OR('[1]Plant Data'!N4="",'[1]Plant Data'!N4=0),"",'[1]Plant Data'!N4)</f>
        <v/>
      </c>
      <c r="F10" s="481" t="str">
        <f>IF(E10=0,0,IF(E10="","",IF(E10&gt;0,(E10/B10)*100)))</f>
        <v/>
      </c>
      <c r="G10" s="482">
        <f>IF('[1]Plant Data'!F4="","",'[1]Plant Data'!F4)</f>
        <v>0</v>
      </c>
      <c r="H10" s="483">
        <f>IF('[1]Plant Data'!E4="","",'[1]Plant Data'!E4)</f>
        <v>147.43157579861105</v>
      </c>
      <c r="I10" s="484">
        <f>IF('[1]Plant Data'!AD4="","",'[1]Plant Data'!AD4)</f>
        <v>1.1764705882352941E-2</v>
      </c>
      <c r="J10" s="485">
        <f>IF([2]alk_pH_Cl2!D4="","",[2]alk_pH_Cl2!D4)</f>
        <v>7.2</v>
      </c>
      <c r="K10" s="486">
        <f>IF([2]BOD!B4="","",[2]BOD!H4)</f>
        <v>288</v>
      </c>
      <c r="L10" s="487">
        <f>IF([2]TSS!B4="","",[2]TSS!B4)</f>
        <v>498</v>
      </c>
      <c r="M10" s="488">
        <f>IF([2]alk_pH_Cl2!I4="","",[2]alk_pH_Cl2!I4)</f>
        <v>0.48325735330581665</v>
      </c>
      <c r="N10" s="489">
        <f>IF([2]BOD!E4="","",[2]BOD!K4)</f>
        <v>13</v>
      </c>
      <c r="O10" s="489" t="str">
        <f>IF('7 day'!I12="","",'7 day'!I12)</f>
        <v/>
      </c>
      <c r="P10" s="480">
        <f>IF(OR(K10="",N10="",ISTEXT([2]BOD!H4)=TRUE,ISTEXT([2]BOD!K4)=TRUE),"",([2]BOD!H4-[2]BOD!K4)/[2]BOD!H4*100)</f>
        <v>95.486111111111114</v>
      </c>
      <c r="Q10" s="489">
        <f>IF(OR(D10="",N10="",ISTEXT([2]BOD!K4)=TRUE),"",D10*[2]BOD!K4*8.34)</f>
        <v>6370.1636368933259</v>
      </c>
      <c r="R10" s="489" t="str">
        <f>IF('7 day'!K12="","",'7 day'!K12)</f>
        <v/>
      </c>
      <c r="S10" s="489">
        <f>IF([2]TSS!E4="","",[2]TSS!E4)</f>
        <v>13</v>
      </c>
      <c r="T10" s="489" t="str">
        <f>IF('7 day'!M12="","",'7 day'!M12)</f>
        <v/>
      </c>
      <c r="U10" s="480">
        <f>IF(OR(L10="",S10="",ISTEXT([2]TSS!H4)=TRUE,ISTEXT([2]TSS!K4)=TRUE),"",([2]TSS!H4-[2]TSS!K4)/[2]TSS!H4*100)</f>
        <v>97.389558232931734</v>
      </c>
      <c r="V10" s="489">
        <f>IF(OR(D10="",S10="",ISTEXT([2]TSS!K4)=TRUE),"",D10*[2]TSS!K4*8.34)</f>
        <v>6370.1636368933259</v>
      </c>
      <c r="W10" s="489" t="str">
        <f>IF('7 day'!O12="","",'7 day'!O12)</f>
        <v/>
      </c>
      <c r="X10" s="477"/>
      <c r="Y10" s="22"/>
      <c r="Z10" s="11"/>
    </row>
    <row r="11" spans="1:28" s="12" customFormat="1" ht="15.95" customHeight="1" x14ac:dyDescent="0.2">
      <c r="A11" s="490">
        <v>2</v>
      </c>
      <c r="B11" s="478">
        <f>IF('[1]Plant Data'!I5="","",'[1]Plant Data'!I5)</f>
        <v>56.550915771527805</v>
      </c>
      <c r="C11" s="675">
        <f>IF('[1]Plant Data'!H5="","",'[1]Plant Data'!H5)</f>
        <v>106.50020000000001</v>
      </c>
      <c r="D11" s="479">
        <f>IF('[1]Plant Data'!P5="","",'[1]Plant Data'!P5)</f>
        <v>60.347685031250165</v>
      </c>
      <c r="E11" s="480" t="str">
        <f>IF(OR('[1]Plant Data'!N5="",'[1]Plant Data'!N5=0),"",'[1]Plant Data'!N5)</f>
        <v/>
      </c>
      <c r="F11" s="481" t="str">
        <f t="shared" ref="F11:F39" si="0">IF(E11=0,0,IF(E11="","",IF(E11&gt;0,(E11/B11)*100)))</f>
        <v/>
      </c>
      <c r="G11" s="482">
        <f>IF('[1]Plant Data'!F5="","",'[1]Plant Data'!F5)</f>
        <v>0</v>
      </c>
      <c r="H11" s="483">
        <f>IF('[1]Plant Data'!E5="","",'[1]Plant Data'!E5)</f>
        <v>147.97205350694441</v>
      </c>
      <c r="I11" s="484">
        <f>IF('[1]Plant Data'!AD5="","",'[1]Plant Data'!AD5)</f>
        <v>1.1764705882352941E-2</v>
      </c>
      <c r="J11" s="491">
        <f>IF([2]alk_pH_Cl2!D5="","",[2]alk_pH_Cl2!D5)</f>
        <v>7</v>
      </c>
      <c r="K11" s="489">
        <f>IF([2]BOD!B5="","",[2]BOD!H5)</f>
        <v>281</v>
      </c>
      <c r="L11" s="487">
        <f>IF([2]TSS!B5="","",[2]TSS!B5)</f>
        <v>292</v>
      </c>
      <c r="M11" s="488">
        <f>IF([2]alk_pH_Cl2!I5="","",[2]alk_pH_Cl2!I5)</f>
        <v>0.44776621460914612</v>
      </c>
      <c r="N11" s="489">
        <f>IF([2]BOD!E5="","",[2]BOD!K5)</f>
        <v>9</v>
      </c>
      <c r="O11" s="489" t="str">
        <f>IF('7 day'!I13="","",'7 day'!I13)</f>
        <v/>
      </c>
      <c r="P11" s="480">
        <f>IF(OR(K11="",N11="",ISTEXT([2]BOD!H5)=TRUE,ISTEXT([2]BOD!K5)=TRUE),"",([2]BOD!H5-[2]BOD!K5)/[2]BOD!H5*100)</f>
        <v>96.797153024911026</v>
      </c>
      <c r="Q11" s="489">
        <f>IF(OR(D11="",N11="",ISTEXT([2]BOD!K5)=TRUE),"",D11*[2]BOD!K5*8.34)</f>
        <v>4529.6972384456376</v>
      </c>
      <c r="R11" s="489" t="str">
        <f>IF('7 day'!K13="","",'7 day'!K13)</f>
        <v/>
      </c>
      <c r="S11" s="489">
        <f>IF([2]TSS!E5="","",[2]TSS!E5)</f>
        <v>12</v>
      </c>
      <c r="T11" s="489" t="str">
        <f>IF('7 day'!M13="","",'7 day'!M13)</f>
        <v/>
      </c>
      <c r="U11" s="480">
        <f>IF(OR(L11="",S11="",ISTEXT([2]TSS!H5)=TRUE,ISTEXT([2]TSS!K5)=TRUE),"",([2]TSS!H5-[2]TSS!K5)/[2]TSS!H5*100)</f>
        <v>95.890410958904098</v>
      </c>
      <c r="V11" s="489">
        <f>IF(OR(D11="",S11="",ISTEXT([2]TSS!K5)=TRUE),"",D11*[2]TSS!K5*8.34)</f>
        <v>6039.5963179275168</v>
      </c>
      <c r="W11" s="489" t="str">
        <f>IF('7 day'!O13="","",'7 day'!O13)</f>
        <v/>
      </c>
      <c r="X11" s="490"/>
      <c r="Y11" s="22"/>
      <c r="Z11" s="11"/>
    </row>
    <row r="12" spans="1:28" s="12" customFormat="1" ht="15.95" customHeight="1" x14ac:dyDescent="0.2">
      <c r="A12" s="490">
        <v>3</v>
      </c>
      <c r="B12" s="478">
        <f>IF('[1]Plant Data'!I6="","",'[1]Plant Data'!I6)</f>
        <v>59.265884118055446</v>
      </c>
      <c r="C12" s="675">
        <f>IF('[1]Plant Data'!H6="","",'[1]Plant Data'!H6)</f>
        <v>109.4954</v>
      </c>
      <c r="D12" s="479">
        <f>IF('[1]Plant Data'!P6="","",'[1]Plant Data'!P6)</f>
        <v>63.298762079861191</v>
      </c>
      <c r="E12" s="480" t="str">
        <f>IF(OR('[1]Plant Data'!N6="",'[1]Plant Data'!N6=0),"",'[1]Plant Data'!N6)</f>
        <v/>
      </c>
      <c r="F12" s="481" t="str">
        <f t="shared" ref="F12:F38" si="1">IF(E12=0,0,IF(E12="","",IF(E12&gt;0,(E12/B12)*100)))</f>
        <v/>
      </c>
      <c r="G12" s="482">
        <f>IF('[1]Plant Data'!F6="","",'[1]Plant Data'!F6)</f>
        <v>0</v>
      </c>
      <c r="H12" s="483">
        <f>IF('[1]Plant Data'!E6="","",'[1]Plant Data'!E6)</f>
        <v>148.54928909722196</v>
      </c>
      <c r="I12" s="484">
        <f>IF('[1]Plant Data'!AD6="","",'[1]Plant Data'!AD6)</f>
        <v>4.8857142857142863E-2</v>
      </c>
      <c r="J12" s="491">
        <f>IF([2]alk_pH_Cl2!D6="","",[2]alk_pH_Cl2!D6)</f>
        <v>7.2</v>
      </c>
      <c r="K12" s="489">
        <f>IF([2]BOD!B6="","",[2]BOD!H6)</f>
        <v>269</v>
      </c>
      <c r="L12" s="487">
        <f>IF([2]TSS!B6="","",[2]TSS!B6)</f>
        <v>292</v>
      </c>
      <c r="M12" s="488">
        <f>IF([2]alk_pH_Cl2!I6="","",[2]alk_pH_Cl2!I6)</f>
        <v>0.43910521268844604</v>
      </c>
      <c r="N12" s="489">
        <f>IF([2]BOD!E6="","",[2]BOD!K6)</f>
        <v>8</v>
      </c>
      <c r="O12" s="489" t="str">
        <f>IF('7 day'!I14="","",'7 day'!I14)</f>
        <v/>
      </c>
      <c r="P12" s="480">
        <f>IF(OR(K12="",N12="",ISTEXT([2]BOD!H6)=TRUE,ISTEXT([2]BOD!K6)=TRUE),"",([2]BOD!H6-[2]BOD!K6)/[2]BOD!H6*100)</f>
        <v>97.026022304832722</v>
      </c>
      <c r="Q12" s="489">
        <f>IF(OR(D12="",N12="",ISTEXT([2]BOD!K6)=TRUE),"",D12*[2]BOD!K6*8.34)</f>
        <v>4223.2934059683384</v>
      </c>
      <c r="R12" s="489" t="str">
        <f>IF('7 day'!K14="","",'7 day'!K14)</f>
        <v/>
      </c>
      <c r="S12" s="489">
        <f>IF([2]TSS!E6="","",[2]TSS!E6)</f>
        <v>11</v>
      </c>
      <c r="T12" s="489" t="str">
        <f>IF('7 day'!M14="","",'7 day'!M14)</f>
        <v/>
      </c>
      <c r="U12" s="480">
        <f>IF(OR(L12="",S12="",ISTEXT([2]TSS!H6)=TRUE,ISTEXT([2]TSS!K6)=TRUE),"",([2]TSS!H6-[2]TSS!K6)/[2]TSS!H6*100)</f>
        <v>96.232876712328761</v>
      </c>
      <c r="V12" s="489">
        <f>IF(OR(D12="",S12="",ISTEXT([2]TSS!K6)=TRUE),"",D12*[2]TSS!K6*8.34)</f>
        <v>5807.0284332064657</v>
      </c>
      <c r="W12" s="489" t="str">
        <f>IF('7 day'!O14="","",'7 day'!O14)</f>
        <v/>
      </c>
      <c r="X12" s="490"/>
      <c r="Y12" s="22"/>
      <c r="Z12" s="11"/>
    </row>
    <row r="13" spans="1:28" s="12" customFormat="1" ht="15.95" customHeight="1" x14ac:dyDescent="0.2">
      <c r="A13" s="490">
        <v>4</v>
      </c>
      <c r="B13" s="478">
        <f>IF('[1]Plant Data'!I7="","",'[1]Plant Data'!I7)</f>
        <v>65.818315354166813</v>
      </c>
      <c r="C13" s="675">
        <f>IF('[1]Plant Data'!H7="","",'[1]Plant Data'!H7)</f>
        <v>125.3373</v>
      </c>
      <c r="D13" s="479">
        <f>IF('[1]Plant Data'!P7="","",'[1]Plant Data'!P7)</f>
        <v>68.112197826388936</v>
      </c>
      <c r="E13" s="480" t="str">
        <f>IF(OR('[1]Plant Data'!N7="",'[1]Plant Data'!N7=0),"",'[1]Plant Data'!N7)</f>
        <v/>
      </c>
      <c r="F13" s="481" t="str">
        <f t="shared" si="1"/>
        <v/>
      </c>
      <c r="G13" s="482">
        <f>IF('[1]Plant Data'!F7="","",'[1]Plant Data'!F7)</f>
        <v>0</v>
      </c>
      <c r="H13" s="483">
        <f>IF('[1]Plant Data'!E7="","",'[1]Plant Data'!E7)</f>
        <v>149.42743388888911</v>
      </c>
      <c r="I13" s="484">
        <f>IF('[1]Plant Data'!AD7="","",'[1]Plant Data'!AD7)</f>
        <v>7.5999999999999998E-2</v>
      </c>
      <c r="J13" s="491">
        <f>IF([2]alk_pH_Cl2!D7="","",[2]alk_pH_Cl2!D7)</f>
        <v>7.1</v>
      </c>
      <c r="K13" s="489">
        <f>IF([2]BOD!B7="","",[2]BOD!H7)</f>
        <v>280</v>
      </c>
      <c r="L13" s="487">
        <f>IF([2]TSS!B7="","",[2]TSS!B7)</f>
        <v>365</v>
      </c>
      <c r="M13" s="488">
        <f>IF([2]alk_pH_Cl2!I7="","",[2]alk_pH_Cl2!I7)</f>
        <v>0.41157582402229309</v>
      </c>
      <c r="N13" s="489">
        <f>IF([2]BOD!E7="","",[2]BOD!K7)</f>
        <v>12</v>
      </c>
      <c r="O13" s="489" t="str">
        <f>IF('7 day'!I15="","",'7 day'!I15)</f>
        <v/>
      </c>
      <c r="P13" s="480">
        <f>IF(OR(K13="",N13="",ISTEXT([2]BOD!H7)=TRUE,ISTEXT([2]BOD!K7)=TRUE),"",([2]BOD!H7-[2]BOD!K7)/[2]BOD!H7*100)</f>
        <v>95.714285714285722</v>
      </c>
      <c r="Q13" s="489">
        <f>IF(OR(D13="",N13="",ISTEXT([2]BOD!K7)=TRUE),"",D13*[2]BOD!K7*8.34)</f>
        <v>6816.6687584650053</v>
      </c>
      <c r="R13" s="489" t="str">
        <f>IF('7 day'!K15="","",'7 day'!K15)</f>
        <v/>
      </c>
      <c r="S13" s="489">
        <f>IF([2]TSS!E7="","",[2]TSS!E7)</f>
        <v>12</v>
      </c>
      <c r="T13" s="489" t="str">
        <f>IF('7 day'!M15="","",'7 day'!M15)</f>
        <v/>
      </c>
      <c r="U13" s="480">
        <f>IF(OR(L13="",S13="",ISTEXT([2]TSS!H7)=TRUE,ISTEXT([2]TSS!K7)=TRUE),"",([2]TSS!H7-[2]TSS!K7)/[2]TSS!H7*100)</f>
        <v>96.712328767123296</v>
      </c>
      <c r="V13" s="489">
        <f>IF(OR(D13="",S13="",ISTEXT([2]TSS!K7)=TRUE),"",D13*[2]TSS!K7*8.34)</f>
        <v>6816.6687584650053</v>
      </c>
      <c r="W13" s="489" t="str">
        <f>IF('7 day'!O15="","",'7 day'!O15)</f>
        <v/>
      </c>
      <c r="X13" s="579"/>
      <c r="Y13" s="22"/>
      <c r="Z13" s="11"/>
    </row>
    <row r="14" spans="1:28" s="12" customFormat="1" ht="15.95" customHeight="1" x14ac:dyDescent="0.2">
      <c r="A14" s="490">
        <v>5</v>
      </c>
      <c r="B14" s="478">
        <f>IF('[1]Plant Data'!I8="","",'[1]Plant Data'!I8)</f>
        <v>56.328494034350783</v>
      </c>
      <c r="C14" s="675">
        <f>IF('[1]Plant Data'!H8="","",'[1]Plant Data'!H8)</f>
        <v>91.335160000000002</v>
      </c>
      <c r="D14" s="479">
        <f>IF('[1]Plant Data'!P8="","",'[1]Plant Data'!P8)</f>
        <v>58.74425769791663</v>
      </c>
      <c r="E14" s="480" t="str">
        <f>IF(OR('[1]Plant Data'!N8="",'[1]Plant Data'!N8=0),"",'[1]Plant Data'!N8)</f>
        <v/>
      </c>
      <c r="F14" s="481" t="str">
        <f t="shared" si="1"/>
        <v/>
      </c>
      <c r="G14" s="482">
        <f>IF('[1]Plant Data'!F8="","",'[1]Plant Data'!F8)</f>
        <v>0</v>
      </c>
      <c r="H14" s="483">
        <f>IF('[1]Plant Data'!E8="","",'[1]Plant Data'!E8)</f>
        <v>150.25359854166658</v>
      </c>
      <c r="I14" s="484">
        <f>IF('[1]Plant Data'!AD8="","",'[1]Plant Data'!AD8)</f>
        <v>5.228571428571429E-2</v>
      </c>
      <c r="J14" s="491">
        <f>IF([2]alk_pH_Cl2!D8="","",[2]alk_pH_Cl2!D8)</f>
        <v>7.1</v>
      </c>
      <c r="K14" s="489">
        <f>IF([2]BOD!B8="","",[2]BOD!H8)</f>
        <v>282</v>
      </c>
      <c r="L14" s="487">
        <f>IF([2]TSS!B8="","",[2]TSS!B8)</f>
        <v>252</v>
      </c>
      <c r="M14" s="488">
        <f>IF([2]alk_pH_Cl2!I8="","",[2]alk_pH_Cl2!I8)</f>
        <v>0.40999197959899902</v>
      </c>
      <c r="N14" s="489">
        <f>IF([2]BOD!E8="","",[2]BOD!K8)</f>
        <v>10</v>
      </c>
      <c r="O14" s="489">
        <f>IF('7 day'!I16="","",'7 day'!I16)</f>
        <v>10.428571428571429</v>
      </c>
      <c r="P14" s="480">
        <f>IF(OR(K14="",N14="",ISTEXT([2]BOD!H8)=TRUE,ISTEXT([2]BOD!K8)=TRUE),"",([2]BOD!H8-[2]BOD!K8)/[2]BOD!H8*100)</f>
        <v>96.453900709219852</v>
      </c>
      <c r="Q14" s="489">
        <f>IF(OR(D14="",N14="",ISTEXT([2]BOD!K8)=TRUE),"",D14*[2]BOD!K8*8.34)</f>
        <v>4899.2710920062473</v>
      </c>
      <c r="R14" s="489">
        <f>IF('7 day'!K16="","",'7 day'!K16)</f>
        <v>5889.0603610438984</v>
      </c>
      <c r="S14" s="489">
        <f>IF([2]TSS!E8="","",[2]TSS!E8)</f>
        <v>8</v>
      </c>
      <c r="T14" s="489">
        <f>IF('7 day'!M16="","",'7 day'!M16)</f>
        <v>12.571428571428571</v>
      </c>
      <c r="U14" s="480">
        <f>IF(OR(L14="",S14="",ISTEXT([2]TSS!H8)=TRUE,ISTEXT([2]TSS!K8)=TRUE),"",([2]TSS!H8-[2]TSS!K8)/[2]TSS!H8*100)</f>
        <v>96.825396825396822</v>
      </c>
      <c r="V14" s="489">
        <f>IF(OR(D14="",S14="",ISTEXT([2]TSS!K8)=TRUE),"",D14*[2]TSS!K8*8.34)</f>
        <v>3919.4168736049974</v>
      </c>
      <c r="W14" s="489">
        <f>IF('7 day'!O16="","",'7 day'!O16)</f>
        <v>7361.7523487243734</v>
      </c>
      <c r="X14" s="579"/>
      <c r="Y14" s="22"/>
      <c r="Z14" s="11"/>
    </row>
    <row r="15" spans="1:28" s="12" customFormat="1" ht="15.95" customHeight="1" x14ac:dyDescent="0.2">
      <c r="A15" s="490">
        <v>6</v>
      </c>
      <c r="B15" s="478">
        <f>IF('[1]Plant Data'!I9="","",'[1]Plant Data'!I9)</f>
        <v>103.1240249895835</v>
      </c>
      <c r="C15" s="675">
        <f>IF('[1]Plant Data'!H9="","",'[1]Plant Data'!H9)</f>
        <v>216.24770000000001</v>
      </c>
      <c r="D15" s="479">
        <f>IF('[1]Plant Data'!P9="","",'[1]Plant Data'!P9)</f>
        <v>91.144097100694552</v>
      </c>
      <c r="E15" s="480">
        <f>IF(OR('[1]Plant Data'!N9="",'[1]Plant Data'!N9=0),"",'[1]Plant Data'!N9)</f>
        <v>8.5958357881944476</v>
      </c>
      <c r="F15" s="481">
        <f t="shared" si="1"/>
        <v>8.3354347244133535</v>
      </c>
      <c r="G15" s="482">
        <f>IF('[1]Plant Data'!F9="","",'[1]Plant Data'!F9)</f>
        <v>6.6761959281249927</v>
      </c>
      <c r="H15" s="483">
        <f>IF('[1]Plant Data'!E9="","",'[1]Plant Data'!E9)</f>
        <v>160.99638097916707</v>
      </c>
      <c r="I15" s="484">
        <f>IF('[1]Plant Data'!AD9="","",'[1]Plant Data'!AD9)</f>
        <v>0.32676470588235296</v>
      </c>
      <c r="J15" s="491">
        <f>IF([2]alk_pH_Cl2!D9="","",[2]alk_pH_Cl2!D9)</f>
        <v>7.2</v>
      </c>
      <c r="K15" s="489">
        <f>IF([2]BOD!B9="","",[2]BOD!H9)</f>
        <v>190</v>
      </c>
      <c r="L15" s="487">
        <f>IF([2]TSS!B9="","",[2]TSS!B9)</f>
        <v>240</v>
      </c>
      <c r="M15" s="488">
        <f>IF([2]alk_pH_Cl2!I9="","",[2]alk_pH_Cl2!I9)</f>
        <v>0.69608795642852783</v>
      </c>
      <c r="N15" s="489">
        <f>IF([2]BOD!E9="","",[2]BOD!K9)</f>
        <v>13</v>
      </c>
      <c r="O15" s="489" t="str">
        <f>IF('7 day'!I17="","",'7 day'!I17)</f>
        <v/>
      </c>
      <c r="P15" s="480">
        <f>IF(OR(K15="",N15="",ISTEXT([2]BOD!H9)=TRUE,ISTEXT([2]BOD!K9)=TRUE),"",([2]BOD!H9-[2]BOD!K9)/[2]BOD!H9*100)</f>
        <v>93.15789473684211</v>
      </c>
      <c r="Q15" s="489">
        <f>IF(OR(D15="",N15="",ISTEXT([2]BOD!K9)=TRUE),"",D15*[2]BOD!K9*8.34)</f>
        <v>9881.8430076573022</v>
      </c>
      <c r="R15" s="489" t="str">
        <f>IF('7 day'!K17="","",'7 day'!K17)</f>
        <v/>
      </c>
      <c r="S15" s="489">
        <f>IF([2]TSS!E9="","",[2]TSS!E9)</f>
        <v>14</v>
      </c>
      <c r="T15" s="489" t="str">
        <f>IF('7 day'!M17="","",'7 day'!M17)</f>
        <v/>
      </c>
      <c r="U15" s="480">
        <f>IF(OR(L15="",S15="",ISTEXT([2]TSS!H9)=TRUE,ISTEXT([2]TSS!K9)=TRUE),"",([2]TSS!H9-[2]TSS!K9)/[2]TSS!H9*100)</f>
        <v>94.166666666666671</v>
      </c>
      <c r="V15" s="489">
        <f>IF(OR(D15="",S15="",ISTEXT([2]TSS!K9)=TRUE),"",D15*[2]TSS!K9*8.34)</f>
        <v>10641.984777477095</v>
      </c>
      <c r="W15" s="489" t="str">
        <f>IF('7 day'!O17="","",'7 day'!O17)</f>
        <v/>
      </c>
      <c r="X15" s="490" t="s">
        <v>822</v>
      </c>
      <c r="Y15" s="22"/>
      <c r="Z15" s="11"/>
    </row>
    <row r="16" spans="1:28" s="12" customFormat="1" ht="15.95" customHeight="1" x14ac:dyDescent="0.2">
      <c r="A16" s="490">
        <v>7</v>
      </c>
      <c r="B16" s="478">
        <f>IF('[1]Plant Data'!I10="","",'[1]Plant Data'!I10)</f>
        <v>59.377203996527662</v>
      </c>
      <c r="C16" s="675">
        <f>IF('[1]Plant Data'!H10="","",'[1]Plant Data'!H10)</f>
        <v>82.583510000000004</v>
      </c>
      <c r="D16" s="479">
        <f>IF('[1]Plant Data'!P10="","",'[1]Plant Data'!P10)</f>
        <v>69.217215423611108</v>
      </c>
      <c r="E16" s="480" t="str">
        <f>IF(OR('[1]Plant Data'!N10="",'[1]Plant Data'!N10=0),"",'[1]Plant Data'!N10)</f>
        <v/>
      </c>
      <c r="F16" s="481" t="str">
        <f t="shared" si="1"/>
        <v/>
      </c>
      <c r="G16" s="482">
        <f>IF('[1]Plant Data'!F10="","",'[1]Plant Data'!F10)</f>
        <v>0</v>
      </c>
      <c r="H16" s="483">
        <f>IF('[1]Plant Data'!E10="","",'[1]Plant Data'!E10)</f>
        <v>149.79659395833326</v>
      </c>
      <c r="I16" s="484">
        <f>IF('[1]Plant Data'!AD10="","",'[1]Plant Data'!AD10)</f>
        <v>1.55E-2</v>
      </c>
      <c r="J16" s="491">
        <f>IF([2]alk_pH_Cl2!D10="","",[2]alk_pH_Cl2!D10)</f>
        <v>7</v>
      </c>
      <c r="K16" s="489">
        <f>IF([2]BOD!B10="","",[2]BOD!H10)</f>
        <v>224</v>
      </c>
      <c r="L16" s="487">
        <f>IF([2]TSS!B10="","",[2]TSS!B10)</f>
        <v>224</v>
      </c>
      <c r="M16" s="488">
        <f>IF([2]alk_pH_Cl2!I10="","",[2]alk_pH_Cl2!I10)</f>
        <v>0.50391161441802979</v>
      </c>
      <c r="N16" s="489">
        <f>IF([2]BOD!E10="","",[2]BOD!K10)</f>
        <v>15</v>
      </c>
      <c r="O16" s="489" t="str">
        <f>IF('7 day'!I18="","",'7 day'!I18)</f>
        <v/>
      </c>
      <c r="P16" s="480">
        <f>IF(OR(K16="",N16="",ISTEXT([2]BOD!H10)=TRUE,ISTEXT([2]BOD!K10)=TRUE),"",([2]BOD!H10-[2]BOD!K10)/[2]BOD!H10*100)</f>
        <v>93.303571428571431</v>
      </c>
      <c r="Q16" s="489">
        <f>IF(OR(D16="",N16="",ISTEXT([2]BOD!K10)=TRUE),"",D16*[2]BOD!K10*8.34)</f>
        <v>8659.0736494937501</v>
      </c>
      <c r="R16" s="489" t="str">
        <f>IF('7 day'!K18="","",'7 day'!K18)</f>
        <v/>
      </c>
      <c r="S16" s="489">
        <f>IF([2]TSS!E10="","",[2]TSS!E10)</f>
        <v>19</v>
      </c>
      <c r="T16" s="489" t="str">
        <f>IF('7 day'!M18="","",'7 day'!M18)</f>
        <v/>
      </c>
      <c r="U16" s="480">
        <f>IF(OR(L16="",S16="",ISTEXT([2]TSS!H10)=TRUE,ISTEXT([2]TSS!K10)=TRUE),"",([2]TSS!H10-[2]TSS!K10)/[2]TSS!H10*100)</f>
        <v>91.517857142857139</v>
      </c>
      <c r="V16" s="489">
        <f>IF(OR(D16="",S16="",ISTEXT([2]TSS!K10)=TRUE),"",D16*[2]TSS!K10*8.34)</f>
        <v>10968.159956025414</v>
      </c>
      <c r="W16" s="489" t="str">
        <f>IF('7 day'!O18="","",'7 day'!O18)</f>
        <v/>
      </c>
      <c r="X16" s="490"/>
      <c r="Y16" s="22"/>
      <c r="Z16" s="11"/>
    </row>
    <row r="17" spans="1:26" s="12" customFormat="1" ht="15.95" customHeight="1" x14ac:dyDescent="0.2">
      <c r="A17" s="490">
        <v>8</v>
      </c>
      <c r="B17" s="478">
        <f>IF('[1]Plant Data'!I11="","",'[1]Plant Data'!I11)</f>
        <v>94.233337409722296</v>
      </c>
      <c r="C17" s="675">
        <f>IF('[1]Plant Data'!H11="","",'[1]Plant Data'!H11)</f>
        <v>243.50309999999999</v>
      </c>
      <c r="D17" s="479">
        <f>IF('[1]Plant Data'!P11="","",'[1]Plant Data'!P11)</f>
        <v>91.644257361111073</v>
      </c>
      <c r="E17" s="480">
        <f>IF(OR('[1]Plant Data'!N11="",'[1]Plant Data'!N11=0),"",'[1]Plant Data'!N11)</f>
        <v>2.4465956458333338</v>
      </c>
      <c r="F17" s="481">
        <f t="shared" si="1"/>
        <v>2.596316455603866</v>
      </c>
      <c r="G17" s="482">
        <f>IF('[1]Plant Data'!F11="","",'[1]Plant Data'!F11)</f>
        <v>5.9387363951388759</v>
      </c>
      <c r="H17" s="483">
        <f>IF('[1]Plant Data'!E11="","",'[1]Plant Data'!E11)</f>
        <v>162.06957388888878</v>
      </c>
      <c r="I17" s="484">
        <f>IF('[1]Plant Data'!AD11="","",'[1]Plant Data'!AD11)</f>
        <v>0.27257142857142858</v>
      </c>
      <c r="J17" s="491">
        <f>IF([2]alk_pH_Cl2!D11="","",[2]alk_pH_Cl2!D11)</f>
        <v>7.2</v>
      </c>
      <c r="K17" s="489">
        <f>IF([2]BOD!B11="","",[2]BOD!H11)</f>
        <v>168</v>
      </c>
      <c r="L17" s="487">
        <f>IF([2]TSS!B11="","",[2]TSS!B11)</f>
        <v>220</v>
      </c>
      <c r="M17" s="488">
        <f>IF([2]alk_pH_Cl2!I11="","",[2]alk_pH_Cl2!I11)</f>
        <v>0.66499632596969604</v>
      </c>
      <c r="N17" s="489">
        <f>IF([2]BOD!E11="","",[2]BOD!K11)</f>
        <v>11</v>
      </c>
      <c r="O17" s="489" t="str">
        <f>IF('7 day'!I19="","",'7 day'!I19)</f>
        <v/>
      </c>
      <c r="P17" s="480">
        <f>IF(OR(K17="",N17="",ISTEXT([2]BOD!H11)=TRUE,ISTEXT([2]BOD!K11)=TRUE),"",([2]BOD!H11-[2]BOD!K11)/[2]BOD!H11*100)</f>
        <v>93.452380952380949</v>
      </c>
      <c r="Q17" s="489">
        <f>IF(OR(D17="",N17="",ISTEXT([2]BOD!K11)=TRUE),"",D17*[2]BOD!K11*8.34)</f>
        <v>8407.4441703083303</v>
      </c>
      <c r="R17" s="489" t="str">
        <f>IF('7 day'!K19="","",'7 day'!K19)</f>
        <v/>
      </c>
      <c r="S17" s="489">
        <f>IF([2]TSS!E11="","",[2]TSS!E11)</f>
        <v>16</v>
      </c>
      <c r="T17" s="489" t="str">
        <f>IF('7 day'!M19="","",'7 day'!M19)</f>
        <v/>
      </c>
      <c r="U17" s="480">
        <f>IF(OR(L17="",S17="",ISTEXT([2]TSS!H11)=TRUE,ISTEXT([2]TSS!K11)=TRUE),"",([2]TSS!H11-[2]TSS!K11)/[2]TSS!H11*100)</f>
        <v>92.72727272727272</v>
      </c>
      <c r="V17" s="489">
        <f>IF(OR(D17="",S17="",ISTEXT([2]TSS!K11)=TRUE),"",D17*[2]TSS!K11*8.34)</f>
        <v>12229.009702266661</v>
      </c>
      <c r="W17" s="489" t="str">
        <f>IF('7 day'!O19="","",'7 day'!O19)</f>
        <v/>
      </c>
      <c r="X17" s="490" t="s">
        <v>822</v>
      </c>
      <c r="Y17" s="22"/>
      <c r="Z17" s="11"/>
    </row>
    <row r="18" spans="1:26" s="12" customFormat="1" ht="15.95" customHeight="1" x14ac:dyDescent="0.2">
      <c r="A18" s="490">
        <v>9</v>
      </c>
      <c r="B18" s="478">
        <f>IF('[1]Plant Data'!I12="","",'[1]Plant Data'!I12)</f>
        <v>83.880514163194348</v>
      </c>
      <c r="C18" s="675">
        <f>IF('[1]Plant Data'!H12="","",'[1]Plant Data'!H12)</f>
        <v>152.0967</v>
      </c>
      <c r="D18" s="479">
        <f>IF('[1]Plant Data'!P12="","",'[1]Plant Data'!P12)</f>
        <v>88.402698861110949</v>
      </c>
      <c r="E18" s="480" t="str">
        <f>IF(OR('[1]Plant Data'!N12="",'[1]Plant Data'!N12=0),"",'[1]Plant Data'!N12)</f>
        <v/>
      </c>
      <c r="F18" s="481" t="str">
        <f t="shared" si="1"/>
        <v/>
      </c>
      <c r="G18" s="482">
        <f>IF('[1]Plant Data'!F12="","",'[1]Plant Data'!F12)</f>
        <v>2.0022036718121541</v>
      </c>
      <c r="H18" s="483">
        <f>IF('[1]Plant Data'!E12="","",'[1]Plant Data'!E12)</f>
        <v>155.02359333680525</v>
      </c>
      <c r="I18" s="484">
        <f>IF('[1]Plant Data'!AD12="","",'[1]Plant Data'!AD12)</f>
        <v>0.24542857142857144</v>
      </c>
      <c r="J18" s="491">
        <f>IF([2]alk_pH_Cl2!D12="","",[2]alk_pH_Cl2!D12)</f>
        <v>7.3</v>
      </c>
      <c r="K18" s="489">
        <f>IF([2]BOD!B12="","",[2]BOD!H12)</f>
        <v>197</v>
      </c>
      <c r="L18" s="487">
        <f>IF([2]TSS!B12="","",[2]TSS!B12)</f>
        <v>272</v>
      </c>
      <c r="M18" s="488">
        <f>IF([2]alk_pH_Cl2!I12="","",[2]alk_pH_Cl2!I12)</f>
        <v>0.46463125944137573</v>
      </c>
      <c r="N18" s="489">
        <f>IF([2]BOD!E12="","",[2]BOD!K12)</f>
        <v>13</v>
      </c>
      <c r="O18" s="489" t="str">
        <f>IF('7 day'!I20="","",'7 day'!I20)</f>
        <v/>
      </c>
      <c r="P18" s="480">
        <f>IF(OR(K18="",N18="",ISTEXT([2]BOD!H12)=TRUE,ISTEXT([2]BOD!K12)=TRUE),"",([2]BOD!H12-[2]BOD!K12)/[2]BOD!H12*100)</f>
        <v>93.401015228426402</v>
      </c>
      <c r="Q18" s="489">
        <f>IF(OR(D18="",N18="",ISTEXT([2]BOD!K12)=TRUE),"",D18*[2]BOD!K12*8.34)</f>
        <v>9584.6206105216479</v>
      </c>
      <c r="R18" s="489" t="str">
        <f>IF('7 day'!K20="","",'7 day'!K20)</f>
        <v/>
      </c>
      <c r="S18" s="489">
        <f>IF([2]TSS!E12="","",[2]TSS!E12)</f>
        <v>22</v>
      </c>
      <c r="T18" s="489" t="str">
        <f>IF('7 day'!M20="","",'7 day'!M20)</f>
        <v/>
      </c>
      <c r="U18" s="480">
        <f>IF(OR(L18="",S18="",ISTEXT([2]TSS!H12)=TRUE,ISTEXT([2]TSS!K12)=TRUE),"",([2]TSS!H12-[2]TSS!K12)/[2]TSS!H12*100)</f>
        <v>91.911764705882348</v>
      </c>
      <c r="V18" s="489">
        <f>IF(OR(D18="",S18="",ISTEXT([2]TSS!K12)=TRUE),"",D18*[2]TSS!K12*8.34)</f>
        <v>16220.127187036636</v>
      </c>
      <c r="W18" s="489" t="str">
        <f>IF('7 day'!O20="","",'7 day'!O20)</f>
        <v/>
      </c>
      <c r="X18" s="490"/>
      <c r="Y18" s="22"/>
      <c r="Z18" s="11"/>
    </row>
    <row r="19" spans="1:26" s="12" customFormat="1" ht="15.95" customHeight="1" x14ac:dyDescent="0.2">
      <c r="A19" s="490">
        <v>10</v>
      </c>
      <c r="B19" s="478">
        <f>IF('[1]Plant Data'!I13="","",'[1]Plant Data'!I13)</f>
        <v>64.316404541666643</v>
      </c>
      <c r="C19" s="675">
        <f>IF('[1]Plant Data'!H13="","",'[1]Plant Data'!H13)</f>
        <v>97.507050000000007</v>
      </c>
      <c r="D19" s="479">
        <f>IF('[1]Plant Data'!P13="","",'[1]Plant Data'!P13)</f>
        <v>70.522887642361169</v>
      </c>
      <c r="E19" s="480" t="str">
        <f>IF(OR('[1]Plant Data'!N13="",'[1]Plant Data'!N13=0),"",'[1]Plant Data'!N13)</f>
        <v/>
      </c>
      <c r="F19" s="481" t="str">
        <f t="shared" si="1"/>
        <v/>
      </c>
      <c r="G19" s="482">
        <f>IF('[1]Plant Data'!F13="","",'[1]Plant Data'!F13)</f>
        <v>0</v>
      </c>
      <c r="H19" s="483">
        <f>IF('[1]Plant Data'!E13="","",'[1]Plant Data'!E13)</f>
        <v>163.02042059027787</v>
      </c>
      <c r="I19" s="484">
        <f>IF('[1]Plant Data'!AD13="","",'[1]Plant Data'!AD13)</f>
        <v>2.9428571428571429E-2</v>
      </c>
      <c r="J19" s="491">
        <f>IF([2]alk_pH_Cl2!D13="","",[2]alk_pH_Cl2!D13)</f>
        <v>7.3</v>
      </c>
      <c r="K19" s="489">
        <f>IF([2]BOD!B13="","",[2]BOD!H13)</f>
        <v>196</v>
      </c>
      <c r="L19" s="487">
        <f>IF([2]TSS!B13="","",[2]TSS!B13)</f>
        <v>262</v>
      </c>
      <c r="M19" s="488">
        <f>IF([2]alk_pH_Cl2!I13="","",[2]alk_pH_Cl2!I13)</f>
        <v>0.50736582279205322</v>
      </c>
      <c r="N19" s="489">
        <f>IF([2]BOD!E13="","",[2]BOD!K13)</f>
        <v>8</v>
      </c>
      <c r="O19" s="489" t="str">
        <f>IF('7 day'!I21="","",'7 day'!I21)</f>
        <v/>
      </c>
      <c r="P19" s="480">
        <f>IF(OR(K19="",N19="",ISTEXT([2]BOD!H13)=TRUE,ISTEXT([2]BOD!K13)=TRUE),"",([2]BOD!H13-[2]BOD!K13)/[2]BOD!H13*100)</f>
        <v>95.918367346938766</v>
      </c>
      <c r="Q19" s="489">
        <f>IF(OR(D19="",N19="",ISTEXT([2]BOD!K13)=TRUE),"",D19*[2]BOD!K13*8.34)</f>
        <v>4705.2870634983374</v>
      </c>
      <c r="R19" s="489" t="str">
        <f>IF('7 day'!K21="","",'7 day'!K21)</f>
        <v/>
      </c>
      <c r="S19" s="489">
        <f>IF([2]TSS!E13="","",[2]TSS!E13)</f>
        <v>12</v>
      </c>
      <c r="T19" s="489" t="str">
        <f>IF('7 day'!M21="","",'7 day'!M21)</f>
        <v/>
      </c>
      <c r="U19" s="480">
        <f>IF(OR(L19="",S19="",ISTEXT([2]TSS!H13)=TRUE,ISTEXT([2]TSS!K13)=TRUE),"",([2]TSS!H13-[2]TSS!K13)/[2]TSS!H13*100)</f>
        <v>95.419847328244273</v>
      </c>
      <c r="V19" s="489">
        <f>IF(OR(D19="",S19="",ISTEXT([2]TSS!K13)=TRUE),"",D19*[2]TSS!K13*8.34)</f>
        <v>7057.9305952475052</v>
      </c>
      <c r="W19" s="489" t="str">
        <f>IF('7 day'!O21="","",'7 day'!O21)</f>
        <v/>
      </c>
      <c r="X19" s="490"/>
      <c r="Y19" s="22"/>
      <c r="Z19" s="11"/>
    </row>
    <row r="20" spans="1:26" s="12" customFormat="1" ht="15.95" customHeight="1" x14ac:dyDescent="0.2">
      <c r="A20" s="490">
        <v>11</v>
      </c>
      <c r="B20" s="478">
        <f>IF('[1]Plant Data'!I14="","",'[1]Plant Data'!I14)</f>
        <v>56.603756809870134</v>
      </c>
      <c r="C20" s="675">
        <f>IF('[1]Plant Data'!H14="","",'[1]Plant Data'!H14)</f>
        <v>86.236199999999997</v>
      </c>
      <c r="D20" s="479">
        <f>IF('[1]Plant Data'!P14="","",'[1]Plant Data'!P14)</f>
        <v>61.557874996527929</v>
      </c>
      <c r="E20" s="480" t="str">
        <f>IF(OR('[1]Plant Data'!N14="",'[1]Plant Data'!N14=0),"",'[1]Plant Data'!N14)</f>
        <v/>
      </c>
      <c r="F20" s="481" t="str">
        <f t="shared" si="1"/>
        <v/>
      </c>
      <c r="G20" s="482">
        <f>IF('[1]Plant Data'!F14="","",'[1]Plant Data'!F14)</f>
        <v>0.21743539652777774</v>
      </c>
      <c r="H20" s="483">
        <f>IF('[1]Plant Data'!E14="","",'[1]Plant Data'!E14)</f>
        <v>149.73261224999996</v>
      </c>
      <c r="I20" s="484" t="str">
        <f>IF('[1]Plant Data'!AD14="","",'[1]Plant Data'!AD14)</f>
        <v>T</v>
      </c>
      <c r="J20" s="491">
        <f>IF([2]alk_pH_Cl2!D14="","",[2]alk_pH_Cl2!D14)</f>
        <v>7.3</v>
      </c>
      <c r="K20" s="489">
        <f>IF([2]BOD!B14="","",[2]BOD!H14)</f>
        <v>298</v>
      </c>
      <c r="L20" s="487">
        <f>IF([2]TSS!B14="","",[2]TSS!B14)</f>
        <v>318</v>
      </c>
      <c r="M20" s="488">
        <f>IF([2]alk_pH_Cl2!I14="","",[2]alk_pH_Cl2!I14)</f>
        <v>0.54946565628051758</v>
      </c>
      <c r="N20" s="489">
        <f>IF([2]BOD!E14="","",[2]BOD!K14)</f>
        <v>9</v>
      </c>
      <c r="O20" s="489" t="str">
        <f>IF('7 day'!I22="","",'7 day'!I22)</f>
        <v/>
      </c>
      <c r="P20" s="480">
        <f>IF(OR(K20="",N20="",ISTEXT([2]BOD!H14)=TRUE,ISTEXT([2]BOD!K14)=TRUE),"",([2]BOD!H14-[2]BOD!K14)/[2]BOD!H14*100)</f>
        <v>96.979865771812086</v>
      </c>
      <c r="Q20" s="489">
        <f>IF(OR(D20="",N20="",ISTEXT([2]BOD!K14)=TRUE),"",D20*[2]BOD!K14*8.34)</f>
        <v>4620.5340972393869</v>
      </c>
      <c r="R20" s="489" t="str">
        <f>IF('7 day'!K22="","",'7 day'!K22)</f>
        <v/>
      </c>
      <c r="S20" s="489">
        <f>IF([2]TSS!E14="","",[2]TSS!E14)</f>
        <v>13</v>
      </c>
      <c r="T20" s="489" t="str">
        <f>IF('7 day'!M22="","",'7 day'!M22)</f>
        <v/>
      </c>
      <c r="U20" s="480">
        <f>IF(OR(L20="",S20="",ISTEXT([2]TSS!H14)=TRUE,ISTEXT([2]TSS!K14)=TRUE),"",([2]TSS!H14-[2]TSS!K14)/[2]TSS!H14*100)</f>
        <v>95.911949685534594</v>
      </c>
      <c r="V20" s="489">
        <f>IF(OR(D20="",S20="",ISTEXT([2]TSS!K14)=TRUE),"",D20*[2]TSS!K14*8.34)</f>
        <v>6674.1048071235582</v>
      </c>
      <c r="W20" s="489" t="str">
        <f>IF('7 day'!O22="","",'7 day'!O22)</f>
        <v/>
      </c>
      <c r="X20" s="579"/>
      <c r="Y20" s="22"/>
      <c r="Z20" s="11"/>
    </row>
    <row r="21" spans="1:26" s="12" customFormat="1" ht="15.95" customHeight="1" x14ac:dyDescent="0.2">
      <c r="A21" s="490">
        <v>12</v>
      </c>
      <c r="B21" s="478">
        <f>IF('[1]Plant Data'!I15="","",'[1]Plant Data'!I15)</f>
        <v>54.47560737847212</v>
      </c>
      <c r="C21" s="675">
        <f>IF('[1]Plant Data'!H15="","",'[1]Plant Data'!H15)</f>
        <v>73.762969999999996</v>
      </c>
      <c r="D21" s="479">
        <f>IF('[1]Plant Data'!P15="","",'[1]Plant Data'!P15)</f>
        <v>58.063271434027875</v>
      </c>
      <c r="E21" s="480" t="str">
        <f>IF(OR('[1]Plant Data'!N15="",'[1]Plant Data'!N15=0),"",'[1]Plant Data'!N15)</f>
        <v/>
      </c>
      <c r="F21" s="481" t="str">
        <f t="shared" si="1"/>
        <v/>
      </c>
      <c r="G21" s="482">
        <f>IF('[1]Plant Data'!F15="","",'[1]Plant Data'!F15)</f>
        <v>0</v>
      </c>
      <c r="H21" s="483">
        <f>IF('[1]Plant Data'!E15="","",'[1]Plant Data'!E15)</f>
        <v>140.35808517361102</v>
      </c>
      <c r="I21" s="484">
        <f>IF('[1]Plant Data'!AD15="","",'[1]Plant Data'!AD15)</f>
        <v>0</v>
      </c>
      <c r="J21" s="491">
        <f>IF([2]alk_pH_Cl2!D15="","",[2]alk_pH_Cl2!D15)</f>
        <v>7.2</v>
      </c>
      <c r="K21" s="489">
        <f>IF([2]BOD!B15="","",[2]BOD!H15)</f>
        <v>370</v>
      </c>
      <c r="L21" s="487">
        <f>IF([2]TSS!B15="","",[2]TSS!B15)</f>
        <v>288</v>
      </c>
      <c r="M21" s="488">
        <f>IF([2]alk_pH_Cl2!I15="","",[2]alk_pH_Cl2!I15)</f>
        <v>0.52355265617370605</v>
      </c>
      <c r="N21" s="489">
        <f>IF([2]BOD!E15="","",[2]BOD!K15)</f>
        <v>10</v>
      </c>
      <c r="O21" s="489">
        <f>IF('7 day'!I23="","",'7 day'!I23)</f>
        <v>11.285714285714286</v>
      </c>
      <c r="P21" s="480">
        <f>IF(OR(K21="",N21="",ISTEXT([2]BOD!H15)=TRUE,ISTEXT([2]BOD!K15)=TRUE),"",([2]BOD!H15-[2]BOD!K15)/[2]BOD!H15*100)</f>
        <v>97.297297297297305</v>
      </c>
      <c r="Q21" s="489">
        <f>IF(OR(D21="",N21="",ISTEXT([2]BOD!K15)=TRUE),"",D21*[2]BOD!K15*8.34)</f>
        <v>4842.4768375979247</v>
      </c>
      <c r="R21" s="489">
        <f>IF('7 day'!K23="","",'7 day'!K23)</f>
        <v>7243.039919473812</v>
      </c>
      <c r="S21" s="489">
        <f>IF([2]TSS!E15="","",[2]TSS!E15)</f>
        <v>14</v>
      </c>
      <c r="T21" s="489">
        <f>IF('7 day'!M23="","",'7 day'!M23)</f>
        <v>15.714285714285714</v>
      </c>
      <c r="U21" s="480">
        <f>IF(OR(L21="",S21="",ISTEXT([2]TSS!H15)=TRUE,ISTEXT([2]TSS!K15)=TRUE),"",([2]TSS!H15-[2]TSS!K15)/[2]TSS!H15*100)</f>
        <v>95.138888888888886</v>
      </c>
      <c r="V21" s="489">
        <f>IF(OR(D21="",S21="",ISTEXT([2]TSS!K15)=TRUE),"",D21*[2]TSS!K15*8.34)</f>
        <v>6779.4675726370951</v>
      </c>
      <c r="W21" s="489">
        <f>IF('7 day'!O23="","",'7 day'!O23)</f>
        <v>10081.540656830566</v>
      </c>
      <c r="X21" s="490"/>
      <c r="Y21" s="22"/>
      <c r="Z21" s="11"/>
    </row>
    <row r="22" spans="1:26" s="12" customFormat="1" ht="15.95" customHeight="1" x14ac:dyDescent="0.2">
      <c r="A22" s="490">
        <v>13</v>
      </c>
      <c r="B22" s="478">
        <f>IF('[1]Plant Data'!I16="","",'[1]Plant Data'!I16)</f>
        <v>53.42617720138891</v>
      </c>
      <c r="C22" s="675">
        <f>IF('[1]Plant Data'!H16="","",'[1]Plant Data'!H16)</f>
        <v>79.609179999999995</v>
      </c>
      <c r="D22" s="479">
        <f>IF('[1]Plant Data'!P16="","",'[1]Plant Data'!P16)</f>
        <v>56.689736284722244</v>
      </c>
      <c r="E22" s="480" t="str">
        <f>IF(OR('[1]Plant Data'!N16="",'[1]Plant Data'!N16=0),"",'[1]Plant Data'!N16)</f>
        <v/>
      </c>
      <c r="F22" s="481" t="str">
        <f t="shared" si="1"/>
        <v/>
      </c>
      <c r="G22" s="482">
        <f>IF('[1]Plant Data'!F16="","",'[1]Plant Data'!F16)</f>
        <v>0</v>
      </c>
      <c r="H22" s="483">
        <f>IF('[1]Plant Data'!E16="","",'[1]Plant Data'!E16)</f>
        <v>141.13275059027768</v>
      </c>
      <c r="I22" s="484">
        <f>IF('[1]Plant Data'!AD16="","",'[1]Plant Data'!AD16)</f>
        <v>0</v>
      </c>
      <c r="J22" s="491">
        <f>IF([2]alk_pH_Cl2!D16="","",[2]alk_pH_Cl2!D16)</f>
        <v>7.2</v>
      </c>
      <c r="K22" s="489">
        <f>IF([2]BOD!B16="","",[2]BOD!H16)</f>
        <v>251</v>
      </c>
      <c r="L22" s="487">
        <f>IF([2]TSS!B16="","",[2]TSS!B16)</f>
        <v>290</v>
      </c>
      <c r="M22" s="488">
        <f>IF([2]alk_pH_Cl2!I16="","",[2]alk_pH_Cl2!I16)</f>
        <v>0.49671745300292969</v>
      </c>
      <c r="N22" s="489">
        <f>IF([2]BOD!E16="","",[2]BOD!K16)</f>
        <v>8</v>
      </c>
      <c r="O22" s="489" t="str">
        <f>IF('7 day'!I24="","",'7 day'!I24)</f>
        <v/>
      </c>
      <c r="P22" s="480">
        <f>IF(OR(K22="",N22="",ISTEXT([2]BOD!H16)=TRUE,ISTEXT([2]BOD!K16)=TRUE),"",([2]BOD!H16-[2]BOD!K16)/[2]BOD!H16*100)</f>
        <v>96.812749003984067</v>
      </c>
      <c r="Q22" s="489">
        <f>IF(OR(D22="",N22="",ISTEXT([2]BOD!K16)=TRUE),"",D22*[2]BOD!K16*8.34)</f>
        <v>3782.3392049166682</v>
      </c>
      <c r="R22" s="489" t="str">
        <f>IF('7 day'!K24="","",'7 day'!K24)</f>
        <v/>
      </c>
      <c r="S22" s="489">
        <f>IF([2]TSS!E16="","",[2]TSS!E16)</f>
        <v>10</v>
      </c>
      <c r="T22" s="489" t="str">
        <f>IF('7 day'!M24="","",'7 day'!M24)</f>
        <v/>
      </c>
      <c r="U22" s="480">
        <f>IF(OR(L22="",S22="",ISTEXT([2]TSS!H16)=TRUE,ISTEXT([2]TSS!K16)=TRUE),"",([2]TSS!H16-[2]TSS!K16)/[2]TSS!H16*100)</f>
        <v>96.551724137931032</v>
      </c>
      <c r="V22" s="489">
        <f>IF(OR(D22="",S22="",ISTEXT([2]TSS!K16)=TRUE),"",D22*[2]TSS!K16*8.34)</f>
        <v>4727.9240061458349</v>
      </c>
      <c r="W22" s="489" t="str">
        <f>IF('7 day'!O24="","",'7 day'!O24)</f>
        <v/>
      </c>
      <c r="X22" s="490"/>
      <c r="Y22" s="22"/>
      <c r="Z22" s="11"/>
    </row>
    <row r="23" spans="1:26" s="12" customFormat="1" ht="15.95" customHeight="1" x14ac:dyDescent="0.2">
      <c r="A23" s="490">
        <v>14</v>
      </c>
      <c r="B23" s="478">
        <f>IF('[1]Plant Data'!I17="","",'[1]Plant Data'!I17)</f>
        <v>54.302129215277787</v>
      </c>
      <c r="C23" s="675">
        <f>IF('[1]Plant Data'!H17="","",'[1]Plant Data'!H17)</f>
        <v>77.195369999999997</v>
      </c>
      <c r="D23" s="479">
        <f>IF('[1]Plant Data'!P17="","",'[1]Plant Data'!P17)</f>
        <v>59.238072753472281</v>
      </c>
      <c r="E23" s="480" t="str">
        <f>IF(OR('[1]Plant Data'!N17="",'[1]Plant Data'!N17=0),"",'[1]Plant Data'!N17)</f>
        <v/>
      </c>
      <c r="F23" s="481" t="str">
        <f t="shared" si="1"/>
        <v/>
      </c>
      <c r="G23" s="482">
        <f>IF('[1]Plant Data'!F17="","",'[1]Plant Data'!F17)</f>
        <v>0</v>
      </c>
      <c r="H23" s="483">
        <f>IF('[1]Plant Data'!E17="","",'[1]Plant Data'!E17)</f>
        <v>141.51423812500008</v>
      </c>
      <c r="I23" s="484">
        <f>IF('[1]Plant Data'!AD17="","",'[1]Plant Data'!AD17)</f>
        <v>0</v>
      </c>
      <c r="J23" s="491">
        <f>IF([2]alk_pH_Cl2!D17="","",[2]alk_pH_Cl2!D17)</f>
        <v>7.2</v>
      </c>
      <c r="K23" s="489">
        <f>IF([2]BOD!B17="","",[2]BOD!H17)</f>
        <v>268</v>
      </c>
      <c r="L23" s="487">
        <f>IF([2]TSS!B17="","",[2]TSS!B17)</f>
        <v>336</v>
      </c>
      <c r="M23" s="488">
        <f>IF([2]alk_pH_Cl2!I17="","",[2]alk_pH_Cl2!I17)</f>
        <v>0.49106317758560181</v>
      </c>
      <c r="N23" s="489">
        <f>IF([2]BOD!E17="","",[2]BOD!K17)</f>
        <v>7</v>
      </c>
      <c r="O23" s="489" t="str">
        <f>IF('7 day'!I25="","",'7 day'!I25)</f>
        <v/>
      </c>
      <c r="P23" s="480">
        <f>IF(OR(K23="",N23="",ISTEXT([2]BOD!H17)=TRUE,ISTEXT([2]BOD!K17)=TRUE),"",([2]BOD!H17-[2]BOD!K17)/[2]BOD!H17*100)</f>
        <v>97.388059701492537</v>
      </c>
      <c r="Q23" s="489">
        <f>IF(OR(D23="",N23="",ISTEXT([2]BOD!K17)=TRUE),"",D23*[2]BOD!K17*8.34)</f>
        <v>3458.3186873477116</v>
      </c>
      <c r="R23" s="489" t="str">
        <f>IF('7 day'!K25="","",'7 day'!K25)</f>
        <v/>
      </c>
      <c r="S23" s="489">
        <f>IF([2]TSS!E17="","",[2]TSS!E17)</f>
        <v>14</v>
      </c>
      <c r="T23" s="489" t="str">
        <f>IF('7 day'!M25="","",'7 day'!M25)</f>
        <v/>
      </c>
      <c r="U23" s="480">
        <f>IF(OR(L23="",S23="",ISTEXT([2]TSS!H17)=TRUE,ISTEXT([2]TSS!K17)=TRUE),"",([2]TSS!H17-[2]TSS!K17)/[2]TSS!H17*100)</f>
        <v>95.833333333333343</v>
      </c>
      <c r="V23" s="489">
        <f>IF(OR(D23="",S23="",ISTEXT([2]TSS!K17)=TRUE),"",D23*[2]TSS!K17*8.34)</f>
        <v>6916.6373746954232</v>
      </c>
      <c r="W23" s="489" t="str">
        <f>IF('7 day'!O25="","",'7 day'!O25)</f>
        <v/>
      </c>
      <c r="X23" s="579"/>
      <c r="Y23" s="22"/>
      <c r="Z23" s="11"/>
    </row>
    <row r="24" spans="1:26" s="12" customFormat="1" ht="15.95" customHeight="1" x14ac:dyDescent="0.2">
      <c r="A24" s="579">
        <v>15</v>
      </c>
      <c r="B24" s="478">
        <f>IF('[1]Plant Data'!I18="","",'[1]Plant Data'!I18)</f>
        <v>53.210505878472226</v>
      </c>
      <c r="C24" s="675">
        <f>IF('[1]Plant Data'!H18="","",'[1]Plant Data'!H18)</f>
        <v>81.18047</v>
      </c>
      <c r="D24" s="479">
        <f>IF('[1]Plant Data'!P18="","",'[1]Plant Data'!P18)</f>
        <v>56.735524038194519</v>
      </c>
      <c r="E24" s="480" t="str">
        <f>IF(OR('[1]Plant Data'!N18="",'[1]Plant Data'!N18=0),"",'[1]Plant Data'!N18)</f>
        <v/>
      </c>
      <c r="F24" s="481" t="str">
        <f t="shared" si="1"/>
        <v/>
      </c>
      <c r="G24" s="482">
        <f>IF('[1]Plant Data'!F18="","",'[1]Plant Data'!F18)</f>
        <v>0</v>
      </c>
      <c r="H24" s="483">
        <f>IF('[1]Plant Data'!E18="","",'[1]Plant Data'!E18)</f>
        <v>141.65781982638907</v>
      </c>
      <c r="I24" s="484">
        <f>IF('[1]Plant Data'!AD18="","",'[1]Plant Data'!AD18)</f>
        <v>0</v>
      </c>
      <c r="J24" s="491">
        <f>IF([2]alk_pH_Cl2!D18="","",[2]alk_pH_Cl2!D18)</f>
        <v>7.4</v>
      </c>
      <c r="K24" s="489">
        <f>IF([2]BOD!B18="","",[2]BOD!H18)</f>
        <v>197</v>
      </c>
      <c r="L24" s="487">
        <f>IF([2]TSS!B18="","",[2]TSS!B18)</f>
        <v>305</v>
      </c>
      <c r="M24" s="488">
        <f>IF([2]alk_pH_Cl2!I18="","",[2]alk_pH_Cl2!I18)</f>
        <v>0.46239244937896729</v>
      </c>
      <c r="N24" s="489">
        <f>IF([2]BOD!E18="","",[2]BOD!K18)</f>
        <v>8</v>
      </c>
      <c r="O24" s="489" t="str">
        <f>IF('7 day'!I26="","",'7 day'!I26)</f>
        <v/>
      </c>
      <c r="P24" s="480">
        <f>IF(OR(K24="",N24="",ISTEXT([2]BOD!H18)=TRUE,ISTEXT([2]BOD!K18)=TRUE),"",([2]BOD!H18-[2]BOD!K18)/[2]BOD!H18*100)</f>
        <v>95.939086294416242</v>
      </c>
      <c r="Q24" s="489">
        <f>IF(OR(D24="",N24="",ISTEXT([2]BOD!K18)=TRUE),"",D24*[2]BOD!K18*8.34)</f>
        <v>3785.3941638283382</v>
      </c>
      <c r="R24" s="489" t="str">
        <f>IF('7 day'!K26="","",'7 day'!K26)</f>
        <v/>
      </c>
      <c r="S24" s="489">
        <f>IF([2]TSS!E18="","",[2]TSS!E18)</f>
        <v>27</v>
      </c>
      <c r="T24" s="489" t="str">
        <f>IF('7 day'!M26="","",'7 day'!M26)</f>
        <v/>
      </c>
      <c r="U24" s="480">
        <f>IF(OR(L24="",S24="",ISTEXT([2]TSS!H18)=TRUE,ISTEXT([2]TSS!K18)=TRUE),"",([2]TSS!H18-[2]TSS!K18)/[2]TSS!H18*100)</f>
        <v>91.147540983606561</v>
      </c>
      <c r="V24" s="489">
        <f>IF(OR(D24="",S24="",ISTEXT([2]TSS!K18)=TRUE),"",D24*[2]TSS!K18*8.34)</f>
        <v>12775.705302920642</v>
      </c>
      <c r="W24" s="489" t="str">
        <f>IF('7 day'!O26="","",'7 day'!O26)</f>
        <v/>
      </c>
      <c r="X24" s="579"/>
      <c r="Y24" s="22"/>
      <c r="Z24" s="317"/>
    </row>
    <row r="25" spans="1:26" s="12" customFormat="1" ht="15.95" customHeight="1" x14ac:dyDescent="0.2">
      <c r="A25" s="579">
        <v>16</v>
      </c>
      <c r="B25" s="478">
        <f>IF('[1]Plant Data'!I19="","",'[1]Plant Data'!I19)</f>
        <v>68.516345393857577</v>
      </c>
      <c r="C25" s="675">
        <f>IF('[1]Plant Data'!H19="","",'[1]Plant Data'!H19)</f>
        <v>185.9263</v>
      </c>
      <c r="D25" s="479">
        <f>IF('[1]Plant Data'!P19="","",'[1]Plant Data'!P19)</f>
        <v>66.036492493055562</v>
      </c>
      <c r="E25" s="480" t="str">
        <f>IF(OR('[1]Plant Data'!N19="",'[1]Plant Data'!N19=0),"",'[1]Plant Data'!N19)</f>
        <v/>
      </c>
      <c r="F25" s="481" t="str">
        <f t="shared" si="1"/>
        <v/>
      </c>
      <c r="G25" s="482">
        <f>IF('[1]Plant Data'!F19="","",'[1]Plant Data'!F19)</f>
        <v>2.3739806111111097</v>
      </c>
      <c r="H25" s="483">
        <f>IF('[1]Plant Data'!E19="","",'[1]Plant Data'!E19)</f>
        <v>144.78509190972233</v>
      </c>
      <c r="I25" s="484">
        <f>IF('[1]Plant Data'!AD19="","",'[1]Plant Data'!AD19)</f>
        <v>0.19485714285714284</v>
      </c>
      <c r="J25" s="491">
        <f>IF([2]alk_pH_Cl2!D19="","",[2]alk_pH_Cl2!D19)</f>
        <v>7.1</v>
      </c>
      <c r="K25" s="489">
        <f>IF([2]BOD!B19="","",[2]BOD!H19)</f>
        <v>278</v>
      </c>
      <c r="L25" s="487">
        <f>IF([2]TSS!B19="","",[2]TSS!B19)</f>
        <v>582</v>
      </c>
      <c r="M25" s="488">
        <f>IF([2]alk_pH_Cl2!I19="","",[2]alk_pH_Cl2!I19)</f>
        <v>0.43811589479446411</v>
      </c>
      <c r="N25" s="489">
        <f>IF([2]BOD!E19="","",[2]BOD!K19)</f>
        <v>9</v>
      </c>
      <c r="O25" s="489" t="str">
        <f>IF('7 day'!I27="","",'7 day'!I27)</f>
        <v/>
      </c>
      <c r="P25" s="480">
        <f>IF(OR(K25="",N25="",ISTEXT([2]BOD!H19)=TRUE,ISTEXT([2]BOD!K19)=TRUE),"",([2]BOD!H19-[2]BOD!K19)/[2]BOD!H19*100)</f>
        <v>96.762589928057551</v>
      </c>
      <c r="Q25" s="489">
        <f>IF(OR(D25="",N25="",ISTEXT([2]BOD!K19)=TRUE),"",D25*[2]BOD!K19*8.34)</f>
        <v>4956.6991265287506</v>
      </c>
      <c r="R25" s="489" t="str">
        <f>IF('7 day'!K27="","",'7 day'!K27)</f>
        <v/>
      </c>
      <c r="S25" s="489">
        <f>IF([2]TSS!E19="","",[2]TSS!E19)</f>
        <v>21</v>
      </c>
      <c r="T25" s="489" t="str">
        <f>IF('7 day'!M27="","",'7 day'!M27)</f>
        <v/>
      </c>
      <c r="U25" s="480">
        <f>IF(OR(L25="",S25="",ISTEXT([2]TSS!H19)=TRUE,ISTEXT([2]TSS!K19)=TRUE),"",([2]TSS!H19-[2]TSS!K19)/[2]TSS!H19*100)</f>
        <v>96.391752577319593</v>
      </c>
      <c r="V25" s="489">
        <f>IF(OR(D25="",S25="",ISTEXT([2]TSS!K19)=TRUE),"",D25*[2]TSS!K19*8.34)</f>
        <v>11565.63129523375</v>
      </c>
      <c r="W25" s="489" t="str">
        <f>IF('7 day'!O27="","",'7 day'!O27)</f>
        <v/>
      </c>
      <c r="X25" s="579"/>
      <c r="Y25" s="22" t="s">
        <v>47</v>
      </c>
      <c r="Z25" s="11"/>
    </row>
    <row r="26" spans="1:26" s="12" customFormat="1" ht="15.95" customHeight="1" x14ac:dyDescent="0.2">
      <c r="A26" s="490">
        <v>17</v>
      </c>
      <c r="B26" s="478">
        <f>IF('[1]Plant Data'!I20="","",'[1]Plant Data'!I20)</f>
        <v>60.510709100694569</v>
      </c>
      <c r="C26" s="675">
        <f>IF('[1]Plant Data'!H20="","",'[1]Plant Data'!H20)</f>
        <v>143.00630000000001</v>
      </c>
      <c r="D26" s="479">
        <f>IF('[1]Plant Data'!P20="","",'[1]Plant Data'!P20)</f>
        <v>70.716513208333325</v>
      </c>
      <c r="E26" s="480" t="str">
        <f>IF(OR('[1]Plant Data'!N20="",'[1]Plant Data'!N20=0),"",'[1]Plant Data'!N20)</f>
        <v/>
      </c>
      <c r="F26" s="481" t="str">
        <f t="shared" si="1"/>
        <v/>
      </c>
      <c r="G26" s="482">
        <f>IF('[1]Plant Data'!F20="","",'[1]Plant Data'!F20)</f>
        <v>0.6013854434350695</v>
      </c>
      <c r="H26" s="483">
        <f>IF('[1]Plant Data'!E20="","",'[1]Plant Data'!E20)</f>
        <v>144.69480600347225</v>
      </c>
      <c r="I26" s="484">
        <f>IF('[1]Plant Data'!AD20="","",'[1]Plant Data'!AD20)</f>
        <v>5.8571428571428566E-2</v>
      </c>
      <c r="J26" s="491">
        <f>IF([2]alk_pH_Cl2!D20="","",[2]alk_pH_Cl2!D20)</f>
        <v>6.8</v>
      </c>
      <c r="K26" s="489">
        <f>IF([2]BOD!B20="","",[2]BOD!H20)</f>
        <v>292</v>
      </c>
      <c r="L26" s="487">
        <f>IF([2]TSS!B20="","",[2]TSS!B20)</f>
        <v>368</v>
      </c>
      <c r="M26" s="488">
        <f>IF([2]alk_pH_Cl2!I20="","",[2]alk_pH_Cl2!I20)</f>
        <v>0.4999409019947052</v>
      </c>
      <c r="N26" s="489">
        <f>IF([2]BOD!E20="","",[2]BOD!K20)</f>
        <v>10</v>
      </c>
      <c r="O26" s="489" t="str">
        <f>IF('7 day'!I28="","",'7 day'!I28)</f>
        <v/>
      </c>
      <c r="P26" s="480">
        <f>IF(OR(K26="",N26="",ISTEXT([2]BOD!H20)=TRUE,ISTEXT([2]BOD!K20)=TRUE),"",([2]BOD!H20-[2]BOD!K20)/[2]BOD!H20*100)</f>
        <v>96.575342465753423</v>
      </c>
      <c r="Q26" s="489">
        <f>IF(OR(D26="",N26="",ISTEXT([2]BOD!K20)=TRUE),"",D26*[2]BOD!K20*8.34)</f>
        <v>5897.7572015749993</v>
      </c>
      <c r="R26" s="489" t="str">
        <f>IF('7 day'!K28="","",'7 day'!K28)</f>
        <v/>
      </c>
      <c r="S26" s="489">
        <f>IF([2]TSS!E20="","",[2]TSS!E20)</f>
        <v>16</v>
      </c>
      <c r="T26" s="489" t="str">
        <f>IF('7 day'!M28="","",'7 day'!M28)</f>
        <v/>
      </c>
      <c r="U26" s="480">
        <f>IF(OR(L26="",S26="",ISTEXT([2]TSS!H20)=TRUE,ISTEXT([2]TSS!K20)=TRUE),"",([2]TSS!H20-[2]TSS!K20)/[2]TSS!H20*100)</f>
        <v>95.652173913043484</v>
      </c>
      <c r="V26" s="489">
        <f>IF(OR(D26="",S26="",ISTEXT([2]TSS!K20)=TRUE),"",D26*[2]TSS!K20*8.34)</f>
        <v>9436.4115225199985</v>
      </c>
      <c r="W26" s="489" t="str">
        <f>IF('7 day'!O28="","",'7 day'!O28)</f>
        <v/>
      </c>
      <c r="X26" s="490"/>
      <c r="Y26" s="22"/>
      <c r="Z26" s="11"/>
    </row>
    <row r="27" spans="1:26" s="12" customFormat="1" ht="15.95" customHeight="1" x14ac:dyDescent="0.2">
      <c r="A27" s="490">
        <v>18</v>
      </c>
      <c r="B27" s="478">
        <f>IF('[1]Plant Data'!I21="","",'[1]Plant Data'!I21)</f>
        <v>131.26475308333329</v>
      </c>
      <c r="C27" s="675">
        <f>IF('[1]Plant Data'!H21="","",'[1]Plant Data'!H21)</f>
        <v>311.51940000000002</v>
      </c>
      <c r="D27" s="479">
        <f>IF('[1]Plant Data'!P21="","",'[1]Plant Data'!P21)</f>
        <v>85.819587923611024</v>
      </c>
      <c r="E27" s="480">
        <f>IF(OR('[1]Plant Data'!N21="",'[1]Plant Data'!N21=0),"",'[1]Plant Data'!N21)</f>
        <v>40.375189697916653</v>
      </c>
      <c r="F27" s="481">
        <f t="shared" si="1"/>
        <v>30.758591891217367</v>
      </c>
      <c r="G27" s="482">
        <f>IF('[1]Plant Data'!F21="","",'[1]Plant Data'!F21)</f>
        <v>25.922407127777802</v>
      </c>
      <c r="H27" s="483">
        <f>IF('[1]Plant Data'!E21="","",'[1]Plant Data'!E21)</f>
        <v>158.10864364583321</v>
      </c>
      <c r="I27" s="484">
        <f>IF('[1]Plant Data'!AD21="","",'[1]Plant Data'!AD21)</f>
        <v>1.1499999999999999</v>
      </c>
      <c r="J27" s="491">
        <f>IF([2]alk_pH_Cl2!D21="","",[2]alk_pH_Cl2!D21)</f>
        <v>7</v>
      </c>
      <c r="K27" s="489">
        <f>IF([2]BOD!B21="","",[2]BOD!H21)</f>
        <v>180</v>
      </c>
      <c r="L27" s="487">
        <f>IF([2]TSS!B21="","",[2]TSS!B21)</f>
        <v>266</v>
      </c>
      <c r="M27" s="488">
        <f>IF([2]alk_pH_Cl2!I21="","",[2]alk_pH_Cl2!I21)</f>
        <v>0.60604161024093628</v>
      </c>
      <c r="N27" s="489">
        <f>IF([2]BOD!E21="","",[2]BOD!K21)</f>
        <v>9</v>
      </c>
      <c r="O27" s="489" t="str">
        <f>IF('7 day'!I29="","",'7 day'!I29)</f>
        <v/>
      </c>
      <c r="P27" s="480">
        <f>IF(OR(K27="",N27="",ISTEXT([2]BOD!H21)=TRUE,ISTEXT([2]BOD!K21)=TRUE),"",([2]BOD!H21-[2]BOD!K21)/[2]BOD!H21*100)</f>
        <v>95</v>
      </c>
      <c r="Q27" s="489">
        <f>IF(OR(D27="",N27="",ISTEXT([2]BOD!K21)=TRUE),"",D27*[2]BOD!K21*8.34)</f>
        <v>6441.6182695462439</v>
      </c>
      <c r="R27" s="489" t="str">
        <f>IF('7 day'!K29="","",'7 day'!K29)</f>
        <v/>
      </c>
      <c r="S27" s="489">
        <f>IF([2]TSS!E21="","",[2]TSS!E21)</f>
        <v>16</v>
      </c>
      <c r="T27" s="489" t="str">
        <f>IF('7 day'!M29="","",'7 day'!M29)</f>
        <v/>
      </c>
      <c r="U27" s="480">
        <f>IF(OR(L27="",S27="",ISTEXT([2]TSS!H21)=TRUE,ISTEXT([2]TSS!K21)=TRUE),"",([2]TSS!H21-[2]TSS!K21)/[2]TSS!H21*100)</f>
        <v>93.984962406015043</v>
      </c>
      <c r="V27" s="489">
        <f>IF(OR(D27="",S27="",ISTEXT([2]TSS!K21)=TRUE),"",D27*[2]TSS!K21*8.34)</f>
        <v>11451.765812526655</v>
      </c>
      <c r="W27" s="489" t="str">
        <f>IF('7 day'!O29="","",'7 day'!O29)</f>
        <v/>
      </c>
      <c r="X27" s="490" t="s">
        <v>822</v>
      </c>
      <c r="Y27" s="22" t="s">
        <v>47</v>
      </c>
      <c r="Z27" s="11"/>
    </row>
    <row r="28" spans="1:26" s="12" customFormat="1" ht="15.95" customHeight="1" x14ac:dyDescent="0.2">
      <c r="A28" s="490">
        <v>19</v>
      </c>
      <c r="B28" s="478">
        <f>IF('[1]Plant Data'!I22="","",'[1]Plant Data'!I22)</f>
        <v>188.44385234840274</v>
      </c>
      <c r="C28" s="675">
        <f>IF('[1]Plant Data'!H22="","",'[1]Plant Data'!H22)</f>
        <v>285.05810000000002</v>
      </c>
      <c r="D28" s="479">
        <f>IF('[1]Plant Data'!P22="","",'[1]Plant Data'!P22)</f>
        <v>115.88933301736117</v>
      </c>
      <c r="E28" s="480">
        <f>IF(OR('[1]Plant Data'!N22="",'[1]Plant Data'!N22=0),"",'[1]Plant Data'!N22)</f>
        <v>78.028830916666735</v>
      </c>
      <c r="F28" s="481">
        <f t="shared" si="1"/>
        <v>41.406938960472864</v>
      </c>
      <c r="G28" s="482">
        <f>IF('[1]Plant Data'!F22="","",'[1]Plant Data'!F22)</f>
        <v>21.814148239645814</v>
      </c>
      <c r="H28" s="483">
        <f>IF('[1]Plant Data'!E22="","",'[1]Plant Data'!E22)</f>
        <v>164.15069412847208</v>
      </c>
      <c r="I28" s="484">
        <f>IF('[1]Plant Data'!AD22="","",'[1]Plant Data'!AD22)</f>
        <v>3.4857142857142857E-2</v>
      </c>
      <c r="J28" s="491">
        <f>IF([2]alk_pH_Cl2!D22="","",[2]alk_pH_Cl2!D22)</f>
        <v>7.1</v>
      </c>
      <c r="K28" s="489">
        <f>IF([2]BOD!B22="","",[2]BOD!H22)</f>
        <v>95</v>
      </c>
      <c r="L28" s="487">
        <f>IF([2]TSS!B22="","",[2]TSS!B22)</f>
        <v>120</v>
      </c>
      <c r="M28" s="488">
        <f>IF([2]alk_pH_Cl2!I22="","",[2]alk_pH_Cl2!I22)</f>
        <v>0.67780792713165283</v>
      </c>
      <c r="N28" s="489">
        <f>IF([2]BOD!E22="","",[2]BOD!K22)</f>
        <v>16</v>
      </c>
      <c r="O28" s="489">
        <f>IF('7 day'!I30="","",'7 day'!I30)</f>
        <v>9.5714285714285712</v>
      </c>
      <c r="P28" s="480">
        <f>IF(OR(K28="",N28="",ISTEXT([2]BOD!H22)=TRUE,ISTEXT([2]BOD!K22)=TRUE),"",([2]BOD!H22-[2]BOD!K22)/[2]BOD!H22*100)</f>
        <v>83.15789473684211</v>
      </c>
      <c r="Q28" s="489">
        <f>IF(OR(D28="",N28="",ISTEXT([2]BOD!K22)=TRUE),"",D28*[2]BOD!K22*8.34)</f>
        <v>15464.272597836674</v>
      </c>
      <c r="R28" s="489">
        <f>IF('7 day'!K30="","",'7 day'!K30)</f>
        <v>6255.1998930827694</v>
      </c>
      <c r="S28" s="489">
        <f>IF([2]TSS!E22="","",[2]TSS!E22)</f>
        <v>35</v>
      </c>
      <c r="T28" s="489">
        <f>IF('7 day'!M30="","",'7 day'!M30)</f>
        <v>19.857142857142858</v>
      </c>
      <c r="U28" s="480">
        <f>IF(OR(L28="",S28="",ISTEXT([2]TSS!H22)=TRUE,ISTEXT([2]TSS!K22)=TRUE),"",([2]TSS!H22-[2]TSS!K22)/[2]TSS!H22*100)</f>
        <v>70.833333333333343</v>
      </c>
      <c r="V28" s="489">
        <f>IF(OR(D28="",S28="",ISTEXT([2]TSS!K22)=TRUE),"",D28*[2]TSS!K22*8.34)</f>
        <v>33828.096307767722</v>
      </c>
      <c r="W28" s="489">
        <f>IF('7 day'!O30="","",'7 day'!O30)</f>
        <v>12957.453088830005</v>
      </c>
      <c r="X28" s="490" t="s">
        <v>822</v>
      </c>
      <c r="Y28" s="22"/>
      <c r="Z28" s="11"/>
    </row>
    <row r="29" spans="1:26" s="12" customFormat="1" ht="15.6" customHeight="1" x14ac:dyDescent="0.2">
      <c r="A29" s="490">
        <v>20</v>
      </c>
      <c r="B29" s="478">
        <f>IF('[1]Plant Data'!I23="","",'[1]Plant Data'!I23)</f>
        <v>145.46042676736121</v>
      </c>
      <c r="C29" s="675">
        <f>IF('[1]Plant Data'!H23="","",'[1]Plant Data'!H23)</f>
        <v>315.42200000000003</v>
      </c>
      <c r="D29" s="479">
        <f>IF('[1]Plant Data'!P23="","",'[1]Plant Data'!P23)</f>
        <v>104.33788848263907</v>
      </c>
      <c r="E29" s="480">
        <f>IF(OR('[1]Plant Data'!N23="",'[1]Plant Data'!N23=0),"",'[1]Plant Data'!N23)</f>
        <v>43.998575041666641</v>
      </c>
      <c r="F29" s="481">
        <f t="shared" si="1"/>
        <v>30.247797300935154</v>
      </c>
      <c r="G29" s="482">
        <f>IF('[1]Plant Data'!F23="","",'[1]Plant Data'!F23)</f>
        <v>16.112996717139591</v>
      </c>
      <c r="H29" s="483">
        <f>IF('[1]Plant Data'!E23="","",'[1]Plant Data'!E23)</f>
        <v>161.48674899305576</v>
      </c>
      <c r="I29" s="484">
        <f>IF('[1]Plant Data'!AD23="","",'[1]Plant Data'!AD23)</f>
        <v>0.48314285714285715</v>
      </c>
      <c r="J29" s="491">
        <f>IF([2]alk_pH_Cl2!D23="","",[2]alk_pH_Cl2!D23)</f>
        <v>7</v>
      </c>
      <c r="K29" s="489">
        <f>IF([2]BOD!B23="","",[2]BOD!H23)</f>
        <v>108</v>
      </c>
      <c r="L29" s="487">
        <f>IF([2]TSS!B23="","",[2]TSS!B23)</f>
        <v>140</v>
      </c>
      <c r="M29" s="488">
        <f>IF([2]alk_pH_Cl2!I23="","",[2]alk_pH_Cl2!I23)</f>
        <v>0.51827239990234375</v>
      </c>
      <c r="N29" s="489">
        <f>IF([2]BOD!E23="","",[2]BOD!K23)</f>
        <v>8</v>
      </c>
      <c r="O29" s="489" t="str">
        <f>IF('7 day'!I31="","",'7 day'!I31)</f>
        <v/>
      </c>
      <c r="P29" s="480">
        <f>IF(OR(K29="",N29="",ISTEXT([2]BOD!H23)=TRUE,ISTEXT([2]BOD!K23)=TRUE),"",([2]BOD!H23-[2]BOD!K23)/[2]BOD!H23*100)</f>
        <v>92.592592592592595</v>
      </c>
      <c r="Q29" s="489">
        <f>IF(OR(D29="",N29="",ISTEXT([2]BOD!K23)=TRUE),"",D29*[2]BOD!K23*8.34)</f>
        <v>6961.4239195616792</v>
      </c>
      <c r="R29" s="489" t="str">
        <f>IF('7 day'!K31="","",'7 day'!K31)</f>
        <v/>
      </c>
      <c r="S29" s="489">
        <f>IF([2]TSS!E23="","",[2]TSS!E23)</f>
        <v>17</v>
      </c>
      <c r="T29" s="489" t="str">
        <f>IF('7 day'!M31="","",'7 day'!M31)</f>
        <v/>
      </c>
      <c r="U29" s="480">
        <f>IF(OR(L29="",S29="",ISTEXT([2]TSS!H23)=TRUE,ISTEXT([2]TSS!K23)=TRUE),"",([2]TSS!H23-[2]TSS!K23)/[2]TSS!H23*100)</f>
        <v>87.857142857142861</v>
      </c>
      <c r="V29" s="489">
        <f>IF(OR(D29="",S29="",ISTEXT([2]TSS!K23)=TRUE),"",D29*[2]TSS!K23*8.34)</f>
        <v>14793.025829068567</v>
      </c>
      <c r="W29" s="489" t="str">
        <f>IF('7 day'!O31="","",'7 day'!O31)</f>
        <v/>
      </c>
      <c r="X29" s="490" t="s">
        <v>822</v>
      </c>
      <c r="Y29" s="22"/>
      <c r="Z29" s="11"/>
    </row>
    <row r="30" spans="1:26" s="12" customFormat="1" ht="15.95" customHeight="1" x14ac:dyDescent="0.2">
      <c r="A30" s="490">
        <v>21</v>
      </c>
      <c r="B30" s="478">
        <f>IF('[1]Plant Data'!I24="","",'[1]Plant Data'!I24)</f>
        <v>67.602457659722162</v>
      </c>
      <c r="C30" s="675">
        <f>IF('[1]Plant Data'!H24="","",'[1]Plant Data'!H24)</f>
        <v>84.960849999999994</v>
      </c>
      <c r="D30" s="479">
        <f>IF('[1]Plant Data'!P24="","",'[1]Plant Data'!P24)</f>
        <v>80.501469586805641</v>
      </c>
      <c r="E30" s="480" t="str">
        <f>IF(OR('[1]Plant Data'!N24="",'[1]Plant Data'!N24=0),"",'[1]Plant Data'!N24)</f>
        <v/>
      </c>
      <c r="F30" s="481" t="str">
        <f t="shared" si="1"/>
        <v/>
      </c>
      <c r="G30" s="482">
        <f>IF('[1]Plant Data'!F24="","",'[1]Plant Data'!F24)</f>
        <v>0</v>
      </c>
      <c r="H30" s="483">
        <f>IF('[1]Plant Data'!E24="","",'[1]Plant Data'!E24)</f>
        <v>154.44682138888896</v>
      </c>
      <c r="I30" s="484">
        <f>IF('[1]Plant Data'!AD24="","",'[1]Plant Data'!AD24)</f>
        <v>3.1515151515151517E-2</v>
      </c>
      <c r="J30" s="491">
        <f>IF([2]alk_pH_Cl2!D24="","",[2]alk_pH_Cl2!D24)</f>
        <v>7.1</v>
      </c>
      <c r="K30" s="489">
        <f>IF([2]BOD!B24="","",[2]BOD!H24)</f>
        <v>160</v>
      </c>
      <c r="L30" s="487">
        <f>IF([2]TSS!B24="","",[2]TSS!B24)</f>
        <v>140</v>
      </c>
      <c r="M30" s="488">
        <f>IF([2]alk_pH_Cl2!I24="","",[2]alk_pH_Cl2!I24)</f>
        <v>0.73684978485107422</v>
      </c>
      <c r="N30" s="489">
        <f>IF([2]BOD!E24="","",[2]BOD!K24)</f>
        <v>11</v>
      </c>
      <c r="O30" s="489" t="str">
        <f>IF('7 day'!I32="","",'7 day'!I32)</f>
        <v/>
      </c>
      <c r="P30" s="480">
        <f>IF(OR(K30="",N30="",ISTEXT([2]BOD!H24)=TRUE,ISTEXT([2]BOD!K24)=TRUE),"",([2]BOD!H24-[2]BOD!K24)/[2]BOD!H24*100)</f>
        <v>93.125</v>
      </c>
      <c r="Q30" s="489">
        <f>IF(OR(D30="",N30="",ISTEXT([2]BOD!K24)=TRUE),"",D30*[2]BOD!K24*8.34)</f>
        <v>7385.204819893549</v>
      </c>
      <c r="R30" s="489" t="str">
        <f>IF('7 day'!K32="","",'7 day'!K32)</f>
        <v/>
      </c>
      <c r="S30" s="489">
        <f>IF([2]TSS!E24="","",[2]TSS!E24)</f>
        <v>22</v>
      </c>
      <c r="T30" s="489" t="str">
        <f>IF('7 day'!M32="","",'7 day'!M32)</f>
        <v/>
      </c>
      <c r="U30" s="480">
        <f>IF(OR(L30="",S30="",ISTEXT([2]TSS!H24)=TRUE,ISTEXT([2]TSS!K24)=TRUE),"",([2]TSS!H24-[2]TSS!K24)/[2]TSS!H24*100)</f>
        <v>84.285714285714292</v>
      </c>
      <c r="V30" s="489">
        <f>IF(OR(D30="",S30="",ISTEXT([2]TSS!K24)=TRUE),"",D30*[2]TSS!K24*8.34)</f>
        <v>14770.409639787098</v>
      </c>
      <c r="W30" s="489" t="str">
        <f>IF('7 day'!O32="","",'7 day'!O32)</f>
        <v/>
      </c>
      <c r="X30" s="579"/>
      <c r="Y30" s="22"/>
      <c r="Z30" s="11"/>
    </row>
    <row r="31" spans="1:26" s="12" customFormat="1" ht="15.95" customHeight="1" x14ac:dyDescent="0.2">
      <c r="A31" s="490">
        <v>22</v>
      </c>
      <c r="B31" s="478">
        <f>IF('[1]Plant Data'!I25="","",'[1]Plant Data'!I25)</f>
        <v>116.1367787708331</v>
      </c>
      <c r="C31" s="675">
        <f>IF('[1]Plant Data'!H25="","",'[1]Plant Data'!H25)</f>
        <v>282.07929999999999</v>
      </c>
      <c r="D31" s="479">
        <f>IF('[1]Plant Data'!P25="","",'[1]Plant Data'!P25)</f>
        <v>90.231042760416614</v>
      </c>
      <c r="E31" s="480">
        <f>IF(OR('[1]Plant Data'!N25="",'[1]Plant Data'!N25=0),"",'[1]Plant Data'!N25)</f>
        <v>23.556970222222247</v>
      </c>
      <c r="F31" s="481">
        <f t="shared" si="1"/>
        <v>20.283815748589031</v>
      </c>
      <c r="G31" s="482">
        <f>IF('[1]Plant Data'!F25="","",'[1]Plant Data'!F25)</f>
        <v>10.76125477847221</v>
      </c>
      <c r="H31" s="483">
        <f>IF('[1]Plant Data'!E25="","",'[1]Plant Data'!E25)</f>
        <v>159.5765179826391</v>
      </c>
      <c r="I31" s="484">
        <f>IF('[1]Plant Data'!AD25="","",'[1]Plant Data'!AD25)</f>
        <v>0.37457142857142856</v>
      </c>
      <c r="J31" s="491">
        <f>IF([2]alk_pH_Cl2!D25="","",[2]alk_pH_Cl2!D25)</f>
        <v>6.9</v>
      </c>
      <c r="K31" s="489">
        <f>IF([2]BOD!B25="","",[2]BOD!H25)</f>
        <v>172</v>
      </c>
      <c r="L31" s="487">
        <f>IF([2]TSS!B25="","",[2]TSS!B25)</f>
        <v>242</v>
      </c>
      <c r="M31" s="488">
        <f>IF([2]alk_pH_Cl2!I25="","",[2]alk_pH_Cl2!I25)</f>
        <v>0.64570462703704834</v>
      </c>
      <c r="N31" s="489">
        <f>IF([2]BOD!E25="","",[2]BOD!K25)</f>
        <v>12</v>
      </c>
      <c r="O31" s="489" t="str">
        <f>IF('7 day'!I33="","",'7 day'!I33)</f>
        <v/>
      </c>
      <c r="P31" s="480">
        <f>IF(OR(K31="",N31="",ISTEXT([2]BOD!H25)=TRUE,ISTEXT([2]BOD!K25)=TRUE),"",([2]BOD!H25-[2]BOD!K25)/[2]BOD!H25*100)</f>
        <v>93.023255813953483</v>
      </c>
      <c r="Q31" s="489">
        <f>IF(OR(D31="",N31="",ISTEXT([2]BOD!K25)=TRUE),"",D31*[2]BOD!K25*8.34)</f>
        <v>9030.322759462495</v>
      </c>
      <c r="R31" s="489" t="str">
        <f>IF('7 day'!K33="","",'7 day'!K33)</f>
        <v/>
      </c>
      <c r="S31" s="489">
        <f>IF([2]TSS!E25="","",[2]TSS!E25)</f>
        <v>17</v>
      </c>
      <c r="T31" s="489" t="str">
        <f>IF('7 day'!M33="","",'7 day'!M33)</f>
        <v/>
      </c>
      <c r="U31" s="480">
        <f>IF(OR(L31="",S31="",ISTEXT([2]TSS!H25)=TRUE,ISTEXT([2]TSS!K25)=TRUE),"",([2]TSS!H25-[2]TSS!K25)/[2]TSS!H25*100)</f>
        <v>92.975206611570243</v>
      </c>
      <c r="V31" s="489">
        <f>IF(OR(D31="",S31="",ISTEXT([2]TSS!K25)=TRUE),"",D31*[2]TSS!K25*8.34)</f>
        <v>12792.957242571867</v>
      </c>
      <c r="W31" s="489" t="str">
        <f>IF('7 day'!O33="","",'7 day'!O33)</f>
        <v/>
      </c>
      <c r="X31" s="579" t="s">
        <v>822</v>
      </c>
      <c r="Y31" s="22"/>
      <c r="Z31" s="11"/>
    </row>
    <row r="32" spans="1:26" s="12" customFormat="1" ht="15.95" customHeight="1" x14ac:dyDescent="0.2">
      <c r="A32" s="490">
        <v>23</v>
      </c>
      <c r="B32" s="478">
        <f>IF('[1]Plant Data'!I26="","",'[1]Plant Data'!I26)</f>
        <v>82.363051128472321</v>
      </c>
      <c r="C32" s="675">
        <f>IF('[1]Plant Data'!H26="","",'[1]Plant Data'!H26)</f>
        <v>145.7663</v>
      </c>
      <c r="D32" s="479">
        <f>IF('[1]Plant Data'!P26="","",'[1]Plant Data'!P26)</f>
        <v>94.460625118055702</v>
      </c>
      <c r="E32" s="1530" t="str">
        <f>IF(OR('[1]Plant Data'!N26="",'[1]Plant Data'!N26=0),"",'[1]Plant Data'!N26)</f>
        <v/>
      </c>
      <c r="F32" s="1547" t="str">
        <f t="shared" si="1"/>
        <v/>
      </c>
      <c r="G32" s="482">
        <f>IF('[1]Plant Data'!F26="","",'[1]Plant Data'!F26)</f>
        <v>0.4266328524305556</v>
      </c>
      <c r="H32" s="483">
        <f>IF('[1]Plant Data'!E26="","",'[1]Plant Data'!E26)</f>
        <v>156.70120996527788</v>
      </c>
      <c r="I32" s="484">
        <f>IF('[1]Plant Data'!AD26="","",'[1]Plant Data'!AD26)</f>
        <v>3.5142857142857142E-2</v>
      </c>
      <c r="J32" s="491">
        <f>IF([2]alk_pH_Cl2!D26="","",[2]alk_pH_Cl2!D26)</f>
        <v>7</v>
      </c>
      <c r="K32" s="489">
        <f>IF([2]BOD!B26="","",[2]BOD!H26)</f>
        <v>222</v>
      </c>
      <c r="L32" s="487">
        <f>IF([2]TSS!B26="","",[2]TSS!B26)</f>
        <v>217</v>
      </c>
      <c r="M32" s="488">
        <f>IF([2]alk_pH_Cl2!I26="","",[2]alk_pH_Cl2!I26)</f>
        <v>0.57925868034362793</v>
      </c>
      <c r="N32" s="489">
        <f>IF([2]BOD!E26="","",[2]BOD!K26)</f>
        <v>10</v>
      </c>
      <c r="O32" s="489" t="str">
        <f>IF('7 day'!I34="","",'7 day'!I34)</f>
        <v/>
      </c>
      <c r="P32" s="480">
        <f>IF(OR(K32="",N32="",ISTEXT([2]BOD!H26)=TRUE,ISTEXT([2]BOD!K26)=TRUE),"",([2]BOD!H26-[2]BOD!K26)/[2]BOD!H26*100)</f>
        <v>95.495495495495504</v>
      </c>
      <c r="Q32" s="489">
        <f>IF(OR(D32="",N32="",ISTEXT([2]BOD!K26)=TRUE),"",D32*[2]BOD!K26*8.34)</f>
        <v>7878.016134845845</v>
      </c>
      <c r="R32" s="489" t="str">
        <f>IF('7 day'!K34="","",'7 day'!K34)</f>
        <v/>
      </c>
      <c r="S32" s="489">
        <f>IF([2]TSS!E26="","",[2]TSS!E26)</f>
        <v>16</v>
      </c>
      <c r="T32" s="489" t="str">
        <f>IF('7 day'!M34="","",'7 day'!M34)</f>
        <v/>
      </c>
      <c r="U32" s="480">
        <f>IF(OR(L32="",S32="",ISTEXT([2]TSS!H26)=TRUE,ISTEXT([2]TSS!K26)=TRUE),"",([2]TSS!H26-[2]TSS!K26)/[2]TSS!H26*100)</f>
        <v>92.626728110599075</v>
      </c>
      <c r="V32" s="489">
        <f>IF(OR(D32="",S32="",ISTEXT([2]TSS!K26)=TRUE),"",D32*[2]TSS!K26*8.34)</f>
        <v>12604.825815753353</v>
      </c>
      <c r="W32" s="489" t="str">
        <f>IF('7 day'!O34="","",'7 day'!O34)</f>
        <v/>
      </c>
      <c r="X32" s="579"/>
      <c r="Y32" s="22"/>
      <c r="Z32" s="11"/>
    </row>
    <row r="33" spans="1:26" s="12" customFormat="1" ht="15.95" customHeight="1" x14ac:dyDescent="0.2">
      <c r="A33" s="490">
        <v>24</v>
      </c>
      <c r="B33" s="478">
        <f>IF('[1]Plant Data'!I27="","",'[1]Plant Data'!I27)</f>
        <v>63.443430267361116</v>
      </c>
      <c r="C33" s="675">
        <f>IF('[1]Plant Data'!H27="","",'[1]Plant Data'!H27)</f>
        <v>78.835400000000007</v>
      </c>
      <c r="D33" s="479">
        <f>IF('[1]Plant Data'!P27="","",'[1]Plant Data'!P27)</f>
        <v>67.374210156250072</v>
      </c>
      <c r="E33" s="480" t="str">
        <f>IF(OR('[1]Plant Data'!N27="",'[1]Plant Data'!N27=0),"",'[1]Plant Data'!N27)</f>
        <v/>
      </c>
      <c r="F33" s="481" t="str">
        <f t="shared" si="1"/>
        <v/>
      </c>
      <c r="G33" s="482">
        <f>IF('[1]Plant Data'!F27="","",'[1]Plant Data'!F27)</f>
        <v>0</v>
      </c>
      <c r="H33" s="483">
        <f>IF('[1]Plant Data'!E27="","",'[1]Plant Data'!E27)</f>
        <v>159.93195517361113</v>
      </c>
      <c r="I33" s="484" t="str">
        <f>IF('[1]Plant Data'!AD27="","",'[1]Plant Data'!AD27)</f>
        <v>T</v>
      </c>
      <c r="J33" s="491">
        <f>IF([2]alk_pH_Cl2!D27="","",[2]alk_pH_Cl2!D27)</f>
        <v>7.2</v>
      </c>
      <c r="K33" s="489">
        <f>IF([2]BOD!B27="","",[2]BOD!H27)</f>
        <v>268</v>
      </c>
      <c r="L33" s="487">
        <f>IF([2]TSS!B27="","",[2]TSS!B27)</f>
        <v>562</v>
      </c>
      <c r="M33" s="488">
        <f>IF([2]alk_pH_Cl2!I27="","",[2]alk_pH_Cl2!I27)</f>
        <v>0.51021862030029297</v>
      </c>
      <c r="N33" s="489">
        <f>IF([2]BOD!E27="","",[2]BOD!K27)</f>
        <v>14</v>
      </c>
      <c r="O33" s="489" t="str">
        <f>IF('7 day'!I35="","",'7 day'!I35)</f>
        <v/>
      </c>
      <c r="P33" s="480">
        <f>IF(OR(K33="",N33="",ISTEXT([2]BOD!H27)=TRUE,ISTEXT([2]BOD!K27)=TRUE),"",([2]BOD!H27-[2]BOD!K27)/[2]BOD!H27*100)</f>
        <v>94.776119402985074</v>
      </c>
      <c r="Q33" s="489">
        <f>IF(OR(D33="",N33="",ISTEXT([2]BOD!K27)=TRUE),"",D33*[2]BOD!K27*8.34)</f>
        <v>7866.6127778437585</v>
      </c>
      <c r="R33" s="489" t="str">
        <f>IF('7 day'!K35="","",'7 day'!K35)</f>
        <v/>
      </c>
      <c r="S33" s="489">
        <f>IF([2]TSS!E27="","",[2]TSS!E27)</f>
        <v>19</v>
      </c>
      <c r="T33" s="489" t="str">
        <f>IF('7 day'!M35="","",'7 day'!M35)</f>
        <v/>
      </c>
      <c r="U33" s="480">
        <f>IF(OR(L33="",S33="",ISTEXT([2]TSS!H27)=TRUE,ISTEXT([2]TSS!K27)=TRUE),"",([2]TSS!H27-[2]TSS!K27)/[2]TSS!H27*100)</f>
        <v>96.619217081850536</v>
      </c>
      <c r="V33" s="489">
        <f>IF(OR(D33="",S33="",ISTEXT([2]TSS!K27)=TRUE),"",D33*[2]TSS!K27*8.34)</f>
        <v>10676.117341359386</v>
      </c>
      <c r="W33" s="489" t="str">
        <f>IF('7 day'!O35="","",'7 day'!O35)</f>
        <v/>
      </c>
      <c r="X33" s="579"/>
      <c r="Y33" s="22"/>
      <c r="Z33" s="11"/>
    </row>
    <row r="34" spans="1:26" s="12" customFormat="1" ht="15.95" customHeight="1" x14ac:dyDescent="0.2">
      <c r="A34" s="490">
        <v>25</v>
      </c>
      <c r="B34" s="478">
        <f>IF('[1]Plant Data'!I28="","",'[1]Plant Data'!I28)</f>
        <v>59.51923723263878</v>
      </c>
      <c r="C34" s="675">
        <f>IF('[1]Plant Data'!H28="","",'[1]Plant Data'!H28)</f>
        <v>79.128450000000001</v>
      </c>
      <c r="D34" s="479">
        <f>IF('[1]Plant Data'!P28="","",'[1]Plant Data'!P28)</f>
        <v>64.412447163194457</v>
      </c>
      <c r="E34" s="1530"/>
      <c r="F34" s="1547"/>
      <c r="G34" s="482">
        <f>IF('[1]Plant Data'!F28="","",'[1]Plant Data'!F28)</f>
        <v>0</v>
      </c>
      <c r="H34" s="483">
        <f>IF('[1]Plant Data'!E28="","",'[1]Plant Data'!E28)</f>
        <v>160.30829249999994</v>
      </c>
      <c r="I34" s="484">
        <f>IF('[1]Plant Data'!AD28="","",'[1]Plant Data'!AD28)</f>
        <v>0</v>
      </c>
      <c r="J34" s="491">
        <f>IF([2]alk_pH_Cl2!D28="","",[2]alk_pH_Cl2!D28)</f>
        <v>7.2</v>
      </c>
      <c r="K34" s="489">
        <f>IF([2]BOD!B28="","",[2]BOD!H28)</f>
        <v>233</v>
      </c>
      <c r="L34" s="487">
        <f>IF([2]TSS!B28="","",[2]TSS!B28)</f>
        <v>370</v>
      </c>
      <c r="M34" s="488">
        <f>IF([2]alk_pH_Cl2!I28="","",[2]alk_pH_Cl2!I28)</f>
        <v>0.49374294281005859</v>
      </c>
      <c r="N34" s="489">
        <f>IF([2]BOD!E28="","",[2]BOD!K28)</f>
        <v>12</v>
      </c>
      <c r="O34" s="489" t="str">
        <f>IF('7 day'!I36="","",'7 day'!I36)</f>
        <v/>
      </c>
      <c r="P34" s="480">
        <f>IF(OR(K34="",N34="",ISTEXT([2]BOD!H28)=TRUE,ISTEXT([2]BOD!K28)=TRUE),"",([2]BOD!H28-[2]BOD!K28)/[2]BOD!H28*100)</f>
        <v>94.849785407725321</v>
      </c>
      <c r="Q34" s="489">
        <f>IF(OR(D34="",N34="",ISTEXT([2]BOD!K28)=TRUE),"",D34*[2]BOD!K28*8.34)</f>
        <v>6446.397712092501</v>
      </c>
      <c r="R34" s="489" t="str">
        <f>IF('7 day'!K36="","",'7 day'!K36)</f>
        <v/>
      </c>
      <c r="S34" s="489">
        <f>IF([2]TSS!E28="","",[2]TSS!E28)</f>
        <v>17</v>
      </c>
      <c r="T34" s="489" t="str">
        <f>IF('7 day'!M36="","",'7 day'!M36)</f>
        <v/>
      </c>
      <c r="U34" s="480">
        <f>IF(OR(L34="",S34="",ISTEXT([2]TSS!H28)=TRUE,ISTEXT([2]TSS!K28)=TRUE),"",([2]TSS!H28-[2]TSS!K28)/[2]TSS!H28*100)</f>
        <v>95.405405405405403</v>
      </c>
      <c r="V34" s="489">
        <f>IF(OR(D34="",S34="",ISTEXT([2]TSS!K28)=TRUE),"",D34*[2]TSS!K28*8.34)</f>
        <v>9132.3967587977095</v>
      </c>
      <c r="W34" s="489" t="str">
        <f>IF('7 day'!O36="","",'7 day'!O36)</f>
        <v/>
      </c>
      <c r="X34" s="579"/>
      <c r="Y34" s="22"/>
      <c r="Z34" s="11"/>
    </row>
    <row r="35" spans="1:26" s="12" customFormat="1" ht="15.95" customHeight="1" x14ac:dyDescent="0.2">
      <c r="A35" s="490">
        <v>26</v>
      </c>
      <c r="B35" s="478">
        <f>IF('[1]Plant Data'!I29="","",'[1]Plant Data'!I29)</f>
        <v>55.282743635416665</v>
      </c>
      <c r="C35" s="675">
        <f>IF('[1]Plant Data'!H29="","",'[1]Plant Data'!H29)</f>
        <v>74.940290000000005</v>
      </c>
      <c r="D35" s="479">
        <f>IF('[1]Plant Data'!P29="","",'[1]Plant Data'!P29)</f>
        <v>60.574170576388781</v>
      </c>
      <c r="E35" s="480" t="str">
        <f>IF(OR('[1]Plant Data'!N29="",'[1]Plant Data'!N29=0),"",'[1]Plant Data'!N29)</f>
        <v/>
      </c>
      <c r="F35" s="481" t="str">
        <f t="shared" si="1"/>
        <v/>
      </c>
      <c r="G35" s="482">
        <f>IF('[1]Plant Data'!F29="","",'[1]Plant Data'!F29)</f>
        <v>0</v>
      </c>
      <c r="H35" s="483">
        <f>IF('[1]Plant Data'!E29="","",'[1]Plant Data'!E29)</f>
        <v>160.475787326389</v>
      </c>
      <c r="I35" s="484">
        <f>IF('[1]Plant Data'!AD29="","",'[1]Plant Data'!AD29)</f>
        <v>0</v>
      </c>
      <c r="J35" s="491">
        <f>IF([2]alk_pH_Cl2!D29="","",[2]alk_pH_Cl2!D29)</f>
        <v>7.2</v>
      </c>
      <c r="K35" s="489">
        <f>IF([2]BOD!B29="","",[2]BOD!H29)</f>
        <v>228</v>
      </c>
      <c r="L35" s="487">
        <f>IF([2]TSS!B29="","",[2]TSS!B29)</f>
        <v>130</v>
      </c>
      <c r="M35" s="488">
        <f>IF([2]alk_pH_Cl2!I29="","",[2]alk_pH_Cl2!I29)</f>
        <v>0.4524846076965332</v>
      </c>
      <c r="N35" s="489">
        <f>IF([2]BOD!E29="","",[2]BOD!K29)</f>
        <v>15</v>
      </c>
      <c r="O35" s="489">
        <f>IF('7 day'!I37="","",'7 day'!I37)</f>
        <v>11.714285714285714</v>
      </c>
      <c r="P35" s="480">
        <f>IF(OR(K35="",N35="",ISTEXT([2]BOD!H29)=TRUE,ISTEXT([2]BOD!K29)=TRUE),"",([2]BOD!H29-[2]BOD!K29)/[2]BOD!H29*100)</f>
        <v>93.421052631578945</v>
      </c>
      <c r="Q35" s="489">
        <f>IF(OR(D35="",N35="",ISTEXT([2]BOD!K29)=TRUE),"",D35*[2]BOD!K29*8.34)</f>
        <v>7577.8287391062368</v>
      </c>
      <c r="R35" s="489">
        <f>IF('7 day'!K37="","",'7 day'!K37)</f>
        <v>7592.2581232580078</v>
      </c>
      <c r="S35" s="489">
        <f>IF([2]TSS!E29="","",[2]TSS!E29)</f>
        <v>17</v>
      </c>
      <c r="T35" s="489">
        <f>IF('7 day'!M37="","",'7 day'!M37)</f>
        <v>17.857142857142858</v>
      </c>
      <c r="U35" s="480">
        <f>IF(OR(L35="",S35="",ISTEXT([2]TSS!H29)=TRUE,ISTEXT([2]TSS!K29)=TRUE),"",([2]TSS!H29-[2]TSS!K29)/[2]TSS!H29*100)</f>
        <v>86.92307692307692</v>
      </c>
      <c r="V35" s="489">
        <f>IF(OR(D35="",S35="",ISTEXT([2]TSS!K29)=TRUE),"",D35*[2]TSS!K29*8.34)</f>
        <v>8588.2059043204008</v>
      </c>
      <c r="W35" s="489">
        <f>IF('7 day'!O37="","",'7 day'!O37)</f>
        <v>11908.276933094055</v>
      </c>
      <c r="X35" s="579"/>
      <c r="Y35" s="22" t="s">
        <v>47</v>
      </c>
      <c r="Z35" s="11"/>
    </row>
    <row r="36" spans="1:26" s="12" customFormat="1" ht="15.95" customHeight="1" x14ac:dyDescent="0.2">
      <c r="A36" s="490">
        <v>27</v>
      </c>
      <c r="B36" s="478">
        <f>IF('[1]Plant Data'!I30="","",'[1]Plant Data'!I30)</f>
        <v>54.39654560069458</v>
      </c>
      <c r="C36" s="675">
        <f>IF('[1]Plant Data'!H30="","",'[1]Plant Data'!H30)</f>
        <v>82.180940000000007</v>
      </c>
      <c r="D36" s="479">
        <f>IF('[1]Plant Data'!P30="","",'[1]Plant Data'!P30)</f>
        <v>58.311239673610999</v>
      </c>
      <c r="E36" s="480" t="str">
        <f>IF(OR('[1]Plant Data'!N30="",'[1]Plant Data'!N30=0),"",'[1]Plant Data'!N30)</f>
        <v/>
      </c>
      <c r="F36" s="481" t="str">
        <f t="shared" si="1"/>
        <v/>
      </c>
      <c r="G36" s="482">
        <f>IF('[1]Plant Data'!F30="","",'[1]Plant Data'!F30)</f>
        <v>0</v>
      </c>
      <c r="H36" s="483">
        <f>IF('[1]Plant Data'!E30="","",'[1]Plant Data'!E30)</f>
        <v>160.61186979166672</v>
      </c>
      <c r="I36" s="484">
        <f>IF('[1]Plant Data'!AD30="","",'[1]Plant Data'!AD30)</f>
        <v>0.01</v>
      </c>
      <c r="J36" s="491">
        <f>IF([2]alk_pH_Cl2!D30="","",[2]alk_pH_Cl2!D30)</f>
        <v>7.1</v>
      </c>
      <c r="K36" s="489">
        <f>IF([2]BOD!B30="","",[2]BOD!H30)</f>
        <v>287</v>
      </c>
      <c r="L36" s="487">
        <f>IF([2]TSS!B30="","",[2]TSS!B30)</f>
        <v>620</v>
      </c>
      <c r="M36" s="488">
        <f>IF([2]alk_pH_Cl2!I30="","",[2]alk_pH_Cl2!I30)</f>
        <v>0.45363187789916992</v>
      </c>
      <c r="N36" s="489">
        <f>IF([2]BOD!E30="","",[2]BOD!K30)</f>
        <v>8</v>
      </c>
      <c r="O36" s="489" t="str">
        <f>IF('7 day'!I38="","",'7 day'!I38)</f>
        <v/>
      </c>
      <c r="P36" s="480">
        <f>IF(OR(K36="",N36="",ISTEXT([2]BOD!H30)=TRUE,ISTEXT([2]BOD!K30)=TRUE),"",([2]BOD!H30-[2]BOD!K30)/[2]BOD!H30*100)</f>
        <v>97.21254355400697</v>
      </c>
      <c r="Q36" s="489">
        <f>IF(OR(D36="",N36="",ISTEXT([2]BOD!K30)=TRUE),"",D36*[2]BOD!K30*8.34)</f>
        <v>3890.5259110233255</v>
      </c>
      <c r="R36" s="489" t="str">
        <f>IF('7 day'!K38="","",'7 day'!K38)</f>
        <v/>
      </c>
      <c r="S36" s="489">
        <f>IF([2]TSS!E30="","",[2]TSS!E30)</f>
        <v>12</v>
      </c>
      <c r="T36" s="489" t="str">
        <f>IF('7 day'!M38="","",'7 day'!M38)</f>
        <v/>
      </c>
      <c r="U36" s="480">
        <f>IF(OR(L36="",S36="",ISTEXT([2]TSS!H30)=TRUE,ISTEXT([2]TSS!K30)=TRUE),"",([2]TSS!H30-[2]TSS!K30)/[2]TSS!H30*100)</f>
        <v>98.064516129032256</v>
      </c>
      <c r="V36" s="489">
        <f>IF(OR(D36="",S36="",ISTEXT([2]TSS!K30)=TRUE),"",D36*[2]TSS!K30*8.34)</f>
        <v>5835.7888665349883</v>
      </c>
      <c r="W36" s="489" t="str">
        <f>IF('7 day'!O38="","",'7 day'!O38)</f>
        <v/>
      </c>
      <c r="X36" s="579"/>
      <c r="Y36" s="22"/>
      <c r="Z36" s="11"/>
    </row>
    <row r="37" spans="1:26" s="12" customFormat="1" ht="15.95" customHeight="1" x14ac:dyDescent="0.2">
      <c r="A37" s="490">
        <v>28</v>
      </c>
      <c r="B37" s="478">
        <f>IF('[1]Plant Data'!I31="","",'[1]Plant Data'!I31)</f>
        <v>57.059523986111081</v>
      </c>
      <c r="C37" s="675">
        <f>IF('[1]Plant Data'!H31="","",'[1]Plant Data'!H31)</f>
        <v>80.870909999999995</v>
      </c>
      <c r="D37" s="479">
        <f>IF('[1]Plant Data'!P31="","",'[1]Plant Data'!P31)</f>
        <v>59.851944263888974</v>
      </c>
      <c r="E37" s="480" t="str">
        <f>IF(OR('[1]Plant Data'!N31="",'[1]Plant Data'!N31=0),"",'[1]Plant Data'!N31)</f>
        <v/>
      </c>
      <c r="F37" s="481" t="str">
        <f t="shared" si="1"/>
        <v/>
      </c>
      <c r="G37" s="482">
        <f>IF('[1]Plant Data'!F31="","",'[1]Plant Data'!F31)</f>
        <v>0</v>
      </c>
      <c r="H37" s="483">
        <f>IF('[1]Plant Data'!E31="","",'[1]Plant Data'!E31)</f>
        <v>160.78019013888888</v>
      </c>
      <c r="I37" s="484" t="str">
        <f>IF('[1]Plant Data'!AD31="","",'[1]Plant Data'!AD31)</f>
        <v>T</v>
      </c>
      <c r="J37" s="491">
        <f>IF([2]alk_pH_Cl2!D31="","",[2]alk_pH_Cl2!D31)</f>
        <v>7.1</v>
      </c>
      <c r="K37" s="489">
        <f>IF([2]BOD!B31="","",[2]BOD!H31)</f>
        <v>284</v>
      </c>
      <c r="L37" s="487">
        <f>IF([2]TSS!B31="","",[2]TSS!B31)</f>
        <v>332</v>
      </c>
      <c r="M37" s="488">
        <f>IF([2]alk_pH_Cl2!I31="","",[2]alk_pH_Cl2!I31)</f>
        <v>0.44300210475921631</v>
      </c>
      <c r="N37" s="489">
        <f>IF([2]BOD!E31="","",[2]BOD!K31)</f>
        <v>8</v>
      </c>
      <c r="O37" s="489" t="str">
        <f>IF('7 day'!I39="","",'7 day'!I39)</f>
        <v/>
      </c>
      <c r="P37" s="480">
        <f>IF(OR(K37="",N37="",ISTEXT([2]BOD!H31)=TRUE,ISTEXT([2]BOD!K31)=TRUE),"",([2]BOD!H31-[2]BOD!K31)/[2]BOD!H31*100)</f>
        <v>97.183098591549296</v>
      </c>
      <c r="Q37" s="489">
        <f>IF(OR(D37="",N37="",ISTEXT([2]BOD!K31)=TRUE),"",D37*[2]BOD!K31*8.34)</f>
        <v>3993.3217212866721</v>
      </c>
      <c r="R37" s="489" t="str">
        <f>IF('7 day'!K39="","",'7 day'!K39)</f>
        <v/>
      </c>
      <c r="S37" s="489">
        <f>IF([2]TSS!E31="","",[2]TSS!E31)</f>
        <v>16</v>
      </c>
      <c r="T37" s="489" t="str">
        <f>IF('7 day'!M39="","",'7 day'!M39)</f>
        <v/>
      </c>
      <c r="U37" s="480">
        <f>IF(OR(L37="",S37="",ISTEXT([2]TSS!H31)=TRUE,ISTEXT([2]TSS!K31)=TRUE),"",([2]TSS!H31-[2]TSS!K31)/[2]TSS!H31*100)</f>
        <v>95.180722891566262</v>
      </c>
      <c r="V37" s="489">
        <f>IF(OR(D37="",S37="",ISTEXT([2]TSS!K31)=TRUE),"",D37*[2]TSS!K31*8.34)</f>
        <v>7986.6434425733441</v>
      </c>
      <c r="W37" s="489" t="str">
        <f>IF('7 day'!O39="","",'7 day'!O39)</f>
        <v/>
      </c>
      <c r="X37" s="579"/>
      <c r="Y37" s="22" t="s">
        <v>47</v>
      </c>
      <c r="Z37" s="11"/>
    </row>
    <row r="38" spans="1:26" s="12" customFormat="1" ht="15.6" customHeight="1" x14ac:dyDescent="0.2">
      <c r="A38" s="490">
        <v>29</v>
      </c>
      <c r="B38" s="478">
        <f>IF('[1]Plant Data'!I32="","",'[1]Plant Data'!I32)</f>
        <v>57.059591881944492</v>
      </c>
      <c r="C38" s="675">
        <f>IF('[1]Plant Data'!H32="","",'[1]Plant Data'!H32)</f>
        <v>75.496859999999998</v>
      </c>
      <c r="D38" s="479">
        <f>IF('[1]Plant Data'!P32="","",'[1]Plant Data'!P32)</f>
        <v>60.076876986111102</v>
      </c>
      <c r="E38" s="480" t="str">
        <f>IF(OR('[1]Plant Data'!N32="",'[1]Plant Data'!N32=0),"",'[1]Plant Data'!N32)</f>
        <v/>
      </c>
      <c r="F38" s="481" t="str">
        <f t="shared" si="1"/>
        <v/>
      </c>
      <c r="G38" s="482">
        <f>IF('[1]Plant Data'!F32="","",'[1]Plant Data'!F32)</f>
        <v>0</v>
      </c>
      <c r="H38" s="483">
        <f>IF('[1]Plant Data'!E32="","",'[1]Plant Data'!E32)</f>
        <v>160.91442454861112</v>
      </c>
      <c r="I38" s="484">
        <f>IF('[1]Plant Data'!AD32="","",'[1]Plant Data'!AD32)</f>
        <v>0</v>
      </c>
      <c r="J38" s="491">
        <f>IF([2]alk_pH_Cl2!D32="","",[2]alk_pH_Cl2!D32)</f>
        <v>7.2</v>
      </c>
      <c r="K38" s="489">
        <f>IF([2]BOD!B32="","",[2]BOD!H32)</f>
        <v>282</v>
      </c>
      <c r="L38" s="487">
        <f>IF([2]TSS!B32="","",[2]TSS!B32)</f>
        <v>258</v>
      </c>
      <c r="M38" s="488">
        <f>IF([2]alk_pH_Cl2!I32="","",[2]alk_pH_Cl2!I32)</f>
        <v>0.37443482875823975</v>
      </c>
      <c r="N38" s="489">
        <f>IF([2]BOD!E32="","",[2]BOD!K32)</f>
        <v>13</v>
      </c>
      <c r="O38" s="489" t="str">
        <f>IF('7 day'!I40="","",'7 day'!I40)</f>
        <v/>
      </c>
      <c r="P38" s="480">
        <f>IF(OR(K38="",N38="",ISTEXT([2]BOD!H32)=TRUE,ISTEXT([2]BOD!K32)=TRUE),"",([2]BOD!H32-[2]BOD!K32)/[2]BOD!H32*100)</f>
        <v>95.39007092198581</v>
      </c>
      <c r="Q38" s="489">
        <f>IF(OR(D38="",N38="",ISTEXT([2]BOD!K32)=TRUE),"",D38*[2]BOD!K32*8.34)</f>
        <v>6513.5350028341654</v>
      </c>
      <c r="R38" s="489" t="str">
        <f>IF('7 day'!K40="","",'7 day'!K40)</f>
        <v/>
      </c>
      <c r="S38" s="489">
        <f>IF([2]TSS!E32="","",[2]TSS!E32)</f>
        <v>18</v>
      </c>
      <c r="T38" s="489" t="str">
        <f>IF('7 day'!M40="","",'7 day'!M40)</f>
        <v/>
      </c>
      <c r="U38" s="480">
        <f>IF(OR(L38="",S38="",ISTEXT([2]TSS!H32)=TRUE,ISTEXT([2]TSS!K32)=TRUE),"",([2]TSS!H32-[2]TSS!K32)/[2]TSS!H32*100)</f>
        <v>93.023255813953483</v>
      </c>
      <c r="V38" s="489">
        <f>IF(OR(D38="",S38="",ISTEXT([2]TSS!K32)=TRUE),"",D38*[2]TSS!K32*8.34)</f>
        <v>9018.7407731549974</v>
      </c>
      <c r="W38" s="489" t="str">
        <f>IF('7 day'!O40="","",'7 day'!O40)</f>
        <v/>
      </c>
      <c r="X38" s="579"/>
      <c r="Y38" s="22"/>
      <c r="Z38" s="11"/>
    </row>
    <row r="39" spans="1:26" s="12" customFormat="1" ht="15.6" customHeight="1" x14ac:dyDescent="0.2">
      <c r="A39" s="490">
        <v>30</v>
      </c>
      <c r="B39" s="478">
        <f>IF('[1]Plant Data'!I33="","",'[1]Plant Data'!I33)</f>
        <v>56.59560693749998</v>
      </c>
      <c r="C39" s="675">
        <f>IF('[1]Plant Data'!H33="","",'[1]Plant Data'!H33)</f>
        <v>82.809010000000001</v>
      </c>
      <c r="D39" s="479">
        <f>IF('[1]Plant Data'!P33="","",'[1]Plant Data'!P33)</f>
        <v>59.790066093749893</v>
      </c>
      <c r="E39" s="480" t="str">
        <f>IF(OR('[1]Plant Data'!N33="",'[1]Plant Data'!N33=0),"",'[1]Plant Data'!N33)</f>
        <v/>
      </c>
      <c r="F39" s="481" t="str">
        <f t="shared" si="0"/>
        <v/>
      </c>
      <c r="G39" s="482">
        <f>IF('[1]Plant Data'!F33="","",'[1]Plant Data'!F33)</f>
        <v>0</v>
      </c>
      <c r="H39" s="483">
        <f>IF('[1]Plant Data'!E33="","",'[1]Plant Data'!E33)</f>
        <v>160.73902392361092</v>
      </c>
      <c r="I39" s="484">
        <f>IF('[1]Plant Data'!AD33="","",'[1]Plant Data'!AD33)</f>
        <v>0</v>
      </c>
      <c r="J39" s="491">
        <f>IF([2]alk_pH_Cl2!D33="","",[2]alk_pH_Cl2!D33)</f>
        <v>7.1</v>
      </c>
      <c r="K39" s="489">
        <f>IF([2]BOD!B33="","",[2]BOD!H33)</f>
        <v>323</v>
      </c>
      <c r="L39" s="617">
        <f>IF([2]TSS!B33="","",[2]TSS!B33)</f>
        <v>495</v>
      </c>
      <c r="M39" s="511">
        <f>IF([2]alk_pH_Cl2!I33="","",[2]alk_pH_Cl2!I33)</f>
        <v>0.41462740302085876</v>
      </c>
      <c r="N39" s="618">
        <f>IF([2]BOD!E33="","",[2]BOD!K33)</f>
        <v>14</v>
      </c>
      <c r="O39" s="489" t="str">
        <f>IF('7 day'!I41="","",'7 day'!I41)</f>
        <v/>
      </c>
      <c r="P39" s="480">
        <f>IF(OR(K39="",N39="",ISTEXT([2]BOD!H33)=TRUE,ISTEXT([2]BOD!K33)=TRUE),"",([2]BOD!H33-[2]BOD!K33)/[2]BOD!H33*100)</f>
        <v>95.6656346749226</v>
      </c>
      <c r="Q39" s="489">
        <f>IF(OR(D39="",N39="",ISTEXT([2]BOD!K33)=TRUE),"",D39*[2]BOD!K33*8.34)</f>
        <v>6981.0881171062374</v>
      </c>
      <c r="R39" s="489" t="str">
        <f>IF('7 day'!K41="","",'7 day'!K41)</f>
        <v/>
      </c>
      <c r="S39" s="489">
        <f>IF([2]TSS!E33="","",[2]TSS!E33)</f>
        <v>18</v>
      </c>
      <c r="T39" s="489" t="str">
        <f>IF('7 day'!M41="","",'7 day'!M41)</f>
        <v/>
      </c>
      <c r="U39" s="480">
        <f>IF(OR(L39="",S39="",ISTEXT([2]TSS!H33)=TRUE,ISTEXT([2]TSS!K33)=TRUE),"",([2]TSS!H33-[2]TSS!K33)/[2]TSS!H33*100)</f>
        <v>96.36363636363636</v>
      </c>
      <c r="V39" s="618">
        <f>IF(OR(D39="",S39="",ISTEXT([2]TSS!K33)=TRUE),"",D39*[2]TSS!K33*8.34)</f>
        <v>8975.6847219937335</v>
      </c>
      <c r="W39" s="618" t="str">
        <f>IF('7 day'!O41="","",'7 day'!O41)</f>
        <v/>
      </c>
      <c r="X39" s="1541"/>
      <c r="Y39" s="22"/>
      <c r="Z39" s="11"/>
    </row>
    <row r="40" spans="1:26" s="640" customFormat="1" ht="15.6" customHeight="1" thickBot="1" x14ac:dyDescent="0.25">
      <c r="A40" s="490"/>
      <c r="B40" s="478">
        <f>IF('[1]Plant Data'!I34="","",'[1]Plant Data'!I34)</f>
        <v>53.782902565972272</v>
      </c>
      <c r="C40" s="675">
        <f>IF('[1]Plant Data'!H34="","",'[1]Plant Data'!H34)</f>
        <v>74.157210000000006</v>
      </c>
      <c r="D40" s="479">
        <f>IF('[1]Plant Data'!P34="","",'[1]Plant Data'!P34)</f>
        <v>58.533987722222193</v>
      </c>
      <c r="E40" s="1530" t="str">
        <f>IF(OR('[1]Plant Data'!N34="",'[1]Plant Data'!N34=0),"",'[1]Plant Data'!N34)</f>
        <v/>
      </c>
      <c r="F40" s="481" t="str">
        <f t="shared" ref="F40" si="2">IF(E40=0,0,IF(E40="","",IF(E40&gt;0,(E40/B40)*100)))</f>
        <v/>
      </c>
      <c r="G40" s="482">
        <f>IF('[1]Plant Data'!F34="","",'[1]Plant Data'!F34)</f>
        <v>0</v>
      </c>
      <c r="H40" s="483">
        <f>IF('[1]Plant Data'!E34="","",'[1]Plant Data'!E34)</f>
        <v>161.08734902777772</v>
      </c>
      <c r="I40" s="484">
        <f>IF('[1]Plant Data'!AD34="","",'[1]Plant Data'!AD34)</f>
        <v>0</v>
      </c>
      <c r="J40" s="491">
        <f>IF([2]alk_pH_Cl2!D34="","",[2]alk_pH_Cl2!D34)</f>
        <v>7</v>
      </c>
      <c r="K40" s="489">
        <f>IF([2]BOD!B34="","",[2]BOD!H34)</f>
        <v>405</v>
      </c>
      <c r="L40" s="617">
        <f>IF([2]TSS!B34="","",[2]TSS!B34)</f>
        <v>278</v>
      </c>
      <c r="M40" s="511">
        <f>IF([2]alk_pH_Cl2!I34="","",[2]alk_pH_Cl2!I34)</f>
        <v>0.48165202140808105</v>
      </c>
      <c r="N40" s="618">
        <f>IF([2]BOD!E34="","",[2]BOD!K34)</f>
        <v>14</v>
      </c>
      <c r="O40" s="489" t="str">
        <f>IF('7 day'!I42="","",'7 day'!I42)</f>
        <v/>
      </c>
      <c r="P40" s="480">
        <f>IF(OR(K40="",N40="",ISTEXT([2]BOD!H34)=TRUE,ISTEXT([2]BOD!K34)=TRUE),"",([2]BOD!H34-[2]BOD!K34)/[2]BOD!H34*100)</f>
        <v>96.543209876543216</v>
      </c>
      <c r="Q40" s="489">
        <f>IF(OR(D40="",N40="",ISTEXT([2]BOD!K34)=TRUE),"",D40*[2]BOD!K34*8.34)</f>
        <v>6834.4284064466628</v>
      </c>
      <c r="R40" s="489" t="str">
        <f>IF('7 day'!K42="","",'7 day'!K42)</f>
        <v/>
      </c>
      <c r="S40" s="489">
        <f>IF([2]TSS!E34="","",[2]TSS!E34)</f>
        <v>18</v>
      </c>
      <c r="T40" s="489" t="str">
        <f>IF('7 day'!M42="","",'7 day'!M42)</f>
        <v/>
      </c>
      <c r="U40" s="480">
        <f>IF(OR(L40="",S40="",ISTEXT([2]TSS!H34)=TRUE,ISTEXT([2]TSS!K34)=TRUE),"",([2]TSS!H34-[2]TSS!K34)/[2]TSS!H34*100)</f>
        <v>93.525179856115102</v>
      </c>
      <c r="V40" s="489">
        <f>IF(OR(D40="",S40="",ISTEXT([2]TSS!K34)=TRUE),"",D40*[2]TSS!K34*8.34)</f>
        <v>8787.1222368599956</v>
      </c>
      <c r="W40" s="618" t="str">
        <f>IF('7 day'!O42="","",'7 day'!O42)</f>
        <v/>
      </c>
      <c r="X40" s="1541"/>
      <c r="Y40" s="637"/>
      <c r="Z40" s="638"/>
    </row>
    <row r="41" spans="1:26" ht="15.95" customHeight="1" x14ac:dyDescent="0.2">
      <c r="A41" s="492" t="s">
        <v>494</v>
      </c>
      <c r="B41" s="493">
        <f>MAX(B10:B40)</f>
        <v>188.44385234840274</v>
      </c>
      <c r="C41" s="494">
        <f>MAX(C10:C40)</f>
        <v>315.42200000000003</v>
      </c>
      <c r="D41" s="493">
        <f>MAX(D10:D40)</f>
        <v>115.88933301736117</v>
      </c>
      <c r="E41" s="495">
        <f>IF(MAX(E10:E40)=0,"",MAX(E10:E40))</f>
        <v>78.028830916666735</v>
      </c>
      <c r="F41" s="494">
        <f>IF(MAX(F10:F40)=0,"",MAX(F10:F40))</f>
        <v>41.406938960472864</v>
      </c>
      <c r="G41" s="496">
        <f>MAX(G10:G40)</f>
        <v>25.922407127777802</v>
      </c>
      <c r="H41" s="497">
        <f>MAX(H10:H40)</f>
        <v>164.15069412847208</v>
      </c>
      <c r="I41" s="498">
        <f>MAX(I10:I40)</f>
        <v>1.1499999999999999</v>
      </c>
      <c r="J41" s="485">
        <f t="shared" ref="J41:V41" si="3">MAX(J10:J40)</f>
        <v>7.4</v>
      </c>
      <c r="K41" s="495">
        <f t="shared" si="3"/>
        <v>405</v>
      </c>
      <c r="L41" s="621">
        <f t="shared" si="3"/>
        <v>620</v>
      </c>
      <c r="M41" s="513">
        <f t="shared" si="3"/>
        <v>0.73684978485107422</v>
      </c>
      <c r="N41" s="615">
        <f t="shared" si="3"/>
        <v>16</v>
      </c>
      <c r="O41" s="615">
        <f t="shared" si="3"/>
        <v>11.714285714285714</v>
      </c>
      <c r="P41" s="615">
        <f t="shared" si="3"/>
        <v>97.388059701492537</v>
      </c>
      <c r="Q41" s="615">
        <f t="shared" si="3"/>
        <v>15464.272597836674</v>
      </c>
      <c r="R41" s="615">
        <f>'7 day'!K43</f>
        <v>7592.2581232580078</v>
      </c>
      <c r="S41" s="615">
        <f t="shared" si="3"/>
        <v>35</v>
      </c>
      <c r="T41" s="615">
        <f t="shared" si="3"/>
        <v>19.857142857142858</v>
      </c>
      <c r="U41" s="615">
        <f t="shared" si="3"/>
        <v>98.064516129032256</v>
      </c>
      <c r="V41" s="615">
        <f t="shared" si="3"/>
        <v>33828.096307767722</v>
      </c>
      <c r="W41" s="696">
        <f>'7 day'!O43</f>
        <v>12957.453088830005</v>
      </c>
      <c r="X41" s="1410" t="s">
        <v>808</v>
      </c>
      <c r="Y41" s="11"/>
      <c r="Z41" s="1"/>
    </row>
    <row r="42" spans="1:26" ht="15.95" customHeight="1" x14ac:dyDescent="0.2">
      <c r="A42" s="499" t="s">
        <v>495</v>
      </c>
      <c r="B42" s="478">
        <f>MIN(B10:B40)</f>
        <v>53.210505878472226</v>
      </c>
      <c r="C42" s="481"/>
      <c r="D42" s="478">
        <f>MIN(D10:D40)</f>
        <v>56.689736284722244</v>
      </c>
      <c r="E42" s="480"/>
      <c r="F42" s="481"/>
      <c r="G42" s="482">
        <f>MIN(G10:G40)</f>
        <v>0</v>
      </c>
      <c r="H42" s="483">
        <f>MIN(H10:H40)</f>
        <v>140.35808517361102</v>
      </c>
      <c r="I42" s="500"/>
      <c r="J42" s="491">
        <f>MIN(J10:J40)</f>
        <v>6.8</v>
      </c>
      <c r="K42" s="480">
        <f>MIN(K10:K40)</f>
        <v>95</v>
      </c>
      <c r="L42" s="620">
        <f t="shared" ref="L42:V42" si="4">MIN(L10:L40)</f>
        <v>120</v>
      </c>
      <c r="M42" s="516">
        <f t="shared" si="4"/>
        <v>0.37443482875823975</v>
      </c>
      <c r="N42" s="619">
        <f t="shared" si="4"/>
        <v>7</v>
      </c>
      <c r="O42" s="619"/>
      <c r="P42" s="619">
        <f t="shared" si="4"/>
        <v>83.15789473684211</v>
      </c>
      <c r="Q42" s="619">
        <f t="shared" si="4"/>
        <v>3458.3186873477116</v>
      </c>
      <c r="R42" s="619"/>
      <c r="S42" s="622">
        <f>MIN(S10:S40)</f>
        <v>8</v>
      </c>
      <c r="T42" s="619"/>
      <c r="U42" s="619">
        <f t="shared" si="4"/>
        <v>70.833333333333343</v>
      </c>
      <c r="V42" s="619">
        <f t="shared" si="4"/>
        <v>3919.4168736049974</v>
      </c>
      <c r="W42" s="697"/>
      <c r="X42" s="579"/>
      <c r="Y42" s="11"/>
      <c r="Z42" s="1"/>
    </row>
    <row r="43" spans="1:26" ht="15.95" customHeight="1" x14ac:dyDescent="0.2">
      <c r="A43" s="499" t="s">
        <v>497</v>
      </c>
      <c r="B43" s="478">
        <f>SUM(B10:B40)</f>
        <v>2288.2505616010644</v>
      </c>
      <c r="C43" s="481"/>
      <c r="D43" s="478">
        <f>SUM(D10:D40)</f>
        <v>2209.3909406458338</v>
      </c>
      <c r="E43" s="480">
        <f>IF(SUM(E10:E40)=0,"",SUM(E10:E40))</f>
        <v>197.00199731250007</v>
      </c>
      <c r="F43" s="481"/>
      <c r="G43" s="482">
        <f>SUM(G10:G40)</f>
        <v>92.847377161615952</v>
      </c>
      <c r="H43" s="483"/>
      <c r="I43" s="500">
        <f>SUM(I10:I40)</f>
        <v>3.4630235548764956</v>
      </c>
      <c r="J43" s="478"/>
      <c r="K43" s="480"/>
      <c r="L43" s="620"/>
      <c r="M43" s="518"/>
      <c r="N43" s="518"/>
      <c r="O43" s="517"/>
      <c r="P43" s="619"/>
      <c r="Q43" s="619">
        <f>SUM(Q10:Q40)</f>
        <v>202685.47884117777</v>
      </c>
      <c r="R43" s="619"/>
      <c r="S43" s="619"/>
      <c r="T43" s="619"/>
      <c r="U43" s="619"/>
      <c r="V43" s="619">
        <f>SUM(V10:V40)</f>
        <v>314187.74881249678</v>
      </c>
      <c r="W43" s="697"/>
      <c r="X43" s="579"/>
      <c r="Y43" s="11"/>
      <c r="Z43" s="1"/>
    </row>
    <row r="44" spans="1:26" ht="15.95" customHeight="1" thickBot="1" x14ac:dyDescent="0.25">
      <c r="A44" s="504" t="s">
        <v>496</v>
      </c>
      <c r="B44" s="505">
        <f>AVERAGE(B10:B40)</f>
        <v>73.814534245195631</v>
      </c>
      <c r="C44" s="506"/>
      <c r="D44" s="505">
        <f>AVERAGE(D10:D40)</f>
        <v>71.270675504704315</v>
      </c>
      <c r="E44" s="507">
        <f>IF(SUM(E10:E40)=0,"",AVERAGE(E10:E40))</f>
        <v>32.833666218750011</v>
      </c>
      <c r="F44" s="506"/>
      <c r="G44" s="508">
        <f t="shared" ref="G44:N44" si="5">AVERAGE(G10:G40)</f>
        <v>2.9950766826327726</v>
      </c>
      <c r="H44" s="509">
        <f t="shared" si="5"/>
        <v>154.12049825806454</v>
      </c>
      <c r="I44" s="1395">
        <f t="shared" si="5"/>
        <v>0.12367941267416056</v>
      </c>
      <c r="J44" s="510">
        <f t="shared" si="5"/>
        <v>7.1290322580645142</v>
      </c>
      <c r="K44" s="507">
        <f t="shared" si="5"/>
        <v>244.38709677419354</v>
      </c>
      <c r="L44" s="623">
        <f t="shared" si="5"/>
        <v>308.83870967741933</v>
      </c>
      <c r="M44" s="624">
        <f t="shared" si="5"/>
        <v>0.51218281253691644</v>
      </c>
      <c r="N44" s="625">
        <f t="shared" si="5"/>
        <v>10.870967741935484</v>
      </c>
      <c r="O44" s="625"/>
      <c r="P44" s="625">
        <f>(K44-N44)/K44*100</f>
        <v>95.551742344244985</v>
      </c>
      <c r="Q44" s="625">
        <f>AVERAGE(Q10:Q40)</f>
        <v>6538.2412529412186</v>
      </c>
      <c r="R44" s="625"/>
      <c r="S44" s="625">
        <f>AVERAGE(S10:S40)</f>
        <v>16.516129032258064</v>
      </c>
      <c r="T44" s="625"/>
      <c r="U44" s="625">
        <f>(L44-S44)/L44*100</f>
        <v>94.652182995613117</v>
      </c>
      <c r="V44" s="625">
        <f>AVERAGE(V10:V40)</f>
        <v>10135.088671370864</v>
      </c>
      <c r="W44" s="698"/>
      <c r="X44" s="581"/>
      <c r="Y44" s="11"/>
      <c r="Z44" s="1"/>
    </row>
    <row r="45" spans="1:26" s="8" customFormat="1" ht="30" customHeight="1" thickBot="1" x14ac:dyDescent="0.25">
      <c r="A45" s="1487"/>
      <c r="B45" s="1488"/>
      <c r="C45" s="1488"/>
      <c r="D45" s="1488"/>
      <c r="E45" s="1489"/>
      <c r="F45" s="1489"/>
      <c r="G45" s="1490"/>
      <c r="H45" s="1491"/>
      <c r="I45" s="1490"/>
      <c r="J45" s="1488"/>
      <c r="K45" s="1488"/>
      <c r="L45" s="1492"/>
      <c r="M45" s="1492"/>
      <c r="N45" s="1492"/>
      <c r="O45" s="1492"/>
      <c r="P45" s="1493"/>
      <c r="Q45" s="1492"/>
      <c r="R45" s="1494"/>
      <c r="S45" s="1492"/>
      <c r="T45" s="1492"/>
      <c r="U45" s="1494"/>
      <c r="V45" s="1492"/>
      <c r="W45" s="1492"/>
      <c r="X45" s="1488"/>
      <c r="Y45" s="7"/>
      <c r="Z45" s="7"/>
    </row>
    <row r="46" spans="1:26" s="8" customFormat="1" ht="16.149999999999999" customHeight="1" x14ac:dyDescent="0.2">
      <c r="A46" s="248"/>
      <c r="B46" s="1575" t="s">
        <v>782</v>
      </c>
      <c r="C46" s="1575"/>
      <c r="D46" s="1575"/>
      <c r="E46" s="1575"/>
      <c r="F46" s="1575"/>
      <c r="G46" s="1575"/>
      <c r="H46" s="1575"/>
      <c r="I46" s="1575"/>
      <c r="J46" s="1575"/>
      <c r="K46" s="1575"/>
      <c r="L46" s="1575"/>
      <c r="O46" s="582"/>
      <c r="P46" s="1577" t="s">
        <v>824</v>
      </c>
      <c r="Q46" s="1577"/>
      <c r="R46" s="1577"/>
      <c r="S46" s="1577"/>
      <c r="T46" s="1577"/>
      <c r="U46" s="1577"/>
      <c r="V46" s="1577"/>
      <c r="W46" s="1577"/>
      <c r="X46" s="1577"/>
      <c r="Y46" s="7"/>
      <c r="Z46" s="7"/>
    </row>
    <row r="47" spans="1:26" s="8" customFormat="1" ht="15.75" customHeight="1" x14ac:dyDescent="0.2">
      <c r="A47" s="248"/>
      <c r="B47" s="1576"/>
      <c r="C47" s="1576"/>
      <c r="D47" s="1576"/>
      <c r="E47" s="1576"/>
      <c r="F47" s="1576"/>
      <c r="G47" s="1576"/>
      <c r="H47" s="1576"/>
      <c r="I47" s="1576"/>
      <c r="J47" s="1576"/>
      <c r="K47" s="1576"/>
      <c r="L47" s="1576"/>
      <c r="O47" s="583"/>
      <c r="P47" s="1569" t="s">
        <v>825</v>
      </c>
      <c r="Q47" s="1569"/>
      <c r="R47" s="1569"/>
      <c r="S47" s="1569"/>
      <c r="T47" s="1569"/>
      <c r="U47" s="1550"/>
      <c r="V47" s="1550"/>
      <c r="W47" s="1550"/>
      <c r="X47" s="1551"/>
      <c r="Y47" s="7"/>
      <c r="Z47" s="7"/>
    </row>
    <row r="48" spans="1:26" s="8" customFormat="1" ht="15.75" customHeight="1" x14ac:dyDescent="0.2">
      <c r="A48" s="248"/>
      <c r="B48" s="1576"/>
      <c r="C48" s="1576"/>
      <c r="D48" s="1576"/>
      <c r="E48" s="1576"/>
      <c r="F48" s="1576"/>
      <c r="G48" s="1576"/>
      <c r="H48" s="1576"/>
      <c r="I48" s="1576"/>
      <c r="J48" s="1576"/>
      <c r="K48" s="1576"/>
      <c r="L48" s="1576"/>
      <c r="N48" s="291"/>
      <c r="O48" s="302"/>
      <c r="P48" s="1569" t="s">
        <v>784</v>
      </c>
      <c r="Q48" s="1569"/>
      <c r="R48" s="1569"/>
      <c r="S48" s="1569"/>
      <c r="T48" s="1569"/>
      <c r="U48" s="1550"/>
      <c r="V48" s="1550"/>
      <c r="W48" s="1550"/>
      <c r="X48" s="1551"/>
      <c r="Y48" s="7"/>
      <c r="Z48" s="7"/>
    </row>
    <row r="49" spans="1:21" ht="15.75" customHeight="1" x14ac:dyDescent="0.2">
      <c r="A49" s="250"/>
      <c r="B49" s="1576"/>
      <c r="C49" s="1576"/>
      <c r="D49" s="1576"/>
      <c r="E49" s="1576"/>
      <c r="F49" s="1576"/>
      <c r="G49" s="1576"/>
      <c r="H49" s="1576"/>
      <c r="I49" s="1576"/>
      <c r="J49" s="1576"/>
      <c r="K49" s="1576"/>
      <c r="L49" s="1576"/>
      <c r="N49" s="292"/>
      <c r="O49" s="47"/>
      <c r="P49" s="47"/>
      <c r="Q49" s="292"/>
      <c r="R49" s="47"/>
      <c r="S49" s="47"/>
      <c r="T49" s="47"/>
      <c r="U49" s="292"/>
    </row>
    <row r="50" spans="1:21" ht="15.75" customHeight="1" x14ac:dyDescent="0.2">
      <c r="A50" s="250"/>
      <c r="B50" s="1576"/>
      <c r="C50" s="1576"/>
      <c r="D50" s="1576"/>
      <c r="E50" s="1576"/>
      <c r="F50" s="1576"/>
      <c r="G50" s="1576"/>
      <c r="H50" s="1576"/>
      <c r="I50" s="1576"/>
      <c r="J50" s="1576"/>
      <c r="K50" s="1576"/>
      <c r="L50" s="1576"/>
      <c r="N50" s="292"/>
      <c r="O50" s="47"/>
      <c r="P50" s="47"/>
    </row>
    <row r="51" spans="1:21" x14ac:dyDescent="0.2">
      <c r="B51" s="1576"/>
      <c r="C51" s="1576"/>
      <c r="D51" s="1576"/>
      <c r="E51" s="1576"/>
      <c r="F51" s="1576"/>
      <c r="G51" s="1576"/>
      <c r="H51" s="1576"/>
      <c r="I51" s="1576"/>
      <c r="J51" s="1576"/>
      <c r="K51" s="1576"/>
      <c r="L51" s="1576"/>
      <c r="N51" s="292"/>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4" orientation="landscape" r:id="rId1"/>
  <headerFooter alignWithMargins="0">
    <oddHeader>&amp;C&amp;"Arial,Bold"&amp;16Columbia Boulevard Wastewater Treatment Plant Monitoring Report&amp;6
&amp;13Population served  627,395</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63"/>
  <sheetViews>
    <sheetView showGridLines="0" topLeftCell="A7" zoomScale="85" zoomScaleNormal="85" workbookViewId="0">
      <selection activeCell="P47" sqref="P47:T47"/>
    </sheetView>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2" customWidth="1"/>
    <col min="15" max="16" width="8.5703125" style="47" customWidth="1"/>
    <col min="17" max="17" width="10" style="292" bestFit="1" customWidth="1"/>
    <col min="18" max="18" width="9.85546875" style="47" customWidth="1"/>
    <col min="19" max="19" width="11" style="47" customWidth="1"/>
    <col min="20" max="20" width="10.85546875" style="47" customWidth="1"/>
    <col min="21" max="22" width="6.7109375" style="292" customWidth="1"/>
    <col min="23" max="23" width="6.7109375" style="329"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69" t="s">
        <v>778</v>
      </c>
      <c r="B3" s="1569"/>
      <c r="C3" s="1569"/>
      <c r="D3" s="1569"/>
      <c r="E3" s="1569"/>
      <c r="F3" s="7"/>
      <c r="G3" s="476"/>
      <c r="H3" s="476"/>
      <c r="I3" s="476"/>
      <c r="J3" s="476"/>
      <c r="K3" s="476"/>
      <c r="L3" s="476"/>
      <c r="M3" s="476"/>
      <c r="N3" s="476"/>
      <c r="O3" s="476"/>
      <c r="P3" s="476"/>
      <c r="Q3" s="476"/>
      <c r="R3" s="476"/>
      <c r="S3" s="476"/>
      <c r="T3" s="7"/>
      <c r="U3" s="1567" t="s">
        <v>499</v>
      </c>
      <c r="V3" s="1567"/>
      <c r="W3" s="1567"/>
      <c r="X3" s="1567"/>
      <c r="Y3" s="1567"/>
    </row>
    <row r="4" spans="1:26" s="8" customFormat="1" ht="18" customHeight="1" thickBot="1" x14ac:dyDescent="0.3">
      <c r="A4" s="1574" t="s">
        <v>779</v>
      </c>
      <c r="B4" s="1574"/>
      <c r="C4" s="1574"/>
      <c r="D4" s="1574"/>
      <c r="E4" s="1477"/>
      <c r="F4" s="1477"/>
      <c r="G4" s="45"/>
      <c r="H4" s="45"/>
      <c r="I4" s="45"/>
      <c r="J4" s="45"/>
      <c r="K4" s="1573">
        <f>IF(date!B6="","",date!B6)</f>
        <v>43466</v>
      </c>
      <c r="L4" s="1573"/>
      <c r="M4" s="1573"/>
      <c r="N4" s="1573"/>
      <c r="O4" s="1573"/>
      <c r="P4" s="1478"/>
      <c r="Q4" s="1479"/>
      <c r="R4" s="1478"/>
      <c r="S4" s="1478"/>
      <c r="T4" s="1478"/>
      <c r="U4" s="1480"/>
      <c r="V4" s="1568" t="s">
        <v>500</v>
      </c>
      <c r="W4" s="1568"/>
      <c r="X4" s="1568"/>
      <c r="Y4" s="1568"/>
      <c r="Z4" s="7"/>
    </row>
    <row r="5" spans="1:26" s="8" customFormat="1" ht="30" customHeight="1" thickBot="1" x14ac:dyDescent="0.25">
      <c r="Z5" s="7"/>
    </row>
    <row r="6" spans="1:26" ht="16.5" thickBot="1" x14ac:dyDescent="0.3">
      <c r="A6" s="1408"/>
      <c r="B6" s="15"/>
      <c r="C6" s="1405"/>
      <c r="D6" s="1405"/>
      <c r="E6" s="1405"/>
      <c r="F6" s="2"/>
      <c r="G6" s="1409" t="s">
        <v>520</v>
      </c>
      <c r="H6" s="2"/>
      <c r="I6" s="1405"/>
      <c r="J6" s="1405"/>
      <c r="K6" s="1405"/>
      <c r="L6" s="1405"/>
      <c r="M6" s="1581" t="s">
        <v>214</v>
      </c>
      <c r="N6" s="1582"/>
      <c r="O6" s="1582"/>
      <c r="P6" s="1582"/>
      <c r="Q6" s="1582"/>
      <c r="R6" s="1582"/>
      <c r="S6" s="1582"/>
      <c r="T6" s="1582"/>
      <c r="U6" s="1582"/>
      <c r="V6" s="1582"/>
      <c r="W6" s="1582"/>
      <c r="X6" s="1583"/>
      <c r="Y6" s="6"/>
      <c r="Z6" s="1"/>
    </row>
    <row r="7" spans="1:26" s="8" customFormat="1" ht="15.75" thickBot="1" x14ac:dyDescent="0.25">
      <c r="A7" s="44" t="s">
        <v>479</v>
      </c>
      <c r="B7" s="295"/>
      <c r="C7" s="7"/>
      <c r="D7" s="7"/>
      <c r="E7" s="14"/>
      <c r="F7" s="14"/>
      <c r="G7" s="7"/>
      <c r="H7" s="7"/>
      <c r="I7" s="7"/>
      <c r="J7" s="45"/>
      <c r="K7" s="45"/>
      <c r="L7" s="45"/>
      <c r="M7" s="1585" t="s">
        <v>140</v>
      </c>
      <c r="N7" s="1586"/>
      <c r="O7" s="1584" t="s">
        <v>61</v>
      </c>
      <c r="P7" s="1580"/>
      <c r="Q7" s="1578" t="s">
        <v>213</v>
      </c>
      <c r="R7" s="1580"/>
      <c r="S7" s="1578" t="s">
        <v>60</v>
      </c>
      <c r="T7" s="1580"/>
      <c r="U7" s="1578" t="s">
        <v>445</v>
      </c>
      <c r="V7" s="1579"/>
      <c r="W7" s="1579"/>
      <c r="X7" s="1580"/>
      <c r="Y7" s="236" t="s">
        <v>537</v>
      </c>
      <c r="Z7" s="7"/>
    </row>
    <row r="8" spans="1:26" s="8" customFormat="1" x14ac:dyDescent="0.2">
      <c r="A8" s="605">
        <f>date!B6</f>
        <v>43466</v>
      </c>
      <c r="B8" s="37" t="s">
        <v>483</v>
      </c>
      <c r="C8" s="293" t="s">
        <v>544</v>
      </c>
      <c r="D8" s="41" t="s">
        <v>486</v>
      </c>
      <c r="E8" s="41" t="s">
        <v>488</v>
      </c>
      <c r="F8" s="41" t="s">
        <v>368</v>
      </c>
      <c r="G8" s="41" t="s">
        <v>485</v>
      </c>
      <c r="H8" s="293" t="s">
        <v>223</v>
      </c>
      <c r="I8" s="41" t="s">
        <v>490</v>
      </c>
      <c r="J8" s="41" t="s">
        <v>491</v>
      </c>
      <c r="K8" s="41" t="s">
        <v>369</v>
      </c>
      <c r="L8" s="293" t="s">
        <v>297</v>
      </c>
      <c r="M8" s="300" t="s">
        <v>141</v>
      </c>
      <c r="N8" s="288" t="s">
        <v>141</v>
      </c>
      <c r="O8" s="289" t="s">
        <v>141</v>
      </c>
      <c r="P8" s="306" t="s">
        <v>141</v>
      </c>
      <c r="Q8" s="300" t="s">
        <v>141</v>
      </c>
      <c r="R8" s="288" t="s">
        <v>141</v>
      </c>
      <c r="S8" s="300" t="s">
        <v>141</v>
      </c>
      <c r="T8" s="288" t="s">
        <v>141</v>
      </c>
      <c r="U8" s="300" t="s">
        <v>243</v>
      </c>
      <c r="V8" s="306" t="s">
        <v>244</v>
      </c>
      <c r="W8" s="328" t="s">
        <v>243</v>
      </c>
      <c r="X8" s="217" t="s">
        <v>244</v>
      </c>
      <c r="Y8" s="46"/>
      <c r="Z8" s="7"/>
    </row>
    <row r="9" spans="1:26" s="8" customFormat="1" ht="13.5" thickBot="1" x14ac:dyDescent="0.25">
      <c r="A9" s="43">
        <f>date!B6</f>
        <v>43466</v>
      </c>
      <c r="B9" s="39" t="s">
        <v>484</v>
      </c>
      <c r="C9" s="294" t="s">
        <v>95</v>
      </c>
      <c r="D9" s="42" t="s">
        <v>487</v>
      </c>
      <c r="E9" s="42" t="s">
        <v>489</v>
      </c>
      <c r="F9" s="42" t="s">
        <v>95</v>
      </c>
      <c r="G9" s="42" t="s">
        <v>484</v>
      </c>
      <c r="H9" s="294" t="s">
        <v>95</v>
      </c>
      <c r="I9" s="42" t="s">
        <v>487</v>
      </c>
      <c r="J9" s="42" t="s">
        <v>489</v>
      </c>
      <c r="K9" s="42" t="s">
        <v>95</v>
      </c>
      <c r="L9" s="294" t="s">
        <v>6</v>
      </c>
      <c r="M9" s="301" t="s">
        <v>483</v>
      </c>
      <c r="N9" s="290" t="s">
        <v>485</v>
      </c>
      <c r="O9" s="290" t="s">
        <v>483</v>
      </c>
      <c r="P9" s="303" t="s">
        <v>485</v>
      </c>
      <c r="Q9" s="301" t="s">
        <v>483</v>
      </c>
      <c r="R9" s="290" t="s">
        <v>485</v>
      </c>
      <c r="S9" s="301" t="s">
        <v>483</v>
      </c>
      <c r="T9" s="290" t="s">
        <v>485</v>
      </c>
      <c r="U9" s="301" t="s">
        <v>493</v>
      </c>
      <c r="V9" s="303" t="s">
        <v>493</v>
      </c>
      <c r="W9" s="368" t="s">
        <v>514</v>
      </c>
      <c r="X9" s="218" t="s">
        <v>514</v>
      </c>
      <c r="Y9" s="16" t="s">
        <v>56</v>
      </c>
      <c r="Z9" s="7"/>
    </row>
    <row r="10" spans="1:26" s="12" customFormat="1" ht="15.95" customHeight="1" x14ac:dyDescent="0.2">
      <c r="A10" s="477">
        <v>1</v>
      </c>
      <c r="B10" s="522" t="str">
        <f>IF(OR([2]BOD!F4="",'dmr 1'!E10=0,'dmr 1'!E10=""),"",[2]BOD!F4)</f>
        <v/>
      </c>
      <c r="C10" s="523" t="str">
        <f>IF('7 day'!S12="","",'7 day'!S12)</f>
        <v/>
      </c>
      <c r="D10" s="501" t="str">
        <f>IF(OR('dmr 1'!K10="",B10="",ISTEXT([2]BOD!H4)=TRUE,ISTEXT([2]BOD!L4)=TRUE),"",([2]BOD!H4-[2]BOD!L4)/[2]BOD!H4*100)</f>
        <v/>
      </c>
      <c r="E10" s="501" t="str">
        <f>IF(OR('dmr 1'!E10="",ISTEXT([2]BOD!L4)=TRUE,[2]BOD!L4=""),"",IF('dmr 1'!E10=0,0,'dmr 1'!E10*[2]BOD!L4)*8.34)</f>
        <v/>
      </c>
      <c r="F10" s="501" t="str">
        <f>IF('7 day'!U12="","",'7 day'!U12)</f>
        <v/>
      </c>
      <c r="G10" s="489" t="str">
        <f>IF(OR([2]TSS!L4="",'dmr 1'!E10=0,'dmr 1'!E10=""),"",[2]TSS!L4)</f>
        <v/>
      </c>
      <c r="H10" s="489" t="str">
        <f>IF('7 day'!W12="","",'7 day'!W12)</f>
        <v/>
      </c>
      <c r="I10" s="501" t="str">
        <f>IF(OR('dmr 1'!L10="",G10="",ISTEXT([2]TSS!H4)=TRUE,ISTEXT([2]TSS!L4)=TRUE),"",([2]TSS!H4-[2]TSS!L4)/[2]TSS!H4*100)</f>
        <v/>
      </c>
      <c r="J10" s="501" t="str">
        <f>IF(OR('dmr 1'!E10="",ISTEXT([2]TSS!L4)=TRUE,[2]TSS!L4=""),"",'dmr 1'!E10*[2]TSS!L4*8.34)</f>
        <v/>
      </c>
      <c r="K10" s="501" t="str">
        <f>IF('7 day'!Y12="","",'7 day'!Y12)</f>
        <v/>
      </c>
      <c r="L10" s="662" t="str">
        <f>IF([2]alk_pH_Cl2!J4="","",[2]alk_pH_Cl2!J4)</f>
        <v/>
      </c>
      <c r="M10" s="633">
        <f>IF(AND('dmr 1'!Q10="",E10="")=TRUE,"",IF(E10="",'dmr 1'!Q10,'dmr 1'!Q10+E10))</f>
        <v>6370.1636368933259</v>
      </c>
      <c r="N10" s="615">
        <f>IF(AND('dmr 1'!V10="",J10="")=TRUE,"",IF(J10="",'dmr 1'!V10,'dmr 1'!V10+J10))</f>
        <v>6370.1636368933259</v>
      </c>
      <c r="O10" s="619" t="str">
        <f>IF('7 day'!AC12="","",'7 day'!AC12)</f>
        <v/>
      </c>
      <c r="P10" s="620" t="str">
        <f>IF('7 day'!AG12="","",'7 day'!AG12)</f>
        <v/>
      </c>
      <c r="Q10" s="661">
        <f>IF(ISBLANK('dmr 1'!B10)=TRUE,"",IF(AND(ISTEXT([2]BOD!K4),(ISTEXT([2]BOD!L4))),"",IF(AND(ISNUMBER([2]BOD!K4),([2]BOD!L4="")),[2]BOD!K4,IF(AND(ISNUMBER([2]BOD!L4),([2]BOD!K4="")),[2]BOD!L4,((('dmr 1'!D10)*[2]BOD!K4)+('dmr 1'!E10*[2]BOD!L4))/(('dmr 1'!D10+'dmr 1'!E10))))))</f>
        <v>13</v>
      </c>
      <c r="R10" s="661">
        <f>IF(ISBLANK('dmr 1'!B10)=TRUE,"",IF(AND(ISTEXT([2]TSS!K4),(ISTEXT([2]TSS!L4))),"",IF(AND(ISNUMBER([2]TSS!K4),([2]TSS!L4="")),[2]TSS!K4,IF(AND(ISNUMBER([2]TSS!L4),([2]TSS!K4="")),[2]TSS!L4,((('dmr 1'!D10)*[2]TSS!K4)+('dmr 1'!E10*[2]TSS!L4))/(('dmr 1'!D10+'dmr 1'!E10))))))</f>
        <v>13</v>
      </c>
      <c r="S10" s="661" t="str">
        <f>IF('7 day'!AA12="","",'7 day'!AA12)</f>
        <v/>
      </c>
      <c r="T10" s="620" t="str">
        <f>IF('7 day'!AE12="","",'7 day'!AE12)</f>
        <v/>
      </c>
      <c r="U10" s="630">
        <f>IF([2]alk_pH_Cl2!G4="","",[2]alk_pH_Cl2!G4)</f>
        <v>9</v>
      </c>
      <c r="V10" s="1528" t="str">
        <f>IF([2]alk_pH_Cl2!H4="","",[2]alk_pH_Cl2!H4)</f>
        <v/>
      </c>
      <c r="W10" s="511">
        <f>IF([2]alk_pH_Cl2!E4="","",[2]alk_pH_Cl2!E4)</f>
        <v>7.1</v>
      </c>
      <c r="X10" s="632" t="str">
        <f>IF([2]alk_pH_Cl2!F4="","",[2]alk_pH_Cl2!F4)</f>
        <v/>
      </c>
      <c r="Y10" s="490"/>
    </row>
    <row r="11" spans="1:26" s="12" customFormat="1" ht="15.95" customHeight="1" x14ac:dyDescent="0.2">
      <c r="A11" s="490">
        <v>2</v>
      </c>
      <c r="B11" s="522" t="str">
        <f>IF(OR([2]BOD!F5="",'dmr 1'!E11=0,'dmr 1'!E11=""),"",[2]BOD!F5)</f>
        <v/>
      </c>
      <c r="C11" s="523" t="str">
        <f>IF('7 day'!S13="","",'7 day'!S13)</f>
        <v/>
      </c>
      <c r="D11" s="501" t="str">
        <f>IF(OR('dmr 1'!K11="",B11="",ISTEXT([2]BOD!H5)=TRUE,ISTEXT([2]BOD!L5)=TRUE),"",([2]BOD!H5-[2]BOD!L5)/[2]BOD!H5*100)</f>
        <v/>
      </c>
      <c r="E11" s="501" t="str">
        <f>IF(OR('dmr 1'!E11="",ISTEXT([2]BOD!L5)=TRUE,[2]BOD!L5=""),"",IF('dmr 1'!E11=0,0,'dmr 1'!E11*[2]BOD!L5)*8.34)</f>
        <v/>
      </c>
      <c r="F11" s="501" t="str">
        <f>IF('7 day'!U13="","",'7 day'!U13)</f>
        <v/>
      </c>
      <c r="G11" s="489" t="str">
        <f>IF(OR([2]TSS!L5="",'dmr 1'!E11=0,'dmr 1'!E11=""),"",[2]TSS!L5)</f>
        <v/>
      </c>
      <c r="H11" s="489" t="str">
        <f>IF('7 day'!W13="","",'7 day'!W13)</f>
        <v/>
      </c>
      <c r="I11" s="501" t="str">
        <f>IF(OR('dmr 1'!L11="",G11="",ISTEXT([2]TSS!H5)=TRUE,ISTEXT([2]TSS!L5)=TRUE),"",([2]TSS!H5-[2]TSS!L5)/[2]TSS!H5*100)</f>
        <v/>
      </c>
      <c r="J11" s="501" t="str">
        <f>IF(OR('dmr 1'!E11="",ISTEXT([2]TSS!L5)=TRUE,[2]TSS!L5=""),"",'dmr 1'!E11*[2]TSS!L5*8.34)</f>
        <v/>
      </c>
      <c r="K11" s="501" t="str">
        <f>IF('7 day'!Y13="","",'7 day'!Y13)</f>
        <v/>
      </c>
      <c r="L11" s="662" t="str">
        <f>IF([2]alk_pH_Cl2!J5="","",[2]alk_pH_Cl2!J5)</f>
        <v/>
      </c>
      <c r="M11" s="661">
        <f>IF(AND('dmr 1'!Q11="",E11="")=TRUE,"",IF(E11="",'dmr 1'!Q11,'dmr 1'!Q11+E11))</f>
        <v>4529.6972384456376</v>
      </c>
      <c r="N11" s="619">
        <f>IF(AND('dmr 1'!V11="",J11="")=TRUE,"",IF(J11="",'dmr 1'!V11,'dmr 1'!V11+J11))</f>
        <v>6039.5963179275168</v>
      </c>
      <c r="O11" s="619" t="str">
        <f>IF('7 day'!AC13="","",'7 day'!AC13)</f>
        <v/>
      </c>
      <c r="P11" s="620" t="str">
        <f>IF('7 day'!AG13="","",'7 day'!AG13)</f>
        <v/>
      </c>
      <c r="Q11" s="661">
        <f>IF(ISBLANK('dmr 1'!B11)=TRUE,"",IF(AND(ISTEXT([2]BOD!K5),(ISTEXT([2]BOD!L5))),"",IF(AND(ISNUMBER([2]BOD!K5),([2]BOD!L5="")),[2]BOD!K5,IF(AND(ISNUMBER([2]BOD!L5),([2]BOD!K5="")),[2]BOD!L5,((('dmr 1'!D11)*[2]BOD!K5)+('dmr 1'!E11*[2]BOD!L5))/(('dmr 1'!D11+'dmr 1'!E11))))))</f>
        <v>9</v>
      </c>
      <c r="R11" s="661">
        <f>IF(ISBLANK('dmr 1'!B11)=TRUE,"",IF(AND(ISTEXT([2]TSS!K5),(ISTEXT([2]TSS!L5))),"",IF(AND(ISNUMBER([2]TSS!K5),([2]TSS!L5="")),[2]TSS!K5,IF(AND(ISNUMBER([2]TSS!L5),([2]TSS!K5="")),[2]TSS!L5,((('dmr 1'!D11)*[2]TSS!K5)+('dmr 1'!E11*[2]TSS!L5))/(('dmr 1'!D11+'dmr 1'!E11))))))</f>
        <v>12</v>
      </c>
      <c r="S11" s="661" t="str">
        <f>IF('7 day'!AA13="","",'7 day'!AA13)</f>
        <v/>
      </c>
      <c r="T11" s="620" t="str">
        <f>IF('7 day'!AE13="","",'7 day'!AE13)</f>
        <v/>
      </c>
      <c r="U11" s="630">
        <f>IF([2]alk_pH_Cl2!G5="","",[2]alk_pH_Cl2!G5)</f>
        <v>28</v>
      </c>
      <c r="V11" s="1529" t="str">
        <f>IF([2]alk_pH_Cl2!H5="","",[2]alk_pH_Cl2!H5)</f>
        <v/>
      </c>
      <c r="W11" s="511">
        <f>IF([2]alk_pH_Cl2!E5="","",[2]alk_pH_Cl2!E5)</f>
        <v>7.2</v>
      </c>
      <c r="X11" s="632" t="str">
        <f>IF([2]alk_pH_Cl2!F5="","",[2]alk_pH_Cl2!F5)</f>
        <v/>
      </c>
      <c r="Y11" s="490"/>
      <c r="Z11" s="11"/>
    </row>
    <row r="12" spans="1:26" s="12" customFormat="1" ht="15.95" customHeight="1" x14ac:dyDescent="0.2">
      <c r="A12" s="490">
        <v>3</v>
      </c>
      <c r="B12" s="522" t="str">
        <f>IF(OR([2]BOD!F6="",'dmr 1'!E12=0,'dmr 1'!E12=""),"",[2]BOD!F6)</f>
        <v/>
      </c>
      <c r="C12" s="523" t="str">
        <f>IF('7 day'!S14="","",'7 day'!S14)</f>
        <v/>
      </c>
      <c r="D12" s="501" t="str">
        <f>IF(OR('dmr 1'!K12="",B12="",ISTEXT([2]BOD!H6)=TRUE,ISTEXT([2]BOD!L6)=TRUE),"",([2]BOD!H6-[2]BOD!L6)/[2]BOD!H6*100)</f>
        <v/>
      </c>
      <c r="E12" s="501" t="str">
        <f>IF(OR('dmr 1'!E12="",ISTEXT([2]BOD!L6)=TRUE,[2]BOD!L6=""),"",IF('dmr 1'!E12=0,0,'dmr 1'!E12*[2]BOD!L6)*8.34)</f>
        <v/>
      </c>
      <c r="F12" s="501" t="str">
        <f>IF('7 day'!U14="","",'7 day'!U14)</f>
        <v/>
      </c>
      <c r="G12" s="489" t="str">
        <f>IF(OR([2]TSS!L6="",'dmr 1'!E12=0,'dmr 1'!E12=""),"",[2]TSS!L6)</f>
        <v/>
      </c>
      <c r="H12" s="489" t="str">
        <f>IF('7 day'!W14="","",'7 day'!W14)</f>
        <v/>
      </c>
      <c r="I12" s="501" t="str">
        <f>IF(OR('dmr 1'!L12="",G12="",ISTEXT([2]TSS!H6)=TRUE,ISTEXT([2]TSS!L6)=TRUE),"",([2]TSS!H6-[2]TSS!L6)/[2]TSS!H6*100)</f>
        <v/>
      </c>
      <c r="J12" s="501" t="str">
        <f>IF(OR('dmr 1'!E12="",ISTEXT([2]TSS!L6)=TRUE,[2]TSS!L6=""),"",'dmr 1'!E12*[2]TSS!L6*8.34)</f>
        <v/>
      </c>
      <c r="K12" s="501" t="str">
        <f>IF('7 day'!Y14="","",'7 day'!Y14)</f>
        <v/>
      </c>
      <c r="L12" s="662" t="str">
        <f>IF([2]alk_pH_Cl2!J6="","",[2]alk_pH_Cl2!J6)</f>
        <v/>
      </c>
      <c r="M12" s="661">
        <f>IF(AND('dmr 1'!Q12="",E12="")=TRUE,"",IF(E12="",'dmr 1'!Q12,'dmr 1'!Q12+E12))</f>
        <v>4223.2934059683384</v>
      </c>
      <c r="N12" s="619">
        <f>IF(AND('dmr 1'!V12="",J12="")=TRUE,"",IF(J12="",'dmr 1'!V12,'dmr 1'!V12+J12))</f>
        <v>5807.0284332064657</v>
      </c>
      <c r="O12" s="619" t="str">
        <f>IF('7 day'!AC14="","",'7 day'!AC14)</f>
        <v/>
      </c>
      <c r="P12" s="620" t="str">
        <f>IF('7 day'!AG14="","",'7 day'!AG14)</f>
        <v/>
      </c>
      <c r="Q12" s="661">
        <f>IF(ISBLANK('dmr 1'!B12)=TRUE,"",IF(AND(ISTEXT([2]BOD!K6),(ISTEXT([2]BOD!L6))),"",IF(AND(ISNUMBER([2]BOD!K6),([2]BOD!L6="")),[2]BOD!K6,IF(AND(ISNUMBER([2]BOD!L6),([2]BOD!K6="")),[2]BOD!L6,((('dmr 1'!D12)*[2]BOD!K6)+('dmr 1'!E12*[2]BOD!L6))/(('dmr 1'!D12+'dmr 1'!E12))))))</f>
        <v>8</v>
      </c>
      <c r="R12" s="661">
        <f>IF(ISBLANK('dmr 1'!B12)=TRUE,"",IF(AND(ISTEXT([2]TSS!K6),(ISTEXT([2]TSS!L6))),"",IF(AND(ISNUMBER([2]TSS!K6),([2]TSS!L6="")),[2]TSS!K6,IF(AND(ISNUMBER([2]TSS!L6),([2]TSS!K6="")),[2]TSS!L6,((('dmr 1'!D12)*[2]TSS!K6)+('dmr 1'!E12*[2]TSS!L6))/(('dmr 1'!D12+'dmr 1'!E12))))))</f>
        <v>11</v>
      </c>
      <c r="S12" s="661" t="str">
        <f>IF('7 day'!AA14="","",'7 day'!AA14)</f>
        <v/>
      </c>
      <c r="T12" s="620" t="str">
        <f>IF('7 day'!AE14="","",'7 day'!AE14)</f>
        <v/>
      </c>
      <c r="U12" s="630">
        <f>IF([2]alk_pH_Cl2!G6="","",[2]alk_pH_Cl2!G6)</f>
        <v>3</v>
      </c>
      <c r="V12" s="1529" t="str">
        <f>IF([2]alk_pH_Cl2!H6="","",[2]alk_pH_Cl2!H6)</f>
        <v/>
      </c>
      <c r="W12" s="511">
        <f>IF([2]alk_pH_Cl2!E6="","",[2]alk_pH_Cl2!E6)</f>
        <v>7.3</v>
      </c>
      <c r="X12" s="632" t="str">
        <f>IF([2]alk_pH_Cl2!F6="","",[2]alk_pH_Cl2!F6)</f>
        <v/>
      </c>
      <c r="Y12" s="490"/>
      <c r="Z12" s="11"/>
    </row>
    <row r="13" spans="1:26" s="12" customFormat="1" ht="15.95" customHeight="1" x14ac:dyDescent="0.2">
      <c r="A13" s="490">
        <v>4</v>
      </c>
      <c r="B13" s="522" t="str">
        <f>IF(OR([2]BOD!F7="",'dmr 1'!E13=0,'dmr 1'!E13=""),"",[2]BOD!F7)</f>
        <v/>
      </c>
      <c r="C13" s="523" t="str">
        <f>IF('7 day'!S15="","",'7 day'!S15)</f>
        <v/>
      </c>
      <c r="D13" s="501" t="str">
        <f>IF(OR('dmr 1'!K13="",B13="",ISTEXT([2]BOD!H7)=TRUE,ISTEXT([2]BOD!L7)=TRUE),"",([2]BOD!H7-[2]BOD!L7)/[2]BOD!H7*100)</f>
        <v/>
      </c>
      <c r="E13" s="501" t="str">
        <f>IF(OR('dmr 1'!E13="",ISTEXT([2]BOD!L7)=TRUE,[2]BOD!L7=""),"",IF('dmr 1'!E13=0,0,'dmr 1'!E13*[2]BOD!L7)*8.34)</f>
        <v/>
      </c>
      <c r="F13" s="501" t="str">
        <f>IF('7 day'!U15="","",'7 day'!U15)</f>
        <v/>
      </c>
      <c r="G13" s="489" t="str">
        <f>IF(OR([2]TSS!L7="",'dmr 1'!E13=0,'dmr 1'!E13=""),"",[2]TSS!L7)</f>
        <v/>
      </c>
      <c r="H13" s="489" t="str">
        <f>IF('7 day'!W15="","",'7 day'!W15)</f>
        <v/>
      </c>
      <c r="I13" s="501" t="str">
        <f>IF(OR('dmr 1'!L13="",G13="",ISTEXT([2]TSS!H7)=TRUE,ISTEXT([2]TSS!L7)=TRUE),"",([2]TSS!H7-[2]TSS!L7)/[2]TSS!H7*100)</f>
        <v/>
      </c>
      <c r="J13" s="501" t="str">
        <f>IF(OR('dmr 1'!E13="",ISTEXT([2]TSS!L7)=TRUE,[2]TSS!L7=""),"",'dmr 1'!E13*[2]TSS!L7*8.34)</f>
        <v/>
      </c>
      <c r="K13" s="501" t="str">
        <f>IF('7 day'!Y15="","",'7 day'!Y15)</f>
        <v/>
      </c>
      <c r="L13" s="662" t="str">
        <f>IF([2]alk_pH_Cl2!J7="","",[2]alk_pH_Cl2!J7)</f>
        <v/>
      </c>
      <c r="M13" s="661">
        <f>IF(AND('dmr 1'!Q13="",E13="")=TRUE,"",IF(E13="",'dmr 1'!Q13,'dmr 1'!Q13+E13))</f>
        <v>6816.6687584650053</v>
      </c>
      <c r="N13" s="619">
        <f>IF(AND('dmr 1'!V13="",J13="")=TRUE,"",IF(J13="",'dmr 1'!V13,'dmr 1'!V13+J13))</f>
        <v>6816.6687584650053</v>
      </c>
      <c r="O13" s="619" t="str">
        <f>IF('7 day'!AC15="","",'7 day'!AC15)</f>
        <v/>
      </c>
      <c r="P13" s="620" t="str">
        <f>IF('7 day'!AG15="","",'7 day'!AG15)</f>
        <v/>
      </c>
      <c r="Q13" s="661">
        <f>IF(ISBLANK('dmr 1'!B13)=TRUE,"",IF(AND(ISTEXT([2]BOD!K7),(ISTEXT([2]BOD!L7))),"",IF(AND(ISNUMBER([2]BOD!K7),([2]BOD!L7="")),[2]BOD!K7,IF(AND(ISNUMBER([2]BOD!L7),([2]BOD!K7="")),[2]BOD!L7,((('dmr 1'!D13)*[2]BOD!K7)+('dmr 1'!E13*[2]BOD!L7))/(('dmr 1'!D13+'dmr 1'!E13))))))</f>
        <v>12</v>
      </c>
      <c r="R13" s="661">
        <f>IF(ISBLANK('dmr 1'!B13)=TRUE,"",IF(AND(ISTEXT([2]TSS!K7),(ISTEXT([2]TSS!L7))),"",IF(AND(ISNUMBER([2]TSS!K7),([2]TSS!L7="")),[2]TSS!K7,IF(AND(ISNUMBER([2]TSS!L7),([2]TSS!K7="")),[2]TSS!L7,((('dmr 1'!D13)*[2]TSS!K7)+('dmr 1'!E13*[2]TSS!L7))/(('dmr 1'!D13+'dmr 1'!E13))))))</f>
        <v>12</v>
      </c>
      <c r="S13" s="661" t="str">
        <f>IF('7 day'!AA15="","",'7 day'!AA15)</f>
        <v/>
      </c>
      <c r="T13" s="620" t="str">
        <f>IF('7 day'!AE15="","",'7 day'!AE15)</f>
        <v/>
      </c>
      <c r="U13" s="630">
        <f>IF([2]alk_pH_Cl2!G7="","",[2]alk_pH_Cl2!G7)</f>
        <v>14</v>
      </c>
      <c r="V13" s="1529" t="str">
        <f>IF([2]alk_pH_Cl2!H7="","",[2]alk_pH_Cl2!H7)</f>
        <v/>
      </c>
      <c r="W13" s="511">
        <f>IF([2]alk_pH_Cl2!E7="","",[2]alk_pH_Cl2!E7)</f>
        <v>7.2</v>
      </c>
      <c r="X13" s="632" t="str">
        <f>IF([2]alk_pH_Cl2!F7="","",[2]alk_pH_Cl2!F7)</f>
        <v/>
      </c>
      <c r="Y13" s="490"/>
      <c r="Z13" s="11"/>
    </row>
    <row r="14" spans="1:26" s="12" customFormat="1" ht="15.95" customHeight="1" x14ac:dyDescent="0.2">
      <c r="A14" s="490">
        <v>5</v>
      </c>
      <c r="B14" s="522" t="str">
        <f>IF(OR([2]BOD!F8="",'dmr 1'!E14=0,'dmr 1'!E14=""),"",[2]BOD!F8)</f>
        <v/>
      </c>
      <c r="C14" s="523">
        <f>IF('7 day'!S16="","",'7 day'!S16)</f>
        <v>18</v>
      </c>
      <c r="D14" s="501" t="str">
        <f>IF(OR('dmr 1'!K14="",B14="",ISTEXT([2]BOD!H8)=TRUE,ISTEXT([2]BOD!L8)=TRUE),"",([2]BOD!H8-[2]BOD!L8)/[2]BOD!H8*100)</f>
        <v/>
      </c>
      <c r="E14" s="501" t="str">
        <f>IF(OR('dmr 1'!E14="",ISTEXT([2]BOD!L8)=TRUE,[2]BOD!L8=""),"",IF('dmr 1'!E14=0,0,'dmr 1'!E14*[2]BOD!L8)*8.34)</f>
        <v/>
      </c>
      <c r="F14" s="501">
        <f>IF('7 day'!U16="","",'7 day'!U16)</f>
        <v>4776.3621696824957</v>
      </c>
      <c r="G14" s="489" t="str">
        <f>IF(OR([2]TSS!L8="",'dmr 1'!E14=0,'dmr 1'!E14=""),"",[2]TSS!L8)</f>
        <v/>
      </c>
      <c r="H14" s="489">
        <f>IF('7 day'!W16="","",'7 day'!W16)</f>
        <v>14</v>
      </c>
      <c r="I14" s="501" t="str">
        <f>IF(OR('dmr 1'!L14="",G14="",ISTEXT([2]TSS!H8)=TRUE,ISTEXT([2]TSS!L8)=TRUE),"",([2]TSS!H8-[2]TSS!L8)/[2]TSS!H8*100)</f>
        <v/>
      </c>
      <c r="J14" s="501" t="str">
        <f>IF(OR('dmr 1'!E14="",ISTEXT([2]TSS!L8)=TRUE,[2]TSS!L8=""),"",'dmr 1'!E14*[2]TSS!L8*8.34)</f>
        <v/>
      </c>
      <c r="K14" s="501">
        <f>IF('7 day'!Y16="","",'7 day'!Y16)</f>
        <v>3714.9483541974964</v>
      </c>
      <c r="L14" s="662" t="str">
        <f>IF([2]alk_pH_Cl2!J8="","",[2]alk_pH_Cl2!J8)</f>
        <v/>
      </c>
      <c r="M14" s="661">
        <f>IF(AND('dmr 1'!Q14="",E14="")=TRUE,"",IF(E14="",'dmr 1'!Q14,'dmr 1'!Q14+E14))</f>
        <v>4899.2710920062473</v>
      </c>
      <c r="N14" s="619">
        <f>IF(AND('dmr 1'!V14="",J14="")=TRUE,"",IF(J14="",'dmr 1'!V14,'dmr 1'!V14+J14))</f>
        <v>3919.4168736049974</v>
      </c>
      <c r="O14" s="619">
        <f>IF('7 day'!AC16="","",'7 day'!AC16)</f>
        <v>6571.397813855684</v>
      </c>
      <c r="P14" s="620">
        <f>IF('7 day'!AG16="","",'7 day'!AG16)</f>
        <v>7892.4592564668737</v>
      </c>
      <c r="Q14" s="661">
        <f>IF(ISBLANK('dmr 1'!B14)=TRUE,"",IF(AND(ISTEXT([2]BOD!K8),(ISTEXT([2]BOD!L8))),"",IF(AND(ISNUMBER([2]BOD!K8),([2]BOD!L8="")),[2]BOD!K8,IF(AND(ISNUMBER([2]BOD!L8),([2]BOD!K8="")),[2]BOD!L8,((('dmr 1'!D14)*[2]BOD!K8)+('dmr 1'!E14*[2]BOD!L8))/(('dmr 1'!D14+'dmr 1'!E14))))))</f>
        <v>10</v>
      </c>
      <c r="R14" s="661">
        <f>IF(ISBLANK('dmr 1'!B14)=TRUE,"",IF(AND(ISTEXT([2]TSS!K8),(ISTEXT([2]TSS!L8))),"",IF(AND(ISNUMBER([2]TSS!K8),([2]TSS!L8="")),[2]TSS!K8,IF(AND(ISNUMBER([2]TSS!L8),([2]TSS!K8="")),[2]TSS!L8,((('dmr 1'!D14)*[2]TSS!K8)+('dmr 1'!E14*[2]TSS!L8))/(('dmr 1'!D14+'dmr 1'!E14))))))</f>
        <v>8</v>
      </c>
      <c r="S14" s="661">
        <f>IF('7 day'!AA16="","",'7 day'!AA16)</f>
        <v>10.690400709578151</v>
      </c>
      <c r="T14" s="620">
        <f>IF('7 day'!AE16="","",'7 day'!AE16)</f>
        <v>12.513244286760411</v>
      </c>
      <c r="U14" s="630">
        <f>IF([2]alk_pH_Cl2!G8="","",[2]alk_pH_Cl2!G8)</f>
        <v>3</v>
      </c>
      <c r="V14" s="1529" t="str">
        <f>IF([2]alk_pH_Cl2!H8="","",[2]alk_pH_Cl2!H8)</f>
        <v/>
      </c>
      <c r="W14" s="511">
        <f>IF([2]alk_pH_Cl2!E8="","",[2]alk_pH_Cl2!E8)</f>
        <v>7.1</v>
      </c>
      <c r="X14" s="632" t="str">
        <f>IF([2]alk_pH_Cl2!F8="","",[2]alk_pH_Cl2!F8)</f>
        <v/>
      </c>
      <c r="Y14" s="490"/>
      <c r="Z14" s="11"/>
    </row>
    <row r="15" spans="1:26" s="12" customFormat="1" ht="15.95" customHeight="1" x14ac:dyDescent="0.2">
      <c r="A15" s="490">
        <v>6</v>
      </c>
      <c r="B15" s="522">
        <f>IF(OR([2]BOD!F9="",'dmr 1'!E15=0,'dmr 1'!E15=""),"",[2]BOD!F9)</f>
        <v>63</v>
      </c>
      <c r="C15" s="523" t="str">
        <f>IF('7 day'!S17="","",'7 day'!S17)</f>
        <v/>
      </c>
      <c r="D15" s="501">
        <f>IF(OR('dmr 1'!K15="",B15="",ISTEXT([2]BOD!H9)=TRUE,ISTEXT([2]BOD!L9)=TRUE),"",([2]BOD!H9-[2]BOD!L9)/[2]BOD!H9*100)</f>
        <v>66.84210526315789</v>
      </c>
      <c r="E15" s="501">
        <f>IF(OR('dmr 1'!E15="",ISTEXT([2]BOD!L9)=TRUE,[2]BOD!L9=""),"",IF('dmr 1'!E15=0,0,'dmr 1'!E15*[2]BOD!L9)*8.34)</f>
        <v>4516.4240398331267</v>
      </c>
      <c r="F15" s="501" t="str">
        <f>IF('7 day'!U17="","",'7 day'!U17)</f>
        <v/>
      </c>
      <c r="G15" s="489">
        <f>IF(OR([2]TSS!L9="",'dmr 1'!E15=0,'dmr 1'!E15=""),"",[2]TSS!L9)</f>
        <v>40</v>
      </c>
      <c r="H15" s="489" t="str">
        <f>IF('7 day'!W17="","",'7 day'!W17)</f>
        <v/>
      </c>
      <c r="I15" s="501">
        <f>IF(OR('dmr 1'!L15="",G15="",ISTEXT([2]TSS!H9)=TRUE,ISTEXT([2]TSS!L9)=TRUE),"",([2]TSS!H9-[2]TSS!L9)/[2]TSS!H9*100)</f>
        <v>83.333333333333343</v>
      </c>
      <c r="J15" s="501">
        <f>IF(OR('dmr 1'!E15="",ISTEXT([2]TSS!L9)=TRUE,[2]TSS!L9=""),"",'dmr 1'!E15*[2]TSS!L9*8.34)</f>
        <v>2867.5708189416678</v>
      </c>
      <c r="K15" s="501" t="str">
        <f>IF('7 day'!Y17="","",'7 day'!Y17)</f>
        <v/>
      </c>
      <c r="L15" s="662">
        <f>IF([2]alk_pH_Cl2!J9="","",[2]alk_pH_Cl2!J9)</f>
        <v>4.8693988472223282E-2</v>
      </c>
      <c r="M15" s="661">
        <f>IF(AND('dmr 1'!Q15="",E15="")=TRUE,"",IF(E15="",'dmr 1'!Q15,'dmr 1'!Q15+E15))</f>
        <v>14398.26704749043</v>
      </c>
      <c r="N15" s="619">
        <f>IF(AND('dmr 1'!V15="",J15="")=TRUE,"",IF(J15="",'dmr 1'!V15,'dmr 1'!V15+J15))</f>
        <v>13509.555596418762</v>
      </c>
      <c r="O15" s="619" t="str">
        <f>IF('7 day'!AC17="","",'7 day'!AC17)</f>
        <v/>
      </c>
      <c r="P15" s="620" t="str">
        <f>IF('7 day'!AG17="","",'7 day'!AG17)</f>
        <v/>
      </c>
      <c r="Q15" s="661">
        <f>IF(ISBLANK('dmr 1'!B15)=TRUE,"",IF(AND(ISTEXT([2]BOD!K9),(ISTEXT([2]BOD!L9))),"",IF(AND(ISNUMBER([2]BOD!K9),([2]BOD!L9="")),[2]BOD!K9,IF(AND(ISNUMBER([2]BOD!L9),([2]BOD!K9="")),[2]BOD!L9,((('dmr 1'!D15)*[2]BOD!K9)+('dmr 1'!E15*[2]BOD!L9))/(('dmr 1'!D15+'dmr 1'!E15))))))</f>
        <v>17.309124509723837</v>
      </c>
      <c r="R15" s="661">
        <f>IF(ISBLANK('dmr 1'!B15)=TRUE,"",IF(AND(ISTEXT([2]TSS!K9),(ISTEXT([2]TSS!L9))),"",IF(AND(ISNUMBER([2]TSS!K9),([2]TSS!L9="")),[2]TSS!K9,IF(AND(ISNUMBER([2]TSS!L9),([2]TSS!K9="")),[2]TSS!L9,((('dmr 1'!D15)*[2]TSS!K9)+('dmr 1'!E15*[2]TSS!L9))/(('dmr 1'!D15+'dmr 1'!E15))))))</f>
        <v>16.240744745056396</v>
      </c>
      <c r="S15" s="661" t="str">
        <f>IF('7 day'!AA17="","",'7 day'!AA17)</f>
        <v/>
      </c>
      <c r="T15" s="620" t="str">
        <f>IF('7 day'!AE17="","",'7 day'!AE17)</f>
        <v/>
      </c>
      <c r="U15" s="630">
        <f>IF([2]alk_pH_Cl2!G9="","",[2]alk_pH_Cl2!G9)</f>
        <v>19</v>
      </c>
      <c r="V15" s="1529" t="str">
        <f>IF([2]alk_pH_Cl2!H9="","",[2]alk_pH_Cl2!H9)</f>
        <v/>
      </c>
      <c r="W15" s="511">
        <f>IF([2]alk_pH_Cl2!E9="","",[2]alk_pH_Cl2!E9)</f>
        <v>7.2</v>
      </c>
      <c r="X15" s="632" t="str">
        <f>IF([2]alk_pH_Cl2!F9="","",[2]alk_pH_Cl2!F9)</f>
        <v/>
      </c>
      <c r="Y15" s="490"/>
      <c r="Z15" s="11"/>
    </row>
    <row r="16" spans="1:26" s="12" customFormat="1" ht="15.95" customHeight="1" x14ac:dyDescent="0.2">
      <c r="A16" s="490">
        <v>7</v>
      </c>
      <c r="B16" s="522" t="str">
        <f>IF(OR([2]BOD!F10="",'dmr 1'!E16=0,'dmr 1'!E16=""),"",[2]BOD!F10)</f>
        <v/>
      </c>
      <c r="C16" s="523" t="str">
        <f>IF('7 day'!S18="","",'7 day'!S18)</f>
        <v/>
      </c>
      <c r="D16" s="501" t="str">
        <f>IF(OR('dmr 1'!K16="",B16="",ISTEXT([2]BOD!H10)=TRUE,ISTEXT([2]BOD!L10)=TRUE),"",([2]BOD!H10-[2]BOD!L10)/[2]BOD!H10*100)</f>
        <v/>
      </c>
      <c r="E16" s="501" t="str">
        <f>IF(OR('dmr 1'!E16="",ISTEXT([2]BOD!L10)=TRUE,[2]BOD!L10=""),"",IF('dmr 1'!E16=0,0,'dmr 1'!E16*[2]BOD!L10)*8.34)</f>
        <v/>
      </c>
      <c r="F16" s="501" t="str">
        <f>IF('7 day'!U18="","",'7 day'!U18)</f>
        <v/>
      </c>
      <c r="G16" s="489" t="str">
        <f>IF(OR([2]TSS!L10="",'dmr 1'!E16=0,'dmr 1'!E16=""),"",[2]TSS!L10)</f>
        <v/>
      </c>
      <c r="H16" s="489" t="str">
        <f>IF('7 day'!W18="","",'7 day'!W18)</f>
        <v/>
      </c>
      <c r="I16" s="501" t="str">
        <f>IF(OR('dmr 1'!L16="",G16="",ISTEXT([2]TSS!H10)=TRUE,ISTEXT([2]TSS!L10)=TRUE),"",([2]TSS!H10-[2]TSS!L10)/[2]TSS!H10*100)</f>
        <v/>
      </c>
      <c r="J16" s="501" t="str">
        <f>IF(OR('dmr 1'!E16="",ISTEXT([2]TSS!L10)=TRUE,[2]TSS!L10=""),"",'dmr 1'!E16*[2]TSS!L10*8.34)</f>
        <v/>
      </c>
      <c r="K16" s="501" t="str">
        <f>IF('7 day'!Y18="","",'7 day'!Y18)</f>
        <v/>
      </c>
      <c r="L16" s="662" t="str">
        <f>IF([2]alk_pH_Cl2!J10="","",[2]alk_pH_Cl2!J10)</f>
        <v/>
      </c>
      <c r="M16" s="661">
        <f>IF(AND('dmr 1'!Q16="",E16="")=TRUE,"",IF(E16="",'dmr 1'!Q16,'dmr 1'!Q16+E16))</f>
        <v>8659.0736494937501</v>
      </c>
      <c r="N16" s="619">
        <f>IF(AND('dmr 1'!V16="",J16="")=TRUE,"",IF(J16="",'dmr 1'!V16,'dmr 1'!V16+J16))</f>
        <v>10968.159956025414</v>
      </c>
      <c r="O16" s="619" t="str">
        <f>IF('7 day'!AC18="","",'7 day'!AC18)</f>
        <v/>
      </c>
      <c r="P16" s="620" t="str">
        <f>IF('7 day'!AG18="","",'7 day'!AG18)</f>
        <v/>
      </c>
      <c r="Q16" s="661">
        <f>IF(ISBLANK('dmr 1'!B16)=TRUE,"",IF(AND(ISTEXT([2]BOD!K10),(ISTEXT([2]BOD!L10))),"",IF(AND(ISNUMBER([2]BOD!K10),([2]BOD!L10="")),[2]BOD!K10,IF(AND(ISNUMBER([2]BOD!L10),([2]BOD!K10="")),[2]BOD!L10,((('dmr 1'!D16)*[2]BOD!K10)+('dmr 1'!E16*[2]BOD!L10))/(('dmr 1'!D16+'dmr 1'!E16))))))</f>
        <v>15</v>
      </c>
      <c r="R16" s="661">
        <f>IF(ISBLANK('dmr 1'!B16)=TRUE,"",IF(AND(ISTEXT([2]TSS!K10),(ISTEXT([2]TSS!L10))),"",IF(AND(ISNUMBER([2]TSS!K10),([2]TSS!L10="")),[2]TSS!K10,IF(AND(ISNUMBER([2]TSS!L10),([2]TSS!K10="")),[2]TSS!L10,((('dmr 1'!D16)*[2]TSS!K10)+('dmr 1'!E16*[2]TSS!L10))/(('dmr 1'!D16+'dmr 1'!E16))))))</f>
        <v>19</v>
      </c>
      <c r="S16" s="661" t="str">
        <f>IF('7 day'!AA18="","",'7 day'!AA18)</f>
        <v/>
      </c>
      <c r="T16" s="620" t="str">
        <f>IF('7 day'!AE18="","",'7 day'!AE18)</f>
        <v/>
      </c>
      <c r="U16" s="630">
        <f>IF([2]alk_pH_Cl2!G10="","",[2]alk_pH_Cl2!G10)</f>
        <v>6</v>
      </c>
      <c r="V16" s="1529" t="str">
        <f>IF([2]alk_pH_Cl2!H10="","",[2]alk_pH_Cl2!H10)</f>
        <v/>
      </c>
      <c r="W16" s="511">
        <f>IF([2]alk_pH_Cl2!E10="","",[2]alk_pH_Cl2!E10)</f>
        <v>6.9</v>
      </c>
      <c r="X16" s="632" t="str">
        <f>IF([2]alk_pH_Cl2!F10="","",[2]alk_pH_Cl2!F10)</f>
        <v/>
      </c>
      <c r="Y16" s="579"/>
      <c r="Z16" s="11"/>
    </row>
    <row r="17" spans="1:26" s="12" customFormat="1" ht="15.95" customHeight="1" x14ac:dyDescent="0.2">
      <c r="A17" s="490">
        <v>8</v>
      </c>
      <c r="B17" s="522">
        <f>IF(OR([2]BOD!F11="",'dmr 1'!E17=0,'dmr 1'!E17=""),"",[2]BOD!F11)</f>
        <v>35</v>
      </c>
      <c r="C17" s="523" t="str">
        <f>IF('7 day'!S19="","",'7 day'!S19)</f>
        <v/>
      </c>
      <c r="D17" s="501">
        <f>IF(OR('dmr 1'!K17="",B17="",ISTEXT([2]BOD!H11)=TRUE,ISTEXT([2]BOD!L11)=TRUE),"",([2]BOD!H11-[2]BOD!L11)/[2]BOD!H11*100)</f>
        <v>79.166666666666657</v>
      </c>
      <c r="E17" s="501">
        <f>IF(OR('dmr 1'!E17="",ISTEXT([2]BOD!L11)=TRUE,[2]BOD!L11=""),"",IF('dmr 1'!E17=0,0,'dmr 1'!E17*[2]BOD!L11)*8.34)</f>
        <v>714.1612690187502</v>
      </c>
      <c r="F17" s="501" t="str">
        <f>IF('7 day'!U19="","",'7 day'!U19)</f>
        <v/>
      </c>
      <c r="G17" s="489">
        <f>IF(OR([2]TSS!L11="",'dmr 1'!E17=0,'dmr 1'!E17=""),"",[2]TSS!L11)</f>
        <v>14</v>
      </c>
      <c r="H17" s="489" t="str">
        <f>IF('7 day'!W19="","",'7 day'!W19)</f>
        <v/>
      </c>
      <c r="I17" s="501">
        <f>IF(OR('dmr 1'!L17="",G17="",ISTEXT([2]TSS!H11)=TRUE,ISTEXT([2]TSS!L11)=TRUE),"",([2]TSS!H11-[2]TSS!L11)/[2]TSS!H11*100)</f>
        <v>93.63636363636364</v>
      </c>
      <c r="J17" s="501">
        <f>IF(OR('dmr 1'!E17="",ISTEXT([2]TSS!L11)=TRUE,[2]TSS!L11=""),"",'dmr 1'!E17*[2]TSS!L11*8.34)</f>
        <v>285.66450760750007</v>
      </c>
      <c r="K17" s="501" t="str">
        <f>IF('7 day'!Y19="","",'7 day'!Y19)</f>
        <v/>
      </c>
      <c r="L17" s="662" t="str">
        <f>IF([2]alk_pH_Cl2!J11="","",[2]alk_pH_Cl2!J11)</f>
        <v/>
      </c>
      <c r="M17" s="661">
        <f>IF(AND('dmr 1'!Q17="",E17="")=TRUE,"",IF(E17="",'dmr 1'!Q17,'dmr 1'!Q17+E17))</f>
        <v>9121.6054393270806</v>
      </c>
      <c r="N17" s="619">
        <f>IF(AND('dmr 1'!V17="",J17="")=TRUE,"",IF(J17="",'dmr 1'!V17,'dmr 1'!V17+J17))</f>
        <v>12514.674209874162</v>
      </c>
      <c r="O17" s="619" t="str">
        <f>IF('7 day'!AC19="","",'7 day'!AC19)</f>
        <v/>
      </c>
      <c r="P17" s="620" t="str">
        <f>IF('7 day'!AG19="","",'7 day'!AG19)</f>
        <v/>
      </c>
      <c r="Q17" s="661">
        <f>IF(ISBLANK('dmr 1'!B17)=TRUE,"",IF(AND(ISTEXT([2]BOD!K11),(ISTEXT([2]BOD!L11))),"",IF(AND(ISNUMBER([2]BOD!K11),([2]BOD!L11="")),[2]BOD!K11,IF(AND(ISNUMBER([2]BOD!L11),([2]BOD!K11="")),[2]BOD!L11,((('dmr 1'!D17)*[2]BOD!K11)+('dmr 1'!E17*[2]BOD!L11))/(('dmr 1'!D17+'dmr 1'!E17))))))</f>
        <v>11.624059551204903</v>
      </c>
      <c r="R17" s="661">
        <f>IF(ISBLANK('dmr 1'!B17)=TRUE,"",IF(AND(ISTEXT([2]TSS!K11),(ISTEXT([2]TSS!L11))),"",IF(AND(ISNUMBER([2]TSS!K11),([2]TSS!L11="")),[2]TSS!K11,IF(AND(ISNUMBER([2]TSS!L11),([2]TSS!K11="")),[2]TSS!L11,((('dmr 1'!D17)*[2]TSS!K11)+('dmr 1'!E17*[2]TSS!L11))/(('dmr 1'!D17+'dmr 1'!E17))))))</f>
        <v>15.947995037399592</v>
      </c>
      <c r="S17" s="661" t="str">
        <f>IF('7 day'!AA19="","",'7 day'!AA19)</f>
        <v/>
      </c>
      <c r="T17" s="620" t="str">
        <f>IF('7 day'!AE19="","",'7 day'!AE19)</f>
        <v/>
      </c>
      <c r="U17" s="630">
        <f>IF([2]alk_pH_Cl2!G11="","",[2]alk_pH_Cl2!G11)</f>
        <v>66</v>
      </c>
      <c r="V17" s="1529" t="str">
        <f>IF([2]alk_pH_Cl2!H11="","",[2]alk_pH_Cl2!H11)</f>
        <v/>
      </c>
      <c r="W17" s="511">
        <f>IF([2]alk_pH_Cl2!E11="","",[2]alk_pH_Cl2!E11)</f>
        <v>7</v>
      </c>
      <c r="X17" s="632" t="str">
        <f>IF([2]alk_pH_Cl2!F11="","",[2]alk_pH_Cl2!F11)</f>
        <v/>
      </c>
      <c r="Y17" s="579"/>
      <c r="Z17" s="11"/>
    </row>
    <row r="18" spans="1:26" s="12" customFormat="1" ht="15.95" customHeight="1" x14ac:dyDescent="0.2">
      <c r="A18" s="490">
        <v>9</v>
      </c>
      <c r="B18" s="522" t="str">
        <f>IF(OR([2]BOD!F12="",'dmr 1'!E18=0,'dmr 1'!E18=""),"",[2]BOD!F12)</f>
        <v/>
      </c>
      <c r="C18" s="523" t="str">
        <f>IF('7 day'!S20="","",'7 day'!S20)</f>
        <v/>
      </c>
      <c r="D18" s="501" t="str">
        <f>IF(OR('dmr 1'!K18="",B18="",ISTEXT([2]BOD!H12)=TRUE,ISTEXT([2]BOD!L12)=TRUE),"",([2]BOD!H12-[2]BOD!L12)/[2]BOD!H12*100)</f>
        <v/>
      </c>
      <c r="E18" s="501" t="str">
        <f>IF(OR('dmr 1'!E18="",ISTEXT([2]BOD!L12)=TRUE,[2]BOD!L12=""),"",IF('dmr 1'!E18=0,0,'dmr 1'!E18*[2]BOD!L12)*8.34)</f>
        <v/>
      </c>
      <c r="F18" s="501" t="str">
        <f>IF('7 day'!U20="","",'7 day'!U20)</f>
        <v/>
      </c>
      <c r="G18" s="489" t="str">
        <f>IF(OR([2]TSS!L12="",'dmr 1'!E18=0,'dmr 1'!E18=""),"",[2]TSS!L12)</f>
        <v/>
      </c>
      <c r="H18" s="489" t="str">
        <f>IF('7 day'!W20="","",'7 day'!W20)</f>
        <v/>
      </c>
      <c r="I18" s="501" t="str">
        <f>IF(OR('dmr 1'!L18="",G18="",ISTEXT([2]TSS!H12)=TRUE,ISTEXT([2]TSS!L12)=TRUE),"",([2]TSS!H12-[2]TSS!L12)/[2]TSS!H12*100)</f>
        <v/>
      </c>
      <c r="J18" s="501" t="str">
        <f>IF(OR('dmr 1'!E18="",ISTEXT([2]TSS!L12)=TRUE,[2]TSS!L12=""),"",'dmr 1'!E18*[2]TSS!L12*8.34)</f>
        <v/>
      </c>
      <c r="K18" s="501" t="str">
        <f>IF('7 day'!Y20="","",'7 day'!Y20)</f>
        <v/>
      </c>
      <c r="L18" s="662" t="str">
        <f>IF([2]alk_pH_Cl2!J12="","",[2]alk_pH_Cl2!J12)</f>
        <v/>
      </c>
      <c r="M18" s="661">
        <f>IF(AND('dmr 1'!Q18="",E18="")=TRUE,"",IF(E18="",'dmr 1'!Q18,'dmr 1'!Q18+E18))</f>
        <v>9584.6206105216479</v>
      </c>
      <c r="N18" s="619">
        <f>IF(AND('dmr 1'!V18="",J18="")=TRUE,"",IF(J18="",'dmr 1'!V18,'dmr 1'!V18+J18))</f>
        <v>16220.127187036636</v>
      </c>
      <c r="O18" s="619" t="str">
        <f>IF('7 day'!AC20="","",'7 day'!AC20)</f>
        <v/>
      </c>
      <c r="P18" s="620" t="str">
        <f>IF('7 day'!AG20="","",'7 day'!AG20)</f>
        <v/>
      </c>
      <c r="Q18" s="661">
        <f>IF(ISBLANK('dmr 1'!B18)=TRUE,"",IF(AND(ISTEXT([2]BOD!K12),(ISTEXT([2]BOD!L12))),"",IF(AND(ISNUMBER([2]BOD!K12),([2]BOD!L12="")),[2]BOD!K12,IF(AND(ISNUMBER([2]BOD!L12),([2]BOD!K12="")),[2]BOD!L12,((('dmr 1'!D18)*[2]BOD!K12)+('dmr 1'!E18*[2]BOD!L12))/(('dmr 1'!D18+'dmr 1'!E18))))))</f>
        <v>13</v>
      </c>
      <c r="R18" s="661">
        <f>IF(ISBLANK('dmr 1'!B18)=TRUE,"",IF(AND(ISTEXT([2]TSS!K12),(ISTEXT([2]TSS!L12))),"",IF(AND(ISNUMBER([2]TSS!K12),([2]TSS!L12="")),[2]TSS!K12,IF(AND(ISNUMBER([2]TSS!L12),([2]TSS!K12="")),[2]TSS!L12,((('dmr 1'!D18)*[2]TSS!K12)+('dmr 1'!E18*[2]TSS!L12))/(('dmr 1'!D18+'dmr 1'!E18))))))</f>
        <v>22</v>
      </c>
      <c r="S18" s="661" t="str">
        <f>IF('7 day'!AA20="","",'7 day'!AA20)</f>
        <v/>
      </c>
      <c r="T18" s="620" t="str">
        <f>IF('7 day'!AE20="","",'7 day'!AE20)</f>
        <v/>
      </c>
      <c r="U18" s="630">
        <f>IF([2]alk_pH_Cl2!G12="","",[2]alk_pH_Cl2!G12)</f>
        <v>4</v>
      </c>
      <c r="V18" s="1529" t="str">
        <f>IF([2]alk_pH_Cl2!H12="","",[2]alk_pH_Cl2!H12)</f>
        <v/>
      </c>
      <c r="W18" s="511">
        <f>IF([2]alk_pH_Cl2!E12="","",[2]alk_pH_Cl2!E12)</f>
        <v>7</v>
      </c>
      <c r="X18" s="632" t="str">
        <f>IF([2]alk_pH_Cl2!F12="","",[2]alk_pH_Cl2!F12)</f>
        <v/>
      </c>
      <c r="Y18" s="490"/>
      <c r="Z18" s="11"/>
    </row>
    <row r="19" spans="1:26" s="12" customFormat="1" ht="15.95" customHeight="1" x14ac:dyDescent="0.2">
      <c r="A19" s="490">
        <v>10</v>
      </c>
      <c r="B19" s="522" t="str">
        <f>IF(OR([2]BOD!F13="",'dmr 1'!E19=0,'dmr 1'!E19=""),"",[2]BOD!F13)</f>
        <v/>
      </c>
      <c r="C19" s="523" t="str">
        <f>IF('7 day'!S21="","",'7 day'!S21)</f>
        <v/>
      </c>
      <c r="D19" s="501" t="str">
        <f>IF(OR('dmr 1'!K19="",B19="",ISTEXT([2]BOD!H13)=TRUE,ISTEXT([2]BOD!L13)=TRUE),"",([2]BOD!H13-[2]BOD!L13)/[2]BOD!H13*100)</f>
        <v/>
      </c>
      <c r="E19" s="501" t="str">
        <f>IF(OR('dmr 1'!E19="",ISTEXT([2]BOD!L13)=TRUE,[2]BOD!L13=""),"",IF('dmr 1'!E19=0,0,'dmr 1'!E19*[2]BOD!L13)*8.34)</f>
        <v/>
      </c>
      <c r="F19" s="501" t="str">
        <f>IF('7 day'!U21="","",'7 day'!U21)</f>
        <v/>
      </c>
      <c r="G19" s="489" t="str">
        <f>IF(OR([2]TSS!L13="",'dmr 1'!E19=0,'dmr 1'!E19=""),"",[2]TSS!L13)</f>
        <v/>
      </c>
      <c r="H19" s="489" t="str">
        <f>IF('7 day'!W21="","",'7 day'!W21)</f>
        <v/>
      </c>
      <c r="I19" s="501" t="str">
        <f>IF(OR('dmr 1'!L19="",G19="",ISTEXT([2]TSS!H13)=TRUE,ISTEXT([2]TSS!L13)=TRUE),"",([2]TSS!H13-[2]TSS!L13)/[2]TSS!H13*100)</f>
        <v/>
      </c>
      <c r="J19" s="501" t="str">
        <f>IF(OR('dmr 1'!E19="",ISTEXT([2]TSS!L13)=TRUE,[2]TSS!L13=""),"",'dmr 1'!E19*[2]TSS!L13*8.34)</f>
        <v/>
      </c>
      <c r="K19" s="501" t="str">
        <f>IF('7 day'!Y21="","",'7 day'!Y21)</f>
        <v/>
      </c>
      <c r="L19" s="662" t="str">
        <f>IF([2]alk_pH_Cl2!J13="","",[2]alk_pH_Cl2!J13)</f>
        <v/>
      </c>
      <c r="M19" s="661">
        <f>IF(AND('dmr 1'!Q19="",E19="")=TRUE,"",IF(E19="",'dmr 1'!Q19,'dmr 1'!Q19+E19))</f>
        <v>4705.2870634983374</v>
      </c>
      <c r="N19" s="619">
        <f>IF(AND('dmr 1'!V19="",J19="")=TRUE,"",IF(J19="",'dmr 1'!V19,'dmr 1'!V19+J19))</f>
        <v>7057.9305952475052</v>
      </c>
      <c r="O19" s="619" t="str">
        <f>IF('7 day'!AC21="","",'7 day'!AC21)</f>
        <v/>
      </c>
      <c r="P19" s="620" t="str">
        <f>IF('7 day'!AG21="","",'7 day'!AG21)</f>
        <v/>
      </c>
      <c r="Q19" s="661">
        <f>IF(ISBLANK('dmr 1'!B19)=TRUE,"",IF(AND(ISTEXT([2]BOD!K13),(ISTEXT([2]BOD!L13))),"",IF(AND(ISNUMBER([2]BOD!K13),([2]BOD!L13="")),[2]BOD!K13,IF(AND(ISNUMBER([2]BOD!L13),([2]BOD!K13="")),[2]BOD!L13,((('dmr 1'!D19)*[2]BOD!K13)+('dmr 1'!E19*[2]BOD!L13))/(('dmr 1'!D19+'dmr 1'!E19))))))</f>
        <v>8</v>
      </c>
      <c r="R19" s="661">
        <f>IF(ISBLANK('dmr 1'!B19)=TRUE,"",IF(AND(ISTEXT([2]TSS!K13),(ISTEXT([2]TSS!L13))),"",IF(AND(ISNUMBER([2]TSS!K13),([2]TSS!L13="")),[2]TSS!K13,IF(AND(ISNUMBER([2]TSS!L13),([2]TSS!K13="")),[2]TSS!L13,((('dmr 1'!D19)*[2]TSS!K13)+('dmr 1'!E19*[2]TSS!L13))/(('dmr 1'!D19+'dmr 1'!E19))))))</f>
        <v>12</v>
      </c>
      <c r="S19" s="661" t="str">
        <f>IF('7 day'!AA21="","",'7 day'!AA21)</f>
        <v/>
      </c>
      <c r="T19" s="620" t="str">
        <f>IF('7 day'!AE21="","",'7 day'!AE21)</f>
        <v/>
      </c>
      <c r="U19" s="630" t="str">
        <f>IF([2]alk_pH_Cl2!G13="","",[2]alk_pH_Cl2!G13)</f>
        <v>&lt;1</v>
      </c>
      <c r="V19" s="1529" t="str">
        <f>IF([2]alk_pH_Cl2!H13="","",[2]alk_pH_Cl2!H13)</f>
        <v/>
      </c>
      <c r="W19" s="511">
        <f>IF([2]alk_pH_Cl2!E13="","",[2]alk_pH_Cl2!E13)</f>
        <v>7</v>
      </c>
      <c r="X19" s="632" t="str">
        <f>IF([2]alk_pH_Cl2!F13="","",[2]alk_pH_Cl2!F13)</f>
        <v/>
      </c>
      <c r="Y19" s="490"/>
      <c r="Z19" s="11"/>
    </row>
    <row r="20" spans="1:26" s="12" customFormat="1" ht="15.95" customHeight="1" x14ac:dyDescent="0.2">
      <c r="A20" s="490">
        <v>11</v>
      </c>
      <c r="B20" s="522" t="str">
        <f>IF(OR([2]BOD!F14="",'dmr 1'!E20=0,'dmr 1'!E20=""),"",[2]BOD!F14)</f>
        <v/>
      </c>
      <c r="C20" s="523" t="str">
        <f>IF('7 day'!S22="","",'7 day'!S22)</f>
        <v/>
      </c>
      <c r="D20" s="501" t="str">
        <f>IF(OR('dmr 1'!K20="",B20="",ISTEXT([2]BOD!H14)=TRUE,ISTEXT([2]BOD!L14)=TRUE),"",([2]BOD!H14-[2]BOD!L14)/[2]BOD!H14*100)</f>
        <v/>
      </c>
      <c r="E20" s="501" t="str">
        <f>IF(OR('dmr 1'!E20="",ISTEXT([2]BOD!L14)=TRUE,[2]BOD!L14=""),"",IF('dmr 1'!E20=0,0,'dmr 1'!E20*[2]BOD!L14)*8.34)</f>
        <v/>
      </c>
      <c r="F20" s="501" t="str">
        <f>IF('7 day'!U22="","",'7 day'!U22)</f>
        <v/>
      </c>
      <c r="G20" s="489" t="str">
        <f>IF(OR([2]TSS!L14="",'dmr 1'!E20=0,'dmr 1'!E20=""),"",[2]TSS!L14)</f>
        <v/>
      </c>
      <c r="H20" s="489" t="str">
        <f>IF('7 day'!W22="","",'7 day'!W22)</f>
        <v/>
      </c>
      <c r="I20" s="501" t="str">
        <f>IF(OR('dmr 1'!L20="",G20="",ISTEXT([2]TSS!H14)=TRUE,ISTEXT([2]TSS!L14)=TRUE),"",([2]TSS!H14-[2]TSS!L14)/[2]TSS!H14*100)</f>
        <v/>
      </c>
      <c r="J20" s="501" t="str">
        <f>IF(OR('dmr 1'!E20="",ISTEXT([2]TSS!L14)=TRUE,[2]TSS!L14=""),"",'dmr 1'!E20*[2]TSS!L14*8.34)</f>
        <v/>
      </c>
      <c r="K20" s="501" t="str">
        <f>IF('7 day'!Y22="","",'7 day'!Y22)</f>
        <v/>
      </c>
      <c r="L20" s="662" t="str">
        <f>IF([2]alk_pH_Cl2!J14="","",[2]alk_pH_Cl2!J14)</f>
        <v/>
      </c>
      <c r="M20" s="661">
        <f>IF(AND('dmr 1'!Q20="",E20="")=TRUE,"",IF(E20="",'dmr 1'!Q20,'dmr 1'!Q20+E20))</f>
        <v>4620.5340972393869</v>
      </c>
      <c r="N20" s="619">
        <f>IF(AND('dmr 1'!V20="",J20="")=TRUE,"",IF(J20="",'dmr 1'!V20,'dmr 1'!V20+J20))</f>
        <v>6674.1048071235582</v>
      </c>
      <c r="O20" s="619" t="str">
        <f>IF('7 day'!AC22="","",'7 day'!AC22)</f>
        <v/>
      </c>
      <c r="P20" s="620" t="str">
        <f>IF('7 day'!AG22="","",'7 day'!AG22)</f>
        <v/>
      </c>
      <c r="Q20" s="661">
        <f>IF(ISBLANK('dmr 1'!B20)=TRUE,"",IF(AND(ISTEXT([2]BOD!K14),(ISTEXT([2]BOD!L14))),"",IF(AND(ISNUMBER([2]BOD!K14),([2]BOD!L14="")),[2]BOD!K14,IF(AND(ISNUMBER([2]BOD!L14),([2]BOD!K14="")),[2]BOD!L14,((('dmr 1'!D20)*[2]BOD!K14)+('dmr 1'!E20*[2]BOD!L14))/(('dmr 1'!D20+'dmr 1'!E20))))))</f>
        <v>9</v>
      </c>
      <c r="R20" s="661">
        <f>IF(ISBLANK('dmr 1'!B20)=TRUE,"",IF(AND(ISTEXT([2]TSS!K14),(ISTEXT([2]TSS!L14))),"",IF(AND(ISNUMBER([2]TSS!K14),([2]TSS!L14="")),[2]TSS!K14,IF(AND(ISNUMBER([2]TSS!L14),([2]TSS!K14="")),[2]TSS!L14,((('dmr 1'!D20)*[2]TSS!K14)+('dmr 1'!E20*[2]TSS!L14))/(('dmr 1'!D20+'dmr 1'!E20))))))</f>
        <v>13</v>
      </c>
      <c r="S20" s="661" t="str">
        <f>IF('7 day'!AA22="","",'7 day'!AA22)</f>
        <v/>
      </c>
      <c r="T20" s="620" t="str">
        <f>IF('7 day'!AE22="","",'7 day'!AE22)</f>
        <v/>
      </c>
      <c r="U20" s="630" t="str">
        <f>IF([2]alk_pH_Cl2!G14="","",[2]alk_pH_Cl2!G14)</f>
        <v>&lt;1</v>
      </c>
      <c r="V20" s="1529" t="str">
        <f>IF([2]alk_pH_Cl2!H14="","",[2]alk_pH_Cl2!H14)</f>
        <v/>
      </c>
      <c r="W20" s="511">
        <f>IF([2]alk_pH_Cl2!E14="","",[2]alk_pH_Cl2!E14)</f>
        <v>7.3</v>
      </c>
      <c r="X20" s="632" t="str">
        <f>IF([2]alk_pH_Cl2!F14="","",[2]alk_pH_Cl2!F14)</f>
        <v/>
      </c>
      <c r="Y20" s="490"/>
      <c r="Z20" s="11"/>
    </row>
    <row r="21" spans="1:26" s="12" customFormat="1" ht="15.95" customHeight="1" x14ac:dyDescent="0.2">
      <c r="A21" s="490">
        <v>12</v>
      </c>
      <c r="B21" s="522" t="str">
        <f>IF(OR([2]BOD!F15="",'dmr 1'!E21=0,'dmr 1'!E21=""),"",[2]BOD!F15)</f>
        <v/>
      </c>
      <c r="C21" s="523">
        <f>IF('7 day'!S23="","",'7 day'!S23)</f>
        <v>49</v>
      </c>
      <c r="D21" s="501" t="str">
        <f>IF(OR('dmr 1'!K21="",B21="",ISTEXT([2]BOD!H15)=TRUE,ISTEXT([2]BOD!L15)=TRUE),"",([2]BOD!H15-[2]BOD!L15)/[2]BOD!H15*100)</f>
        <v/>
      </c>
      <c r="E21" s="501" t="str">
        <f>IF(OR('dmr 1'!E21="",ISTEXT([2]BOD!L15)=TRUE,[2]BOD!L15=""),"",IF('dmr 1'!E21=0,0,'dmr 1'!E21*[2]BOD!L15)*8.34)</f>
        <v/>
      </c>
      <c r="F21" s="501">
        <f>IF('7 day'!U23="","",'7 day'!U23)</f>
        <v>2615.2926544259385</v>
      </c>
      <c r="G21" s="489" t="str">
        <f>IF(OR([2]TSS!L15="",'dmr 1'!E21=0,'dmr 1'!E21=""),"",[2]TSS!L15)</f>
        <v/>
      </c>
      <c r="H21" s="489">
        <f>IF('7 day'!W23="","",'7 day'!W23)</f>
        <v>27</v>
      </c>
      <c r="I21" s="501" t="str">
        <f>IF(OR('dmr 1'!L21="",G21="",ISTEXT([2]TSS!H15)=TRUE,ISTEXT([2]TSS!L15)=TRUE),"",([2]TSS!H15-[2]TSS!L15)/[2]TSS!H15*100)</f>
        <v/>
      </c>
      <c r="J21" s="501" t="str">
        <f>IF(OR('dmr 1'!E21="",ISTEXT([2]TSS!L15)=TRUE,[2]TSS!L15=""),"",'dmr 1'!E21*[2]TSS!L15*8.34)</f>
        <v/>
      </c>
      <c r="K21" s="501">
        <f>IF('7 day'!Y23="","",'7 day'!Y23)</f>
        <v>1576.6176632745839</v>
      </c>
      <c r="L21" s="662" t="str">
        <f>IF([2]alk_pH_Cl2!J15="","",[2]alk_pH_Cl2!J15)</f>
        <v/>
      </c>
      <c r="M21" s="661">
        <f>IF(AND('dmr 1'!Q21="",E21="")=TRUE,"",IF(E21="",'dmr 1'!Q21,'dmr 1'!Q21+E21))</f>
        <v>4842.4768375979247</v>
      </c>
      <c r="N21" s="619">
        <f>IF(AND('dmr 1'!V21="",J21="")=TRUE,"",IF(J21="",'dmr 1'!V21,'dmr 1'!V21+J21))</f>
        <v>6779.4675726370951</v>
      </c>
      <c r="O21" s="619">
        <f>IF('7 day'!AC23="","",'7 day'!AC23)</f>
        <v>7990.2663921669373</v>
      </c>
      <c r="P21" s="620">
        <f>IF('7 day'!AG23="","",'7 day'!AG23)</f>
        <v>10532.002846337591</v>
      </c>
      <c r="Q21" s="661">
        <f>IF(ISBLANK('dmr 1'!B21)=TRUE,"",IF(AND(ISTEXT([2]BOD!K15),(ISTEXT([2]BOD!L15))),"",IF(AND(ISNUMBER([2]BOD!K15),([2]BOD!L15="")),[2]BOD!K15,IF(AND(ISNUMBER([2]BOD!L15),([2]BOD!K15="")),[2]BOD!L15,((('dmr 1'!D21)*[2]BOD!K15)+('dmr 1'!E21*[2]BOD!L15))/(('dmr 1'!D21+'dmr 1'!E21))))))</f>
        <v>10</v>
      </c>
      <c r="R21" s="661">
        <f>IF(ISBLANK('dmr 1'!B21)=TRUE,"",IF(AND(ISTEXT([2]TSS!K15),(ISTEXT([2]TSS!L15))),"",IF(AND(ISNUMBER([2]TSS!K15),([2]TSS!L15="")),[2]TSS!K15,IF(AND(ISNUMBER([2]TSS!L15),([2]TSS!K15="")),[2]TSS!L15,((('dmr 1'!D21)*[2]TSS!K15)+('dmr 1'!E21*[2]TSS!L15))/(('dmr 1'!D21+'dmr 1'!E21))))))</f>
        <v>14</v>
      </c>
      <c r="S21" s="661">
        <f>IF('7 day'!AA23="","",'7 day'!AA23)</f>
        <v>11.922056626808949</v>
      </c>
      <c r="T21" s="620">
        <f>IF('7 day'!AE23="","",'7 day'!AE23)</f>
        <v>15.99283617937302</v>
      </c>
      <c r="U21" s="630">
        <f>IF([2]alk_pH_Cl2!G15="","",[2]alk_pH_Cl2!G15)</f>
        <v>3</v>
      </c>
      <c r="V21" s="1529" t="str">
        <f>IF([2]alk_pH_Cl2!H15="","",[2]alk_pH_Cl2!H15)</f>
        <v/>
      </c>
      <c r="W21" s="511">
        <f>IF([2]alk_pH_Cl2!E15="","",[2]alk_pH_Cl2!E15)</f>
        <v>7.2</v>
      </c>
      <c r="X21" s="632" t="str">
        <f>IF([2]alk_pH_Cl2!F15="","",[2]alk_pH_Cl2!F15)</f>
        <v/>
      </c>
      <c r="Y21" s="490"/>
      <c r="Z21" s="11"/>
    </row>
    <row r="22" spans="1:26" s="12" customFormat="1" ht="15.95" customHeight="1" x14ac:dyDescent="0.2">
      <c r="A22" s="490">
        <v>13</v>
      </c>
      <c r="B22" s="522" t="str">
        <f>IF(OR([2]BOD!F16="",'dmr 1'!E22=0,'dmr 1'!E22=""),"",[2]BOD!F16)</f>
        <v/>
      </c>
      <c r="C22" s="523" t="str">
        <f>IF('7 day'!S24="","",'7 day'!S24)</f>
        <v/>
      </c>
      <c r="D22" s="501" t="str">
        <f>IF(OR('dmr 1'!K22="",B22="",ISTEXT([2]BOD!H16)=TRUE,ISTEXT([2]BOD!L16)=TRUE),"",([2]BOD!H16-[2]BOD!L16)/[2]BOD!H16*100)</f>
        <v/>
      </c>
      <c r="E22" s="501" t="str">
        <f>IF(OR('dmr 1'!E22="",ISTEXT([2]BOD!L16)=TRUE,[2]BOD!L16=""),"",IF('dmr 1'!E22=0,0,'dmr 1'!E22*[2]BOD!L16)*8.34)</f>
        <v/>
      </c>
      <c r="F22" s="501" t="str">
        <f>IF('7 day'!U24="","",'7 day'!U24)</f>
        <v/>
      </c>
      <c r="G22" s="489" t="str">
        <f>IF(OR([2]TSS!L16="",'dmr 1'!E22=0,'dmr 1'!E22=""),"",[2]TSS!L16)</f>
        <v/>
      </c>
      <c r="H22" s="489" t="str">
        <f>IF('7 day'!W24="","",'7 day'!W24)</f>
        <v/>
      </c>
      <c r="I22" s="501" t="str">
        <f>IF(OR('dmr 1'!L22="",G22="",ISTEXT([2]TSS!H16)=TRUE,ISTEXT([2]TSS!L16)=TRUE),"",([2]TSS!H16-[2]TSS!L16)/[2]TSS!H16*100)</f>
        <v/>
      </c>
      <c r="J22" s="501" t="str">
        <f>IF(OR('dmr 1'!E22="",ISTEXT([2]TSS!L16)=TRUE,[2]TSS!L16=""),"",'dmr 1'!E22*[2]TSS!L16*8.34)</f>
        <v/>
      </c>
      <c r="K22" s="501" t="str">
        <f>IF('7 day'!Y24="","",'7 day'!Y24)</f>
        <v/>
      </c>
      <c r="L22" s="662" t="str">
        <f>IF([2]alk_pH_Cl2!J16="","",[2]alk_pH_Cl2!J16)</f>
        <v/>
      </c>
      <c r="M22" s="661">
        <f>IF(AND('dmr 1'!Q22="",E22="")=TRUE,"",IF(E22="",'dmr 1'!Q22,'dmr 1'!Q22+E22))</f>
        <v>3782.3392049166682</v>
      </c>
      <c r="N22" s="619">
        <f>IF(AND('dmr 1'!V22="",J22="")=TRUE,"",IF(J22="",'dmr 1'!V22,'dmr 1'!V22+J22))</f>
        <v>4727.9240061458349</v>
      </c>
      <c r="O22" s="619" t="str">
        <f>IF('7 day'!AC24="","",'7 day'!AC24)</f>
        <v/>
      </c>
      <c r="P22" s="620" t="str">
        <f>IF('7 day'!AG24="","",'7 day'!AG24)</f>
        <v/>
      </c>
      <c r="Q22" s="661">
        <f>IF(ISBLANK('dmr 1'!B22)=TRUE,"",IF(AND(ISTEXT([2]BOD!K16),(ISTEXT([2]BOD!L16))),"",IF(AND(ISNUMBER([2]BOD!K16),([2]BOD!L16="")),[2]BOD!K16,IF(AND(ISNUMBER([2]BOD!L16),([2]BOD!K16="")),[2]BOD!L16,((('dmr 1'!D22)*[2]BOD!K16)+('dmr 1'!E22*[2]BOD!L16))/(('dmr 1'!D22+'dmr 1'!E22))))))</f>
        <v>8</v>
      </c>
      <c r="R22" s="661">
        <f>IF(ISBLANK('dmr 1'!B22)=TRUE,"",IF(AND(ISTEXT([2]TSS!K16),(ISTEXT([2]TSS!L16))),"",IF(AND(ISNUMBER([2]TSS!K16),([2]TSS!L16="")),[2]TSS!K16,IF(AND(ISNUMBER([2]TSS!L16),([2]TSS!K16="")),[2]TSS!L16,((('dmr 1'!D22)*[2]TSS!K16)+('dmr 1'!E22*[2]TSS!L16))/(('dmr 1'!D22+'dmr 1'!E22))))))</f>
        <v>10</v>
      </c>
      <c r="S22" s="661" t="str">
        <f>IF('7 day'!AA24="","",'7 day'!AA24)</f>
        <v/>
      </c>
      <c r="T22" s="620" t="str">
        <f>IF('7 day'!AE24="","",'7 day'!AE24)</f>
        <v/>
      </c>
      <c r="U22" s="630">
        <f>IF([2]alk_pH_Cl2!G16="","",[2]alk_pH_Cl2!G16)</f>
        <v>5</v>
      </c>
      <c r="V22" s="1529" t="str">
        <f>IF([2]alk_pH_Cl2!H16="","",[2]alk_pH_Cl2!H16)</f>
        <v/>
      </c>
      <c r="W22" s="511">
        <f>IF([2]alk_pH_Cl2!E16="","",[2]alk_pH_Cl2!E16)</f>
        <v>7.1</v>
      </c>
      <c r="X22" s="632" t="str">
        <f>IF([2]alk_pH_Cl2!F16="","",[2]alk_pH_Cl2!F16)</f>
        <v/>
      </c>
      <c r="Y22" s="490"/>
      <c r="Z22" s="11"/>
    </row>
    <row r="23" spans="1:26" s="12" customFormat="1" ht="15.95" customHeight="1" x14ac:dyDescent="0.2">
      <c r="A23" s="490">
        <v>14</v>
      </c>
      <c r="B23" s="522" t="str">
        <f>IF(OR([2]BOD!F17="",'dmr 1'!E23=0,'dmr 1'!E23=""),"",[2]BOD!F17)</f>
        <v/>
      </c>
      <c r="C23" s="523" t="str">
        <f>IF('7 day'!S25="","",'7 day'!S25)</f>
        <v/>
      </c>
      <c r="D23" s="501" t="str">
        <f>IF(OR('dmr 1'!K23="",B23="",ISTEXT([2]BOD!H17)=TRUE,ISTEXT([2]BOD!L17)=TRUE),"",([2]BOD!H17-[2]BOD!L17)/[2]BOD!H17*100)</f>
        <v/>
      </c>
      <c r="E23" s="501" t="str">
        <f>IF(OR('dmr 1'!E23="",ISTEXT([2]BOD!L17)=TRUE,[2]BOD!L17=""),"",IF('dmr 1'!E23=0,0,'dmr 1'!E23*[2]BOD!L17)*8.34)</f>
        <v/>
      </c>
      <c r="F23" s="501" t="str">
        <f>IF('7 day'!U25="","",'7 day'!U25)</f>
        <v/>
      </c>
      <c r="G23" s="489" t="str">
        <f>IF(OR([2]TSS!L17="",'dmr 1'!E23=0,'dmr 1'!E23=""),"",[2]TSS!L17)</f>
        <v/>
      </c>
      <c r="H23" s="489" t="str">
        <f>IF('7 day'!W25="","",'7 day'!W25)</f>
        <v/>
      </c>
      <c r="I23" s="501" t="str">
        <f>IF(OR('dmr 1'!L23="",G23="",ISTEXT([2]TSS!H17)=TRUE,ISTEXT([2]TSS!L17)=TRUE),"",([2]TSS!H17-[2]TSS!L17)/[2]TSS!H17*100)</f>
        <v/>
      </c>
      <c r="J23" s="501" t="str">
        <f>IF(OR('dmr 1'!E23="",ISTEXT([2]TSS!L17)=TRUE,[2]TSS!L17=""),"",'dmr 1'!E23*[2]TSS!L17*8.34)</f>
        <v/>
      </c>
      <c r="K23" s="501" t="str">
        <f>IF('7 day'!Y25="","",'7 day'!Y25)</f>
        <v/>
      </c>
      <c r="L23" s="662" t="str">
        <f>IF([2]alk_pH_Cl2!J17="","",[2]alk_pH_Cl2!J17)</f>
        <v/>
      </c>
      <c r="M23" s="661">
        <f>IF(AND('dmr 1'!Q23="",E23="")=TRUE,"",IF(E23="",'dmr 1'!Q23,'dmr 1'!Q23+E23))</f>
        <v>3458.3186873477116</v>
      </c>
      <c r="N23" s="619">
        <f>IF(AND('dmr 1'!V23="",J23="")=TRUE,"",IF(J23="",'dmr 1'!V23,'dmr 1'!V23+J23))</f>
        <v>6916.6373746954232</v>
      </c>
      <c r="O23" s="619" t="str">
        <f>IF('7 day'!AC25="","",'7 day'!AC25)</f>
        <v/>
      </c>
      <c r="P23" s="620" t="str">
        <f>IF('7 day'!AG25="","",'7 day'!AG25)</f>
        <v/>
      </c>
      <c r="Q23" s="661">
        <f>IF(ISBLANK('dmr 1'!B23)=TRUE,"",IF(AND(ISTEXT([2]BOD!K17),(ISTEXT([2]BOD!L17))),"",IF(AND(ISNUMBER([2]BOD!K17),([2]BOD!L17="")),[2]BOD!K17,IF(AND(ISNUMBER([2]BOD!L17),([2]BOD!K17="")),[2]BOD!L17,((('dmr 1'!D23)*[2]BOD!K17)+('dmr 1'!E23*[2]BOD!L17))/(('dmr 1'!D23+'dmr 1'!E23))))))</f>
        <v>7</v>
      </c>
      <c r="R23" s="661">
        <f>IF(ISBLANK('dmr 1'!B23)=TRUE,"",IF(AND(ISTEXT([2]TSS!K17),(ISTEXT([2]TSS!L17))),"",IF(AND(ISNUMBER([2]TSS!K17),([2]TSS!L17="")),[2]TSS!K17,IF(AND(ISNUMBER([2]TSS!L17),([2]TSS!K17="")),[2]TSS!L17,((('dmr 1'!D23)*[2]TSS!K17)+('dmr 1'!E23*[2]TSS!L17))/(('dmr 1'!D23+'dmr 1'!E23))))))</f>
        <v>14</v>
      </c>
      <c r="S23" s="661" t="str">
        <f>IF('7 day'!AA25="","",'7 day'!AA25)</f>
        <v/>
      </c>
      <c r="T23" s="620" t="str">
        <f>IF('7 day'!AE25="","",'7 day'!AE25)</f>
        <v/>
      </c>
      <c r="U23" s="630">
        <f>IF([2]alk_pH_Cl2!G17="","",[2]alk_pH_Cl2!G17)</f>
        <v>3</v>
      </c>
      <c r="V23" s="1529" t="str">
        <f>IF([2]alk_pH_Cl2!H17="","",[2]alk_pH_Cl2!H17)</f>
        <v/>
      </c>
      <c r="W23" s="511">
        <f>IF([2]alk_pH_Cl2!E17="","",[2]alk_pH_Cl2!E17)</f>
        <v>7.2</v>
      </c>
      <c r="X23" s="632" t="str">
        <f>IF([2]alk_pH_Cl2!F17="","",[2]alk_pH_Cl2!F17)</f>
        <v/>
      </c>
      <c r="Y23" s="490"/>
      <c r="Z23" s="11"/>
    </row>
    <row r="24" spans="1:26" s="12" customFormat="1" ht="15.95" customHeight="1" x14ac:dyDescent="0.2">
      <c r="A24" s="490">
        <v>15</v>
      </c>
      <c r="B24" s="522" t="str">
        <f>IF(OR([2]BOD!F18="",'dmr 1'!E24=0,'dmr 1'!E24=""),"",[2]BOD!F18)</f>
        <v/>
      </c>
      <c r="C24" s="523" t="str">
        <f>IF('7 day'!S26="","",'7 day'!S26)</f>
        <v/>
      </c>
      <c r="D24" s="501" t="str">
        <f>IF(OR('dmr 1'!K24="",B24="",ISTEXT([2]BOD!H18)=TRUE,ISTEXT([2]BOD!L18)=TRUE),"",([2]BOD!H18-[2]BOD!L18)/[2]BOD!H18*100)</f>
        <v/>
      </c>
      <c r="E24" s="501" t="str">
        <f>IF(OR('dmr 1'!E24="",ISTEXT([2]BOD!L18)=TRUE,[2]BOD!L18=""),"",IF('dmr 1'!E24=0,0,'dmr 1'!E24*[2]BOD!L18)*8.34)</f>
        <v/>
      </c>
      <c r="F24" s="501" t="str">
        <f>IF('7 day'!U26="","",'7 day'!U26)</f>
        <v/>
      </c>
      <c r="G24" s="489" t="str">
        <f>IF(OR([2]TSS!L18="",'dmr 1'!E24=0,'dmr 1'!E24=""),"",[2]TSS!L18)</f>
        <v/>
      </c>
      <c r="H24" s="489" t="str">
        <f>IF('7 day'!W26="","",'7 day'!W26)</f>
        <v/>
      </c>
      <c r="I24" s="501" t="str">
        <f>IF(OR('dmr 1'!L24="",G24="",ISTEXT([2]TSS!H18)=TRUE,ISTEXT([2]TSS!L18)=TRUE),"",([2]TSS!H18-[2]TSS!L18)/[2]TSS!H18*100)</f>
        <v/>
      </c>
      <c r="J24" s="501" t="str">
        <f>IF(OR('dmr 1'!E24="",ISTEXT([2]TSS!L18)=TRUE,[2]TSS!L18=""),"",'dmr 1'!E24*[2]TSS!L18*8.34)</f>
        <v/>
      </c>
      <c r="K24" s="501" t="str">
        <f>IF('7 day'!Y26="","",'7 day'!Y26)</f>
        <v/>
      </c>
      <c r="L24" s="662" t="str">
        <f>IF([2]alk_pH_Cl2!J18="","",[2]alk_pH_Cl2!J18)</f>
        <v/>
      </c>
      <c r="M24" s="661">
        <f>IF(AND('dmr 1'!Q24="",E24="")=TRUE,"",IF(E24="",'dmr 1'!Q24,'dmr 1'!Q24+E24))</f>
        <v>3785.3941638283382</v>
      </c>
      <c r="N24" s="619">
        <f>IF(AND('dmr 1'!V24="",J24="")=TRUE,"",IF(J24="",'dmr 1'!V24,'dmr 1'!V24+J24))</f>
        <v>12775.705302920642</v>
      </c>
      <c r="O24" s="619" t="str">
        <f>IF('7 day'!AC26="","",'7 day'!AC26)</f>
        <v/>
      </c>
      <c r="P24" s="620" t="str">
        <f>IF('7 day'!AG26="","",'7 day'!AG26)</f>
        <v/>
      </c>
      <c r="Q24" s="661">
        <f>IF(ISBLANK('dmr 1'!B24)=TRUE,"",IF(AND(ISTEXT([2]BOD!K18),(ISTEXT([2]BOD!L18))),"",IF(AND(ISNUMBER([2]BOD!K18),([2]BOD!L18="")),[2]BOD!K18,IF(AND(ISNUMBER([2]BOD!L18),([2]BOD!K18="")),[2]BOD!L18,((('dmr 1'!D24)*[2]BOD!K18)+('dmr 1'!E24*[2]BOD!L18))/(('dmr 1'!D24+'dmr 1'!E24))))))</f>
        <v>8</v>
      </c>
      <c r="R24" s="661">
        <f>IF(ISBLANK('dmr 1'!B24)=TRUE,"",IF(AND(ISTEXT([2]TSS!K18),(ISTEXT([2]TSS!L18))),"",IF(AND(ISNUMBER([2]TSS!K18),([2]TSS!L18="")),[2]TSS!K18,IF(AND(ISNUMBER([2]TSS!L18),([2]TSS!K18="")),[2]TSS!L18,((('dmr 1'!D24)*[2]TSS!K18)+('dmr 1'!E24*[2]TSS!L18))/(('dmr 1'!D24+'dmr 1'!E24))))))</f>
        <v>27</v>
      </c>
      <c r="S24" s="661" t="str">
        <f>IF('7 day'!AA26="","",'7 day'!AA26)</f>
        <v/>
      </c>
      <c r="T24" s="620" t="str">
        <f>IF('7 day'!AE26="","",'7 day'!AE26)</f>
        <v/>
      </c>
      <c r="U24" s="630">
        <f>IF([2]alk_pH_Cl2!G18="","",[2]alk_pH_Cl2!G18)</f>
        <v>1</v>
      </c>
      <c r="V24" s="1529" t="str">
        <f>IF([2]alk_pH_Cl2!H18="","",[2]alk_pH_Cl2!H18)</f>
        <v/>
      </c>
      <c r="W24" s="511">
        <f>IF([2]alk_pH_Cl2!E18="","",[2]alk_pH_Cl2!E18)</f>
        <v>7.3</v>
      </c>
      <c r="X24" s="632" t="str">
        <f>IF([2]alk_pH_Cl2!F18="","",[2]alk_pH_Cl2!F18)</f>
        <v/>
      </c>
      <c r="Y24" s="490"/>
      <c r="Z24" s="11"/>
    </row>
    <row r="25" spans="1:26" s="12" customFormat="1" ht="15.95" customHeight="1" x14ac:dyDescent="0.2">
      <c r="A25" s="490">
        <v>16</v>
      </c>
      <c r="B25" s="522" t="str">
        <f>IF(OR([2]BOD!F19="",'dmr 1'!E25=0,'dmr 1'!E25=""),"",[2]BOD!F19)</f>
        <v/>
      </c>
      <c r="C25" s="523" t="str">
        <f>IF('7 day'!S27="","",'7 day'!S27)</f>
        <v/>
      </c>
      <c r="D25" s="501" t="str">
        <f>IF(OR('dmr 1'!K25="",B25="",ISTEXT([2]BOD!H19)=TRUE,ISTEXT([2]BOD!L19)=TRUE),"",([2]BOD!H19-[2]BOD!L19)/[2]BOD!H19*100)</f>
        <v/>
      </c>
      <c r="E25" s="501" t="str">
        <f>IF(OR('dmr 1'!E25="",ISTEXT([2]BOD!L19)=TRUE,[2]BOD!L19=""),"",IF('dmr 1'!E25=0,0,'dmr 1'!E25*[2]BOD!L19)*8.34)</f>
        <v/>
      </c>
      <c r="F25" s="501" t="str">
        <f>IF('7 day'!U27="","",'7 day'!U27)</f>
        <v/>
      </c>
      <c r="G25" s="489" t="str">
        <f>IF(OR([2]TSS!L19="",'dmr 1'!E25=0,'dmr 1'!E25=""),"",[2]TSS!L19)</f>
        <v/>
      </c>
      <c r="H25" s="489" t="str">
        <f>IF('7 day'!W27="","",'7 day'!W27)</f>
        <v/>
      </c>
      <c r="I25" s="501" t="str">
        <f>IF(OR('dmr 1'!L25="",G25="",ISTEXT([2]TSS!H19)=TRUE,ISTEXT([2]TSS!L19)=TRUE),"",([2]TSS!H19-[2]TSS!L19)/[2]TSS!H19*100)</f>
        <v/>
      </c>
      <c r="J25" s="501" t="str">
        <f>IF(OR('dmr 1'!E25="",ISTEXT([2]TSS!L19)=TRUE,[2]TSS!L19=""),"",'dmr 1'!E25*[2]TSS!L19*8.34)</f>
        <v/>
      </c>
      <c r="K25" s="501" t="str">
        <f>IF('7 day'!Y27="","",'7 day'!Y27)</f>
        <v/>
      </c>
      <c r="L25" s="662" t="str">
        <f>IF([2]alk_pH_Cl2!J19="","",[2]alk_pH_Cl2!J19)</f>
        <v/>
      </c>
      <c r="M25" s="661">
        <f>IF(AND('dmr 1'!Q25="",E25="")=TRUE,"",IF(E25="",'dmr 1'!Q25,'dmr 1'!Q25+E25))</f>
        <v>4956.6991265287506</v>
      </c>
      <c r="N25" s="619">
        <f>IF(AND('dmr 1'!V25="",J25="")=TRUE,"",IF(J25="",'dmr 1'!V25,'dmr 1'!V25+J25))</f>
        <v>11565.63129523375</v>
      </c>
      <c r="O25" s="619" t="str">
        <f>IF('7 day'!AC27="","",'7 day'!AC27)</f>
        <v/>
      </c>
      <c r="P25" s="620" t="str">
        <f>IF('7 day'!AG27="","",'7 day'!AG27)</f>
        <v/>
      </c>
      <c r="Q25" s="661">
        <f>IF(ISBLANK('dmr 1'!B25)=TRUE,"",IF(AND(ISTEXT([2]BOD!K19),(ISTEXT([2]BOD!L19))),"",IF(AND(ISNUMBER([2]BOD!K19),([2]BOD!L19="")),[2]BOD!K19,IF(AND(ISNUMBER([2]BOD!L19),([2]BOD!K19="")),[2]BOD!L19,((('dmr 1'!D25)*[2]BOD!K19)+('dmr 1'!E25*[2]BOD!L19))/(('dmr 1'!D25+'dmr 1'!E25))))))</f>
        <v>9</v>
      </c>
      <c r="R25" s="661">
        <f>IF(ISBLANK('dmr 1'!B25)=TRUE,"",IF(AND(ISTEXT([2]TSS!K19),(ISTEXT([2]TSS!L19))),"",IF(AND(ISNUMBER([2]TSS!K19),([2]TSS!L19="")),[2]TSS!K19,IF(AND(ISNUMBER([2]TSS!L19),([2]TSS!K19="")),[2]TSS!L19,((('dmr 1'!D25)*[2]TSS!K19)+('dmr 1'!E25*[2]TSS!L19))/(('dmr 1'!D25+'dmr 1'!E25))))))</f>
        <v>21</v>
      </c>
      <c r="S25" s="661" t="str">
        <f>IF('7 day'!AA27="","",'7 day'!AA27)</f>
        <v/>
      </c>
      <c r="T25" s="620" t="str">
        <f>IF('7 day'!AE27="","",'7 day'!AE27)</f>
        <v/>
      </c>
      <c r="U25" s="630">
        <f>IF([2]alk_pH_Cl2!G19="","",[2]alk_pH_Cl2!G19)</f>
        <v>6</v>
      </c>
      <c r="V25" s="1529" t="str">
        <f>IF([2]alk_pH_Cl2!H19="","",[2]alk_pH_Cl2!H19)</f>
        <v/>
      </c>
      <c r="W25" s="511">
        <f>IF([2]alk_pH_Cl2!E19="","",[2]alk_pH_Cl2!E19)</f>
        <v>7.2</v>
      </c>
      <c r="X25" s="632" t="str">
        <f>IF([2]alk_pH_Cl2!F19="","",[2]alk_pH_Cl2!F19)</f>
        <v/>
      </c>
      <c r="Y25" s="490"/>
      <c r="Z25" s="11"/>
    </row>
    <row r="26" spans="1:26" s="12" customFormat="1" ht="15.6" customHeight="1" x14ac:dyDescent="0.2">
      <c r="A26" s="490">
        <v>17</v>
      </c>
      <c r="B26" s="522" t="str">
        <f>IF(OR([2]BOD!F20="",'dmr 1'!E26=0,'dmr 1'!E26=""),"",[2]BOD!F20)</f>
        <v/>
      </c>
      <c r="C26" s="523" t="str">
        <f>IF('7 day'!S28="","",'7 day'!S28)</f>
        <v/>
      </c>
      <c r="D26" s="501" t="str">
        <f>IF(OR('dmr 1'!K26="",B26="",ISTEXT([2]BOD!H20)=TRUE,ISTEXT([2]BOD!L20)=TRUE),"",([2]BOD!H20-[2]BOD!L20)/[2]BOD!H20*100)</f>
        <v/>
      </c>
      <c r="E26" s="501" t="str">
        <f>IF(OR('dmr 1'!E26="",ISTEXT([2]BOD!L20)=TRUE,[2]BOD!L20=""),"",IF('dmr 1'!E26=0,0,'dmr 1'!E26*[2]BOD!L20)*8.34)</f>
        <v/>
      </c>
      <c r="F26" s="501" t="str">
        <f>IF('7 day'!U28="","",'7 day'!U28)</f>
        <v/>
      </c>
      <c r="G26" s="489" t="str">
        <f>IF(OR([2]TSS!L20="",'dmr 1'!E26=0,'dmr 1'!E26=""),"",[2]TSS!L20)</f>
        <v/>
      </c>
      <c r="H26" s="489" t="str">
        <f>IF('7 day'!W28="","",'7 day'!W28)</f>
        <v/>
      </c>
      <c r="I26" s="501" t="str">
        <f>IF(OR('dmr 1'!L26="",G26="",ISTEXT([2]TSS!H20)=TRUE,ISTEXT([2]TSS!L20)=TRUE),"",([2]TSS!H20-[2]TSS!L20)/[2]TSS!H20*100)</f>
        <v/>
      </c>
      <c r="J26" s="501" t="str">
        <f>IF(OR('dmr 1'!E26="",ISTEXT([2]TSS!L20)=TRUE,[2]TSS!L20=""),"",'dmr 1'!E26*[2]TSS!L20*8.34)</f>
        <v/>
      </c>
      <c r="K26" s="501" t="str">
        <f>IF('7 day'!Y28="","",'7 day'!Y28)</f>
        <v/>
      </c>
      <c r="L26" s="662" t="str">
        <f>IF([2]alk_pH_Cl2!J20="","",[2]alk_pH_Cl2!J20)</f>
        <v/>
      </c>
      <c r="M26" s="661">
        <f>IF(AND('dmr 1'!Q26="",E26="")=TRUE,"",IF(E26="",'dmr 1'!Q26,'dmr 1'!Q26+E26))</f>
        <v>5897.7572015749993</v>
      </c>
      <c r="N26" s="619">
        <f>IF(AND('dmr 1'!V26="",J26="")=TRUE,"",IF(J26="",'dmr 1'!V26,'dmr 1'!V26+J26))</f>
        <v>9436.4115225199985</v>
      </c>
      <c r="O26" s="619" t="str">
        <f>IF('7 day'!AC28="","",'7 day'!AC28)</f>
        <v/>
      </c>
      <c r="P26" s="620" t="str">
        <f>IF('7 day'!AG28="","",'7 day'!AG28)</f>
        <v/>
      </c>
      <c r="Q26" s="661">
        <f>IF(ISBLANK('dmr 1'!B26)=TRUE,"",IF(AND(ISTEXT([2]BOD!K20),(ISTEXT([2]BOD!L20))),"",IF(AND(ISNUMBER([2]BOD!K20),([2]BOD!L20="")),[2]BOD!K20,IF(AND(ISNUMBER([2]BOD!L20),([2]BOD!K20="")),[2]BOD!L20,((('dmr 1'!D26)*[2]BOD!K20)+('dmr 1'!E26*[2]BOD!L20))/(('dmr 1'!D26+'dmr 1'!E26))))))</f>
        <v>10</v>
      </c>
      <c r="R26" s="661">
        <f>IF(ISBLANK('dmr 1'!B26)=TRUE,"",IF(AND(ISTEXT([2]TSS!K20),(ISTEXT([2]TSS!L20))),"",IF(AND(ISNUMBER([2]TSS!K20),([2]TSS!L20="")),[2]TSS!K20,IF(AND(ISNUMBER([2]TSS!L20),([2]TSS!K20="")),[2]TSS!L20,((('dmr 1'!D26)*[2]TSS!K20)+('dmr 1'!E26*[2]TSS!L20))/(('dmr 1'!D26+'dmr 1'!E26))))))</f>
        <v>16</v>
      </c>
      <c r="S26" s="661" t="str">
        <f>IF('7 day'!AA28="","",'7 day'!AA28)</f>
        <v/>
      </c>
      <c r="T26" s="620" t="str">
        <f>IF('7 day'!AE28="","",'7 day'!AE28)</f>
        <v/>
      </c>
      <c r="U26" s="630">
        <f>IF([2]alk_pH_Cl2!G20="","",[2]alk_pH_Cl2!G20)</f>
        <v>4</v>
      </c>
      <c r="V26" s="1529" t="str">
        <f>IF([2]alk_pH_Cl2!H20="","",[2]alk_pH_Cl2!H20)</f>
        <v/>
      </c>
      <c r="W26" s="511">
        <f>IF([2]alk_pH_Cl2!E20="","",[2]alk_pH_Cl2!E20)</f>
        <v>6.8</v>
      </c>
      <c r="X26" s="632" t="str">
        <f>IF([2]alk_pH_Cl2!F20="","",[2]alk_pH_Cl2!F20)</f>
        <v/>
      </c>
      <c r="Y26" s="490"/>
      <c r="Z26" s="11"/>
    </row>
    <row r="27" spans="1:26" s="12" customFormat="1" ht="15.6" customHeight="1" x14ac:dyDescent="0.2">
      <c r="A27" s="490">
        <v>18</v>
      </c>
      <c r="B27" s="522">
        <f>IF(OR([2]BOD!F21="",'dmr 1'!E27=0,'dmr 1'!E27=""),"",[2]BOD!F21)</f>
        <v>39</v>
      </c>
      <c r="C27" s="523" t="str">
        <f>IF('7 day'!S29="","",'7 day'!S29)</f>
        <v/>
      </c>
      <c r="D27" s="501">
        <f>IF(OR('dmr 1'!K27="",B27="",ISTEXT([2]BOD!H21)=TRUE,ISTEXT([2]BOD!L21)=TRUE),"",([2]BOD!H21-[2]BOD!L21)/[2]BOD!H21*100)</f>
        <v>78.333333333333329</v>
      </c>
      <c r="E27" s="501">
        <f>IF(OR('dmr 1'!E27="",ISTEXT([2]BOD!L21)=TRUE,[2]BOD!L21=""),"",IF('dmr 1'!E27=0,0,'dmr 1'!E27*[2]BOD!L21)*8.34)</f>
        <v>13132.434201144371</v>
      </c>
      <c r="F27" s="501" t="str">
        <f>IF('7 day'!U29="","",'7 day'!U29)</f>
        <v/>
      </c>
      <c r="G27" s="489">
        <f>IF(OR([2]TSS!L21="",'dmr 1'!E27=0,'dmr 1'!E27=""),"",[2]TSS!L21)</f>
        <v>26</v>
      </c>
      <c r="H27" s="489" t="str">
        <f>IF('7 day'!W29="","",'7 day'!W29)</f>
        <v/>
      </c>
      <c r="I27" s="501">
        <f>IF(OR('dmr 1'!L27="",G27="",ISTEXT([2]TSS!H21)=TRUE,ISTEXT([2]TSS!L21)=TRUE),"",([2]TSS!H21-[2]TSS!L21)/[2]TSS!H21*100)</f>
        <v>90.225563909774436</v>
      </c>
      <c r="J27" s="501">
        <f>IF(OR('dmr 1'!E27="",ISTEXT([2]TSS!L21)=TRUE,[2]TSS!L21=""),"",'dmr 1'!E27*[2]TSS!L21*8.34)</f>
        <v>8754.9561340962464</v>
      </c>
      <c r="K27" s="501" t="str">
        <f>IF('7 day'!Y29="","",'7 day'!Y29)</f>
        <v/>
      </c>
      <c r="L27" s="662">
        <f>IF([2]alk_pH_Cl2!J21="","",[2]alk_pH_Cl2!J21)</f>
        <v>0.13875436782836914</v>
      </c>
      <c r="M27" s="661">
        <f>IF(AND('dmr 1'!Q27="",E27="")=TRUE,"",IF(E27="",'dmr 1'!Q27,'dmr 1'!Q27+E27))</f>
        <v>19574.052470690614</v>
      </c>
      <c r="N27" s="619">
        <f>IF(AND('dmr 1'!V27="",J27="")=TRUE,"",IF(J27="",'dmr 1'!V27,'dmr 1'!V27+J27))</f>
        <v>20206.7219466229</v>
      </c>
      <c r="O27" s="619" t="str">
        <f>IF('7 day'!AC29="","",'7 day'!AC29)</f>
        <v/>
      </c>
      <c r="P27" s="620" t="str">
        <f>IF('7 day'!AG29="","",'7 day'!AG29)</f>
        <v/>
      </c>
      <c r="Q27" s="661">
        <f>IF(ISBLANK('dmr 1'!B27)=TRUE,"",IF(AND(ISTEXT([2]BOD!K21),(ISTEXT([2]BOD!L21))),"",IF(AND(ISNUMBER([2]BOD!K21),([2]BOD!L21="")),[2]BOD!K21,IF(AND(ISNUMBER([2]BOD!L21),([2]BOD!K21="")),[2]BOD!L21,((('dmr 1'!D27)*[2]BOD!K21)+('dmr 1'!E27*[2]BOD!L21))/(('dmr 1'!D27+'dmr 1'!E27))))))</f>
        <v>18.598302828110619</v>
      </c>
      <c r="R27" s="661">
        <f>IF(ISBLANK('dmr 1'!B27)=TRUE,"",IF(AND(ISTEXT([2]TSS!K21),(ISTEXT([2]TSS!L21))),"",IF(AND(ISNUMBER([2]TSS!K21),([2]TSS!L21="")),[2]TSS!K21,IF(AND(ISNUMBER([2]TSS!L21),([2]TSS!K21="")),[2]TSS!L21,((('dmr 1'!D27)*[2]TSS!K21)+('dmr 1'!E27*[2]TSS!L21))/(('dmr 1'!D27+'dmr 1'!E27))))))</f>
        <v>19.199434276036872</v>
      </c>
      <c r="S27" s="661" t="str">
        <f>IF('7 day'!AA29="","",'7 day'!AA29)</f>
        <v/>
      </c>
      <c r="T27" s="620" t="str">
        <f>IF('7 day'!AE29="","",'7 day'!AE29)</f>
        <v/>
      </c>
      <c r="U27" s="630">
        <f>IF([2]alk_pH_Cl2!G21="","",[2]alk_pH_Cl2!G21)</f>
        <v>6</v>
      </c>
      <c r="V27" s="1529" t="str">
        <f>IF([2]alk_pH_Cl2!H21="","",[2]alk_pH_Cl2!H21)</f>
        <v/>
      </c>
      <c r="W27" s="511">
        <f>IF([2]alk_pH_Cl2!E21="","",[2]alk_pH_Cl2!E21)</f>
        <v>7.1</v>
      </c>
      <c r="X27" s="632" t="str">
        <f>IF([2]alk_pH_Cl2!F21="","",[2]alk_pH_Cl2!F21)</f>
        <v/>
      </c>
      <c r="Y27" s="490"/>
      <c r="Z27" s="11"/>
    </row>
    <row r="28" spans="1:26" s="12" customFormat="1" ht="15.95" customHeight="1" x14ac:dyDescent="0.2">
      <c r="A28" s="490">
        <v>19</v>
      </c>
      <c r="B28" s="522">
        <f>IF(OR([2]BOD!F22="",'dmr 1'!E28=0,'dmr 1'!E28=""),"",[2]BOD!F22)</f>
        <v>37</v>
      </c>
      <c r="C28" s="523">
        <f>IF('7 day'!S30="","",'7 day'!S30)</f>
        <v>38</v>
      </c>
      <c r="D28" s="501">
        <f>IF(OR('dmr 1'!K28="",B28="",ISTEXT([2]BOD!H22)=TRUE,ISTEXT([2]BOD!L22)=TRUE),"",([2]BOD!H22-[2]BOD!L22)/[2]BOD!H22*100)</f>
        <v>61.05263157894737</v>
      </c>
      <c r="E28" s="501">
        <f>IF(OR('dmr 1'!E28="",ISTEXT([2]BOD!L22)=TRUE,[2]BOD!L22=""),"",IF('dmr 1'!E28=0,0,'dmr 1'!E28*[2]BOD!L22)*8.34)</f>
        <v>24078.136644265021</v>
      </c>
      <c r="F28" s="501">
        <f>IF('7 day'!U30="","",'7 day'!U30)</f>
        <v>18605.285422704696</v>
      </c>
      <c r="G28" s="489">
        <f>IF(OR([2]TSS!L22="",'dmr 1'!E28=0,'dmr 1'!E28=""),"",[2]TSS!L22)</f>
        <v>37</v>
      </c>
      <c r="H28" s="489">
        <f>IF('7 day'!W30="","",'7 day'!W30)</f>
        <v>31.5</v>
      </c>
      <c r="I28" s="501">
        <f>IF(OR('dmr 1'!L28="",G28="",ISTEXT([2]TSS!H22)=TRUE,ISTEXT([2]TSS!L22)=TRUE),"",([2]TSS!H22-[2]TSS!L22)/[2]TSS!H22*100)</f>
        <v>69.166666666666671</v>
      </c>
      <c r="J28" s="501">
        <f>IF(OR('dmr 1'!E28="",ISTEXT([2]TSS!L22)=TRUE,[2]TSS!L22=""),"",'dmr 1'!E28*[2]TSS!L22*8.34)</f>
        <v>24078.136644265021</v>
      </c>
      <c r="K28" s="501">
        <f>IF('7 day'!Y30="","",'7 day'!Y30)</f>
        <v>16416.546389180636</v>
      </c>
      <c r="L28" s="662">
        <f>IF([2]alk_pH_Cl2!J22="","",[2]alk_pH_Cl2!J22)</f>
        <v>4.4378116726875305E-2</v>
      </c>
      <c r="M28" s="661">
        <f>IF(AND('dmr 1'!Q28="",E28="")=TRUE,"",IF(E28="",'dmr 1'!Q28,'dmr 1'!Q28+E28))</f>
        <v>39542.409242101698</v>
      </c>
      <c r="N28" s="619">
        <f>IF(AND('dmr 1'!V28="",J28="")=TRUE,"",IF(J28="",'dmr 1'!V28,'dmr 1'!V28+J28))</f>
        <v>57906.232952032748</v>
      </c>
      <c r="O28" s="619">
        <f>IF('7 day'!AC30="","",'7 day'!AC30)</f>
        <v>11570.995728141253</v>
      </c>
      <c r="P28" s="620">
        <f>IF('7 day'!AG30="","",'7 day'!AG30)</f>
        <v>17647.894914310185</v>
      </c>
      <c r="Q28" s="661">
        <f>IF(ISBLANK('dmr 1'!B28)=TRUE,"",IF(AND(ISTEXT([2]BOD!K22),(ISTEXT([2]BOD!L22))),"",IF(AND(ISNUMBER([2]BOD!K22),([2]BOD!L22="")),[2]BOD!K22,IF(AND(ISNUMBER([2]BOD!L22),([2]BOD!K22="")),[2]BOD!L22,((('dmr 1'!D28)*[2]BOD!K22)+('dmr 1'!E28*[2]BOD!L22))/(('dmr 1'!D28+'dmr 1'!E28))))))</f>
        <v>24.449984343949666</v>
      </c>
      <c r="R28" s="661">
        <f>IF(ISBLANK('dmr 1'!B28)=TRUE,"",IF(AND(ISTEXT([2]TSS!K22),(ISTEXT([2]TSS!L22))),"",IF(AND(ISNUMBER([2]TSS!K22),([2]TSS!L22="")),[2]TSS!K22,IF(AND(ISNUMBER([2]TSS!L22),([2]TSS!K22="")),[2]TSS!L22,((('dmr 1'!D28)*[2]TSS!K22)+('dmr 1'!E28*[2]TSS!L22))/(('dmr 1'!D28+'dmr 1'!E28))))))</f>
        <v>35.804760413709488</v>
      </c>
      <c r="S28" s="661">
        <f>IF('7 day'!AA30="","",'7 day'!AA30)</f>
        <v>11.458028656997866</v>
      </c>
      <c r="T28" s="620">
        <f>IF('7 day'!AE30="","",'7 day'!AE30)</f>
        <v>20.276851605847167</v>
      </c>
      <c r="U28" s="630">
        <f>IF([2]alk_pH_Cl2!G22="","",[2]alk_pH_Cl2!G22)</f>
        <v>10</v>
      </c>
      <c r="V28" s="1529" t="str">
        <f>IF([2]alk_pH_Cl2!H22="","",[2]alk_pH_Cl2!H22)</f>
        <v/>
      </c>
      <c r="W28" s="511">
        <f>IF([2]alk_pH_Cl2!E22="","",[2]alk_pH_Cl2!E22)</f>
        <v>6.6</v>
      </c>
      <c r="X28" s="632" t="str">
        <f>IF([2]alk_pH_Cl2!F22="","",[2]alk_pH_Cl2!F22)</f>
        <v/>
      </c>
      <c r="Y28" s="490"/>
      <c r="Z28" s="11"/>
    </row>
    <row r="29" spans="1:26" s="12" customFormat="1" ht="15.6" customHeight="1" x14ac:dyDescent="0.2">
      <c r="A29" s="490">
        <v>20</v>
      </c>
      <c r="B29" s="522">
        <f>IF(OR([2]BOD!F23="",'dmr 1'!E29=0,'dmr 1'!E29=""),"",[2]BOD!F23)</f>
        <v>36</v>
      </c>
      <c r="C29" s="523" t="str">
        <f>IF('7 day'!S31="","",'7 day'!S31)</f>
        <v/>
      </c>
      <c r="D29" s="501">
        <f>IF(OR('dmr 1'!K29="",B29="",ISTEXT([2]BOD!H23)=TRUE,ISTEXT([2]BOD!L23)=TRUE),"",([2]BOD!H23-[2]BOD!L23)/[2]BOD!H23*100)</f>
        <v>66.666666666666657</v>
      </c>
      <c r="E29" s="501">
        <f>IF(OR('dmr 1'!E29="",ISTEXT([2]BOD!L23)=TRUE,[2]BOD!L23=""),"",IF('dmr 1'!E29=0,0,'dmr 1'!E29*[2]BOD!L23)*8.34)</f>
        <v>13210.132170509993</v>
      </c>
      <c r="F29" s="501" t="str">
        <f>IF('7 day'!U31="","",'7 day'!U31)</f>
        <v/>
      </c>
      <c r="G29" s="489">
        <f>IF(OR([2]TSS!L23="",'dmr 1'!E29=0,'dmr 1'!E29=""),"",[2]TSS!L23)</f>
        <v>28</v>
      </c>
      <c r="H29" s="489" t="str">
        <f>IF('7 day'!W31="","",'7 day'!W31)</f>
        <v/>
      </c>
      <c r="I29" s="501">
        <f>IF(OR('dmr 1'!L29="",G29="",ISTEXT([2]TSS!H23)=TRUE,ISTEXT([2]TSS!L23)=TRUE),"",([2]TSS!H23-[2]TSS!L23)/[2]TSS!H23*100)</f>
        <v>80</v>
      </c>
      <c r="J29" s="501">
        <f>IF(OR('dmr 1'!E29="",ISTEXT([2]TSS!L23)=TRUE,[2]TSS!L23=""),"",'dmr 1'!E29*[2]TSS!L23*8.34)</f>
        <v>10274.547243729994</v>
      </c>
      <c r="K29" s="501" t="str">
        <f>IF('7 day'!Y31="","",'7 day'!Y31)</f>
        <v/>
      </c>
      <c r="L29" s="662">
        <f>IF([2]alk_pH_Cl2!J23="","",[2]alk_pH_Cl2!J23)</f>
        <v>9.9785923957824707E-2</v>
      </c>
      <c r="M29" s="661">
        <f>IF(AND('dmr 1'!Q29="",E29="")=TRUE,"",IF(E29="",'dmr 1'!Q29,'dmr 1'!Q29+E29))</f>
        <v>20171.556090071674</v>
      </c>
      <c r="N29" s="619">
        <f>IF(AND('dmr 1'!V29="",J29="")=TRUE,"",IF(J29="",'dmr 1'!V29,'dmr 1'!V29+J29))</f>
        <v>25067.573072798561</v>
      </c>
      <c r="O29" s="619" t="str">
        <f>IF('7 day'!AC31="","",'7 day'!AC31)</f>
        <v/>
      </c>
      <c r="P29" s="620" t="str">
        <f>IF('7 day'!AG31="","",'7 day'!AG31)</f>
        <v/>
      </c>
      <c r="Q29" s="661">
        <f>IF(ISBLANK('dmr 1'!B29)=TRUE,"",IF(AND(ISTEXT([2]BOD!K23),(ISTEXT([2]BOD!L23))),"",IF(AND(ISNUMBER([2]BOD!K23),([2]BOD!L23="")),[2]BOD!K23,IF(AND(ISNUMBER([2]BOD!L23),([2]BOD!K23="")),[2]BOD!L23,((('dmr 1'!D29)*[2]BOD!K23)+('dmr 1'!E29*[2]BOD!L23))/(('dmr 1'!D29+'dmr 1'!E29))))))</f>
        <v>16.305173737439162</v>
      </c>
      <c r="R29" s="661">
        <f>IF(ISBLANK('dmr 1'!B29)=TRUE,"",IF(AND(ISTEXT([2]TSS!K23),(ISTEXT([2]TSS!L23))),"",IF(AND(ISNUMBER([2]TSS!K23),([2]TSS!L23="")),[2]TSS!K23,IF(AND(ISNUMBER([2]TSS!L23),([2]TSS!K23="")),[2]TSS!L23,((('dmr 1'!D29)*[2]TSS!K23)+('dmr 1'!E29*[2]TSS!L23))/(('dmr 1'!D29+'dmr 1'!E29))))))</f>
        <v>20.262746825422528</v>
      </c>
      <c r="S29" s="661" t="str">
        <f>IF('7 day'!AA31="","",'7 day'!AA31)</f>
        <v/>
      </c>
      <c r="T29" s="620" t="str">
        <f>IF('7 day'!AE31="","",'7 day'!AE31)</f>
        <v/>
      </c>
      <c r="U29" s="630">
        <f>IF([2]alk_pH_Cl2!G23="","",[2]alk_pH_Cl2!G23)</f>
        <v>5</v>
      </c>
      <c r="V29" s="1529" t="str">
        <f>IF([2]alk_pH_Cl2!H23="","",[2]alk_pH_Cl2!H23)</f>
        <v/>
      </c>
      <c r="W29" s="511">
        <f>IF([2]alk_pH_Cl2!E23="","",[2]alk_pH_Cl2!E23)</f>
        <v>7</v>
      </c>
      <c r="X29" s="632" t="str">
        <f>IF([2]alk_pH_Cl2!F23="","",[2]alk_pH_Cl2!F23)</f>
        <v/>
      </c>
      <c r="Y29" s="490"/>
      <c r="Z29" s="11"/>
    </row>
    <row r="30" spans="1:26" s="12" customFormat="1" ht="15.95" customHeight="1" x14ac:dyDescent="0.2">
      <c r="A30" s="490">
        <v>21</v>
      </c>
      <c r="B30" s="522" t="str">
        <f>IF(OR([2]BOD!F24="",'dmr 1'!E30=0,'dmr 1'!E30=""),"",[2]BOD!F24)</f>
        <v/>
      </c>
      <c r="C30" s="523" t="str">
        <f>IF('7 day'!S32="","",'7 day'!S32)</f>
        <v/>
      </c>
      <c r="D30" s="501" t="str">
        <f>IF(OR('dmr 1'!K30="",B30="",ISTEXT([2]BOD!H24)=TRUE,ISTEXT([2]BOD!L24)=TRUE),"",([2]BOD!H24-[2]BOD!L24)/[2]BOD!H24*100)</f>
        <v/>
      </c>
      <c r="E30" s="501" t="str">
        <f>IF(OR('dmr 1'!E30="",ISTEXT([2]BOD!L24)=TRUE,[2]BOD!L24=""),"",IF('dmr 1'!E30=0,0,'dmr 1'!E30*[2]BOD!L24)*8.34)</f>
        <v/>
      </c>
      <c r="F30" s="501" t="str">
        <f>IF('7 day'!U32="","",'7 day'!U32)</f>
        <v/>
      </c>
      <c r="G30" s="489" t="str">
        <f>IF(OR([2]TSS!L24="",'dmr 1'!E30=0,'dmr 1'!E30=""),"",[2]TSS!L24)</f>
        <v/>
      </c>
      <c r="H30" s="489" t="str">
        <f>IF('7 day'!W32="","",'7 day'!W32)</f>
        <v/>
      </c>
      <c r="I30" s="501" t="str">
        <f>IF(OR('dmr 1'!L30="",G30="",ISTEXT([2]TSS!H24)=TRUE,ISTEXT([2]TSS!L24)=TRUE),"",([2]TSS!H24-[2]TSS!L24)/[2]TSS!H24*100)</f>
        <v/>
      </c>
      <c r="J30" s="501" t="str">
        <f>IF(OR('dmr 1'!E30="",ISTEXT([2]TSS!L24)=TRUE,[2]TSS!L24=""),"",'dmr 1'!E30*[2]TSS!L24*8.34)</f>
        <v/>
      </c>
      <c r="K30" s="501" t="str">
        <f>IF('7 day'!Y32="","",'7 day'!Y32)</f>
        <v/>
      </c>
      <c r="L30" s="662" t="str">
        <f>IF([2]alk_pH_Cl2!J24="","",[2]alk_pH_Cl2!J24)</f>
        <v/>
      </c>
      <c r="M30" s="661">
        <f>IF(AND('dmr 1'!Q30="",E30="")=TRUE,"",IF(E30="",'dmr 1'!Q30,'dmr 1'!Q30+E30))</f>
        <v>7385.204819893549</v>
      </c>
      <c r="N30" s="619">
        <f>IF(AND('dmr 1'!V30="",J30="")=TRUE,"",IF(J30="",'dmr 1'!V30,'dmr 1'!V30+J30))</f>
        <v>14770.409639787098</v>
      </c>
      <c r="O30" s="619" t="str">
        <f>IF('7 day'!AC32="","",'7 day'!AC32)</f>
        <v/>
      </c>
      <c r="P30" s="620" t="str">
        <f>IF('7 day'!AG32="","",'7 day'!AG32)</f>
        <v/>
      </c>
      <c r="Q30" s="661">
        <f>IF(ISBLANK('dmr 1'!B30)=TRUE,"",IF(AND(ISTEXT([2]BOD!K24),(ISTEXT([2]BOD!L24))),"",IF(AND(ISNUMBER([2]BOD!K24),([2]BOD!L24="")),[2]BOD!K24,IF(AND(ISNUMBER([2]BOD!L24),([2]BOD!K24="")),[2]BOD!L24,((('dmr 1'!D30)*[2]BOD!K24)+('dmr 1'!E30*[2]BOD!L24))/(('dmr 1'!D30+'dmr 1'!E30))))))</f>
        <v>11</v>
      </c>
      <c r="R30" s="661">
        <f>IF(ISBLANK('dmr 1'!B30)=TRUE,"",IF(AND(ISTEXT([2]TSS!K24),(ISTEXT([2]TSS!L24))),"",IF(AND(ISNUMBER([2]TSS!K24),([2]TSS!L24="")),[2]TSS!K24,IF(AND(ISNUMBER([2]TSS!L24),([2]TSS!K24="")),[2]TSS!L24,((('dmr 1'!D30)*[2]TSS!K24)+('dmr 1'!E30*[2]TSS!L24))/(('dmr 1'!D30+'dmr 1'!E30))))))</f>
        <v>22</v>
      </c>
      <c r="S30" s="661" t="str">
        <f>IF('7 day'!AA32="","",'7 day'!AA32)</f>
        <v/>
      </c>
      <c r="T30" s="620" t="str">
        <f>IF('7 day'!AE32="","",'7 day'!AE32)</f>
        <v/>
      </c>
      <c r="U30" s="630">
        <f>IF([2]alk_pH_Cl2!G24="","",[2]alk_pH_Cl2!G24)</f>
        <v>12</v>
      </c>
      <c r="V30" s="1529" t="str">
        <f>IF([2]alk_pH_Cl2!H24="","",[2]alk_pH_Cl2!H24)</f>
        <v/>
      </c>
      <c r="W30" s="511">
        <f>IF([2]alk_pH_Cl2!E24="","",[2]alk_pH_Cl2!E24)</f>
        <v>6.8</v>
      </c>
      <c r="X30" s="632" t="str">
        <f>IF([2]alk_pH_Cl2!F24="","",[2]alk_pH_Cl2!F24)</f>
        <v/>
      </c>
      <c r="Y30" s="490"/>
      <c r="Z30" s="11"/>
    </row>
    <row r="31" spans="1:26" s="12" customFormat="1" ht="15.95" customHeight="1" x14ac:dyDescent="0.2">
      <c r="A31" s="490">
        <v>22</v>
      </c>
      <c r="B31" s="522">
        <f>IF(OR([2]BOD!F25="",'dmr 1'!E31=0,'dmr 1'!E31=""),"",[2]BOD!F25)</f>
        <v>69</v>
      </c>
      <c r="C31" s="523" t="str">
        <f>IF('7 day'!S33="","",'7 day'!S33)</f>
        <v/>
      </c>
      <c r="D31" s="501">
        <f>IF(OR('dmr 1'!K31="",B31="",ISTEXT([2]BOD!H25)=TRUE,ISTEXT([2]BOD!L25)=TRUE),"",([2]BOD!H25-[2]BOD!L25)/[2]BOD!H25*100)</f>
        <v>59.883720930232556</v>
      </c>
      <c r="E31" s="501">
        <f>IF(OR('dmr 1'!E31="",ISTEXT([2]BOD!L25)=TRUE,[2]BOD!L25=""),"",IF('dmr 1'!E31=0,0,'dmr 1'!E31*[2]BOD!L25)*8.34)</f>
        <v>13556.094084080014</v>
      </c>
      <c r="F31" s="501" t="str">
        <f>IF('7 day'!U33="","",'7 day'!U33)</f>
        <v/>
      </c>
      <c r="G31" s="489">
        <f>IF(OR([2]TSS!L25="",'dmr 1'!E31=0,'dmr 1'!E31=""),"",[2]TSS!L25)</f>
        <v>21</v>
      </c>
      <c r="H31" s="489" t="str">
        <f>IF('7 day'!W33="","",'7 day'!W33)</f>
        <v/>
      </c>
      <c r="I31" s="501">
        <f>IF(OR('dmr 1'!L31="",G31="",ISTEXT([2]TSS!H25)=TRUE,ISTEXT([2]TSS!L25)=TRUE),"",([2]TSS!H25-[2]TSS!L25)/[2]TSS!H25*100)</f>
        <v>91.322314049586765</v>
      </c>
      <c r="J31" s="501">
        <f>IF(OR('dmr 1'!E31="",ISTEXT([2]TSS!L25)=TRUE,[2]TSS!L25=""),"",'dmr 1'!E31*[2]TSS!L25*8.34)</f>
        <v>4125.7677647200044</v>
      </c>
      <c r="K31" s="501" t="str">
        <f>IF('7 day'!Y33="","",'7 day'!Y33)</f>
        <v/>
      </c>
      <c r="L31" s="662">
        <f>IF([2]alk_pH_Cl2!J25="","",[2]alk_pH_Cl2!J25)</f>
        <v>0.13265416026115417</v>
      </c>
      <c r="M31" s="661">
        <f>IF(AND('dmr 1'!Q31="",E31="")=TRUE,"",IF(E31="",'dmr 1'!Q31,'dmr 1'!Q31+E31))</f>
        <v>22586.416843542509</v>
      </c>
      <c r="N31" s="619">
        <f>IF(AND('dmr 1'!V31="",J31="")=TRUE,"",IF(J31="",'dmr 1'!V31,'dmr 1'!V31+J31))</f>
        <v>16918.725007291872</v>
      </c>
      <c r="O31" s="619" t="str">
        <f>IF('7 day'!AC33="","",'7 day'!AC33)</f>
        <v/>
      </c>
      <c r="P31" s="620" t="str">
        <f>IF('7 day'!AG33="","",'7 day'!AG33)</f>
        <v/>
      </c>
      <c r="Q31" s="661">
        <f>IF(ISBLANK('dmr 1'!B31)=TRUE,"",IF(AND(ISTEXT([2]BOD!K25),(ISTEXT([2]BOD!L25))),"",IF(AND(ISNUMBER([2]BOD!K25),([2]BOD!L25="")),[2]BOD!K25,IF(AND(ISNUMBER([2]BOD!L25),([2]BOD!K25="")),[2]BOD!L25,((('dmr 1'!D31)*[2]BOD!K25)+('dmr 1'!E31*[2]BOD!L25))/(('dmr 1'!D31+'dmr 1'!E31))))))</f>
        <v>23.800428423612043</v>
      </c>
      <c r="R31" s="661">
        <f>IF(ISBLANK('dmr 1'!B31)=TRUE,"",IF(AND(ISTEXT([2]TSS!K25),(ISTEXT([2]TSS!L25))),"",IF(AND(ISNUMBER([2]TSS!K25),([2]TSS!L25="")),[2]TSS!K25,IF(AND(ISNUMBER([2]TSS!L25),([2]TSS!K25="")),[2]TSS!L25,((('dmr 1'!D31)*[2]TSS!K25)+('dmr 1'!E31*[2]TSS!L25))/(('dmr 1'!D31+'dmr 1'!E31))))))</f>
        <v>17.828100240253477</v>
      </c>
      <c r="S31" s="661" t="str">
        <f>IF('7 day'!AA33="","",'7 day'!AA33)</f>
        <v/>
      </c>
      <c r="T31" s="620" t="str">
        <f>IF('7 day'!AE33="","",'7 day'!AE33)</f>
        <v/>
      </c>
      <c r="U31" s="630">
        <f>IF([2]alk_pH_Cl2!G25="","",[2]alk_pH_Cl2!G25)</f>
        <v>4</v>
      </c>
      <c r="V31" s="1529"/>
      <c r="W31" s="511">
        <f>IF([2]alk_pH_Cl2!E25="","",[2]alk_pH_Cl2!E25)</f>
        <v>7</v>
      </c>
      <c r="X31" s="632" t="str">
        <f>IF([2]alk_pH_Cl2!F25="","",[2]alk_pH_Cl2!F25)</f>
        <v/>
      </c>
      <c r="Y31" s="490"/>
      <c r="Z31" s="11"/>
    </row>
    <row r="32" spans="1:26" s="12" customFormat="1" ht="15.95" customHeight="1" x14ac:dyDescent="0.2">
      <c r="A32" s="490">
        <v>23</v>
      </c>
      <c r="B32" s="522" t="str">
        <f>IF(OR([2]BOD!F26="",'dmr 1'!E32=0,'dmr 1'!E32=""),"",[2]BOD!F26)</f>
        <v/>
      </c>
      <c r="C32" s="523" t="str">
        <f>IF('7 day'!S34="","",'7 day'!S34)</f>
        <v/>
      </c>
      <c r="D32" s="501" t="str">
        <f>IF(OR('dmr 1'!K32="",B32="",ISTEXT([2]BOD!H26)=TRUE,ISTEXT([2]BOD!L26)=TRUE),"",([2]BOD!H26-[2]BOD!L26)/[2]BOD!H26*100)</f>
        <v/>
      </c>
      <c r="E32" s="501" t="str">
        <f>IF(OR('dmr 1'!E32="",ISTEXT([2]BOD!L26)=TRUE,[2]BOD!L26=""),"",IF('dmr 1'!E32=0,0,'dmr 1'!E32*[2]BOD!L26)*8.34)</f>
        <v/>
      </c>
      <c r="F32" s="501" t="str">
        <f>IF('7 day'!U34="","",'7 day'!U34)</f>
        <v/>
      </c>
      <c r="G32" s="489" t="str">
        <f>IF(OR([2]TSS!L26="",'dmr 1'!E32=0,'dmr 1'!E32=""),"",[2]TSS!L26)</f>
        <v/>
      </c>
      <c r="H32" s="489" t="str">
        <f>IF('7 day'!W34="","",'7 day'!W34)</f>
        <v/>
      </c>
      <c r="I32" s="501" t="str">
        <f>IF(OR('dmr 1'!L32="",G32="",ISTEXT([2]TSS!H26)=TRUE,ISTEXT([2]TSS!L26)=TRUE),"",([2]TSS!H26-[2]TSS!L26)/[2]TSS!H26*100)</f>
        <v/>
      </c>
      <c r="J32" s="501" t="str">
        <f>IF(OR('dmr 1'!E32="",ISTEXT([2]TSS!L26)=TRUE,[2]TSS!L26=""),"",'dmr 1'!E32*[2]TSS!L26*8.34)</f>
        <v/>
      </c>
      <c r="K32" s="501" t="str">
        <f>IF('7 day'!Y34="","",'7 day'!Y34)</f>
        <v/>
      </c>
      <c r="L32" s="662" t="str">
        <f>IF([2]alk_pH_Cl2!J26="","",[2]alk_pH_Cl2!J26)</f>
        <v/>
      </c>
      <c r="M32" s="661">
        <f>IF(AND('dmr 1'!Q32="",E32="")=TRUE,"",IF(E32="",'dmr 1'!Q32,'dmr 1'!Q32+E32))</f>
        <v>7878.016134845845</v>
      </c>
      <c r="N32" s="619">
        <f>IF(AND('dmr 1'!V32="",J32="")=TRUE,"",IF(J32="",'dmr 1'!V32,'dmr 1'!V32+J32))</f>
        <v>12604.825815753353</v>
      </c>
      <c r="O32" s="619" t="str">
        <f>IF('7 day'!AC34="","",'7 day'!AC34)</f>
        <v/>
      </c>
      <c r="P32" s="620" t="str">
        <f>IF('7 day'!AG34="","",'7 day'!AG34)</f>
        <v/>
      </c>
      <c r="Q32" s="661">
        <f>IF(ISBLANK('dmr 1'!B32)=TRUE,"",IF(AND(ISTEXT([2]BOD!K26),(ISTEXT([2]BOD!L26))),"",IF(AND(ISNUMBER([2]BOD!K26),([2]BOD!L26="")),[2]BOD!K26,IF(AND(ISNUMBER([2]BOD!L26),([2]BOD!K26="")),[2]BOD!L26,((('dmr 1'!D32)*[2]BOD!K26)+('dmr 1'!E32*[2]BOD!L26))/(('dmr 1'!D32+'dmr 1'!E32))))))</f>
        <v>10</v>
      </c>
      <c r="R32" s="661">
        <f>IF(ISBLANK('dmr 1'!B32)=TRUE,"",IF(AND(ISTEXT([2]TSS!K26),(ISTEXT([2]TSS!L26))),"",IF(AND(ISNUMBER([2]TSS!K26),([2]TSS!L26="")),[2]TSS!K26,IF(AND(ISNUMBER([2]TSS!L26),([2]TSS!K26="")),[2]TSS!L26,((('dmr 1'!D32)*[2]TSS!K26)+('dmr 1'!E32*[2]TSS!L26))/(('dmr 1'!D32+'dmr 1'!E32))))))</f>
        <v>16</v>
      </c>
      <c r="S32" s="661" t="str">
        <f>IF('7 day'!AA34="","",'7 day'!AA34)</f>
        <v/>
      </c>
      <c r="T32" s="620" t="str">
        <f>IF('7 day'!AE34="","",'7 day'!AE34)</f>
        <v/>
      </c>
      <c r="U32" s="630">
        <f>IF([2]alk_pH_Cl2!G26="","",[2]alk_pH_Cl2!G26)</f>
        <v>22</v>
      </c>
      <c r="V32" s="1529"/>
      <c r="W32" s="511">
        <f>IF([2]alk_pH_Cl2!E26="","",[2]alk_pH_Cl2!E26)</f>
        <v>6.9</v>
      </c>
      <c r="X32" s="632"/>
      <c r="Y32" s="490"/>
      <c r="Z32" s="11"/>
    </row>
    <row r="33" spans="1:26" s="12" customFormat="1" ht="15.95" customHeight="1" x14ac:dyDescent="0.2">
      <c r="A33" s="490">
        <v>24</v>
      </c>
      <c r="B33" s="522" t="str">
        <f>IF(OR([2]BOD!F27="",'dmr 1'!E33=0,'dmr 1'!E33=""),"",[2]BOD!F27)</f>
        <v/>
      </c>
      <c r="C33" s="523" t="str">
        <f>IF('7 day'!S35="","",'7 day'!S35)</f>
        <v/>
      </c>
      <c r="D33" s="501" t="str">
        <f>IF(OR('dmr 1'!K33="",B33="",ISTEXT([2]BOD!H27)=TRUE,ISTEXT([2]BOD!L27)=TRUE),"",([2]BOD!H27-[2]BOD!L27)/[2]BOD!H27*100)</f>
        <v/>
      </c>
      <c r="E33" s="501" t="str">
        <f>IF(OR('dmr 1'!E33="",ISTEXT([2]BOD!L27)=TRUE,[2]BOD!L27=""),"",IF('dmr 1'!E33=0,0,'dmr 1'!E33*[2]BOD!L27)*8.34)</f>
        <v/>
      </c>
      <c r="F33" s="501" t="str">
        <f>IF('7 day'!U35="","",'7 day'!U35)</f>
        <v/>
      </c>
      <c r="G33" s="489" t="str">
        <f>IF(OR([2]TSS!L27="",'dmr 1'!E33=0,'dmr 1'!E33=""),"",[2]TSS!L27)</f>
        <v/>
      </c>
      <c r="H33" s="489" t="str">
        <f>IF('7 day'!W35="","",'7 day'!W35)</f>
        <v/>
      </c>
      <c r="I33" s="501" t="str">
        <f>IF(OR('dmr 1'!L33="",G33="",ISTEXT([2]TSS!H27)=TRUE,ISTEXT([2]TSS!L27)=TRUE),"",([2]TSS!H27-[2]TSS!L27)/[2]TSS!H27*100)</f>
        <v/>
      </c>
      <c r="J33" s="501" t="str">
        <f>IF(OR('dmr 1'!E33="",ISTEXT([2]TSS!L27)=TRUE,[2]TSS!L27=""),"",'dmr 1'!E33*[2]TSS!L27*8.34)</f>
        <v/>
      </c>
      <c r="K33" s="501" t="str">
        <f>IF('7 day'!Y35="","",'7 day'!Y35)</f>
        <v/>
      </c>
      <c r="L33" s="662" t="str">
        <f>IF([2]alk_pH_Cl2!J27="","",[2]alk_pH_Cl2!J27)</f>
        <v/>
      </c>
      <c r="M33" s="661">
        <f>IF(AND('dmr 1'!Q33="",E33="")=TRUE,"",IF(E33="",'dmr 1'!Q33,'dmr 1'!Q33+E33))</f>
        <v>7866.6127778437585</v>
      </c>
      <c r="N33" s="619">
        <f>IF(AND('dmr 1'!V33="",J33="")=TRUE,"",IF(J33="",'dmr 1'!V33,'dmr 1'!V33+J33))</f>
        <v>10676.117341359386</v>
      </c>
      <c r="O33" s="619" t="str">
        <f>IF('7 day'!AC35="","",'7 day'!AC35)</f>
        <v/>
      </c>
      <c r="P33" s="620" t="str">
        <f>IF('7 day'!AG35="","",'7 day'!AG35)</f>
        <v/>
      </c>
      <c r="Q33" s="661">
        <f>IF(ISBLANK('dmr 1'!B33)=TRUE,"",IF(AND(ISTEXT([2]BOD!K27),(ISTEXT([2]BOD!L27))),"",IF(AND(ISNUMBER([2]BOD!K27),([2]BOD!L27="")),[2]BOD!K27,IF(AND(ISNUMBER([2]BOD!L27),([2]BOD!K27="")),[2]BOD!L27,((('dmr 1'!D33)*[2]BOD!K27)+('dmr 1'!E33*[2]BOD!L27))/(('dmr 1'!D33+'dmr 1'!E33))))))</f>
        <v>14</v>
      </c>
      <c r="R33" s="661">
        <f>IF(ISBLANK('dmr 1'!B33)=TRUE,"",IF(AND(ISTEXT([2]TSS!K27),(ISTEXT([2]TSS!L27))),"",IF(AND(ISNUMBER([2]TSS!K27),([2]TSS!L27="")),[2]TSS!K27,IF(AND(ISNUMBER([2]TSS!L27),([2]TSS!K27="")),[2]TSS!L27,((('dmr 1'!D33)*[2]TSS!K27)+('dmr 1'!E33*[2]TSS!L27))/(('dmr 1'!D33+'dmr 1'!E33))))))</f>
        <v>19</v>
      </c>
      <c r="S33" s="661" t="str">
        <f>IF('7 day'!AA35="","",'7 day'!AA35)</f>
        <v/>
      </c>
      <c r="T33" s="620" t="str">
        <f>IF('7 day'!AE35="","",'7 day'!AE35)</f>
        <v/>
      </c>
      <c r="U33" s="630">
        <f>IF([2]alk_pH_Cl2!G27="","",[2]alk_pH_Cl2!G27)</f>
        <v>36</v>
      </c>
      <c r="V33" s="1529" t="str">
        <f>IF([2]alk_pH_Cl2!H27="","",[2]alk_pH_Cl2!H27)</f>
        <v/>
      </c>
      <c r="W33" s="511">
        <f>IF([2]alk_pH_Cl2!E27="","",[2]alk_pH_Cl2!E27)</f>
        <v>7.2</v>
      </c>
      <c r="X33" s="632" t="str">
        <f>IF([2]alk_pH_Cl2!F27="","",[2]alk_pH_Cl2!F27)</f>
        <v/>
      </c>
      <c r="Y33" s="490"/>
      <c r="Z33" s="11"/>
    </row>
    <row r="34" spans="1:26" s="12" customFormat="1" ht="15.95" customHeight="1" x14ac:dyDescent="0.2">
      <c r="A34" s="490">
        <v>25</v>
      </c>
      <c r="B34" s="522" t="str">
        <f>IF(OR([2]BOD!F28="",'dmr 1'!E34=0,'dmr 1'!E34=""),"",[2]BOD!F28)</f>
        <v/>
      </c>
      <c r="C34" s="523" t="str">
        <f>IF('7 day'!S36="","",'7 day'!S36)</f>
        <v/>
      </c>
      <c r="D34" s="501" t="str">
        <f>IF(OR('dmr 1'!K34="",B34="",ISTEXT([2]BOD!H28)=TRUE,ISTEXT([2]BOD!L28)=TRUE),"",([2]BOD!H28-[2]BOD!L28)/[2]BOD!H28*100)</f>
        <v/>
      </c>
      <c r="E34" s="501" t="str">
        <f>IF(OR('dmr 1'!E34="",ISTEXT([2]BOD!L28)=TRUE,[2]BOD!L28=""),"",IF('dmr 1'!E34=0,0,'dmr 1'!E34*[2]BOD!L28)*8.34)</f>
        <v/>
      </c>
      <c r="F34" s="501" t="str">
        <f>IF('7 day'!U36="","",'7 day'!U36)</f>
        <v/>
      </c>
      <c r="G34" s="489" t="str">
        <f>IF(OR([2]TSS!L28="",'dmr 1'!E34=0,'dmr 1'!E34=""),"",[2]TSS!L28)</f>
        <v/>
      </c>
      <c r="H34" s="489" t="str">
        <f>IF('7 day'!W36="","",'7 day'!W36)</f>
        <v/>
      </c>
      <c r="I34" s="501" t="str">
        <f>IF(OR('dmr 1'!L34="",G34="",ISTEXT([2]TSS!H28)=TRUE,ISTEXT([2]TSS!L28)=TRUE),"",([2]TSS!H28-[2]TSS!L28)/[2]TSS!H28*100)</f>
        <v/>
      </c>
      <c r="J34" s="501" t="str">
        <f>IF(OR('dmr 1'!E34="",ISTEXT([2]TSS!L28)=TRUE,[2]TSS!L28=""),"",'dmr 1'!E34*[2]TSS!L28*8.34)</f>
        <v/>
      </c>
      <c r="K34" s="501" t="str">
        <f>IF('7 day'!Y36="","",'7 day'!Y36)</f>
        <v/>
      </c>
      <c r="L34" s="662" t="str">
        <f>IF([2]alk_pH_Cl2!J28="","",[2]alk_pH_Cl2!J28)</f>
        <v/>
      </c>
      <c r="M34" s="661">
        <f>IF(AND('dmr 1'!Q34="",E34="")=TRUE,"",IF(E34="",'dmr 1'!Q34,'dmr 1'!Q34+E34))</f>
        <v>6446.397712092501</v>
      </c>
      <c r="N34" s="619">
        <f>IF(AND('dmr 1'!V34="",J34="")=TRUE,"",IF(J34="",'dmr 1'!V34,'dmr 1'!V34+J34))</f>
        <v>9132.3967587977095</v>
      </c>
      <c r="O34" s="619" t="str">
        <f>IF('7 day'!AC36="","",'7 day'!AC36)</f>
        <v/>
      </c>
      <c r="P34" s="620" t="str">
        <f>IF('7 day'!AG36="","",'7 day'!AG36)</f>
        <v/>
      </c>
      <c r="Q34" s="661">
        <f>IF(ISBLANK('dmr 1'!B34)=TRUE,"",IF(AND(ISTEXT([2]BOD!K28),(ISTEXT([2]BOD!L28))),"",IF(AND(ISNUMBER([2]BOD!K28),([2]BOD!L28="")),[2]BOD!K28,IF(AND(ISNUMBER([2]BOD!L28),([2]BOD!K28="")),[2]BOD!L28,((('dmr 1'!D34)*[2]BOD!K28)+('dmr 1'!E34*[2]BOD!L28))/(('dmr 1'!D34+'dmr 1'!E34))))))</f>
        <v>12</v>
      </c>
      <c r="R34" s="661">
        <f>IF(ISBLANK('dmr 1'!B34)=TRUE,"",IF(AND(ISTEXT([2]TSS!K28),(ISTEXT([2]TSS!L28))),"",IF(AND(ISNUMBER([2]TSS!K28),([2]TSS!L28="")),[2]TSS!K28,IF(AND(ISNUMBER([2]TSS!L28),([2]TSS!K28="")),[2]TSS!L28,((('dmr 1'!D34)*[2]TSS!K28)+('dmr 1'!E34*[2]TSS!L28))/(('dmr 1'!D34+'dmr 1'!E34))))))</f>
        <v>17</v>
      </c>
      <c r="S34" s="516" t="str">
        <f>IF('7 day'!AA36="","",'7 day'!AA36)</f>
        <v/>
      </c>
      <c r="T34" s="620" t="str">
        <f>IF('7 day'!AE36="","",'7 day'!AE36)</f>
        <v/>
      </c>
      <c r="U34" s="630">
        <f>IF([2]alk_pH_Cl2!G28="","",[2]alk_pH_Cl2!G28)</f>
        <v>3</v>
      </c>
      <c r="V34" s="1529" t="str">
        <f>IF([2]alk_pH_Cl2!H28="","",[2]alk_pH_Cl2!H28)</f>
        <v/>
      </c>
      <c r="W34" s="511">
        <f>IF([2]alk_pH_Cl2!E28="","",[2]alk_pH_Cl2!E28)</f>
        <v>7.1</v>
      </c>
      <c r="X34" s="632" t="str">
        <f>IF([2]alk_pH_Cl2!F28="","",[2]alk_pH_Cl2!F28)</f>
        <v/>
      </c>
      <c r="Y34" s="490"/>
      <c r="Z34" s="11"/>
    </row>
    <row r="35" spans="1:26" s="12" customFormat="1" ht="15.95" customHeight="1" x14ac:dyDescent="0.2">
      <c r="A35" s="490">
        <v>26</v>
      </c>
      <c r="B35" s="522" t="str">
        <f>IF(OR([2]BOD!F29="",'dmr 1'!E35=0,'dmr 1'!E35=""),"",[2]BOD!F29)</f>
        <v/>
      </c>
      <c r="C35" s="523">
        <f>IF('7 day'!S37="","",'7 day'!S37)</f>
        <v>52.5</v>
      </c>
      <c r="D35" s="501" t="str">
        <f>IF(OR('dmr 1'!K35="",B35="",ISTEXT([2]BOD!H29)=TRUE,ISTEXT([2]BOD!L29)=TRUE),"",([2]BOD!H29-[2]BOD!L29)/[2]BOD!H29*100)</f>
        <v/>
      </c>
      <c r="E35" s="501" t="str">
        <f>IF(OR('dmr 1'!E35="",ISTEXT([2]BOD!L29)=TRUE,[2]BOD!L29=""),"",IF('dmr 1'!E35=0,0,'dmr 1'!E35*[2]BOD!L29)*8.34)</f>
        <v/>
      </c>
      <c r="F35" s="501">
        <f>IF('7 day'!U37="","",'7 day'!U37)</f>
        <v>13383.113127295004</v>
      </c>
      <c r="G35" s="489" t="str">
        <f>IF(OR([2]TSS!L29="",'dmr 1'!E35=0,'dmr 1'!E35=""),"",[2]TSS!L29)</f>
        <v/>
      </c>
      <c r="H35" s="489">
        <f>IF('7 day'!W37="","",'7 day'!W37)</f>
        <v>24.5</v>
      </c>
      <c r="I35" s="501" t="str">
        <f>IF(OR('dmr 1'!L35="",G35="",ISTEXT([2]TSS!H29)=TRUE,ISTEXT([2]TSS!L29)=TRUE),"",([2]TSS!H29-[2]TSS!L29)/[2]TSS!H29*100)</f>
        <v/>
      </c>
      <c r="J35" s="501" t="str">
        <f>IF(OR('dmr 1'!E35="",ISTEXT([2]TSS!L29)=TRUE,[2]TSS!L29=""),"",'dmr 1'!E35*[2]TSS!L29*8.34)</f>
        <v/>
      </c>
      <c r="K35" s="501">
        <f>IF('7 day'!Y37="","",'7 day'!Y37)</f>
        <v>7200.1575042249988</v>
      </c>
      <c r="L35" s="662" t="str">
        <f>IF([2]alk_pH_Cl2!J29="","",[2]alk_pH_Cl2!J29)</f>
        <v/>
      </c>
      <c r="M35" s="661">
        <f>IF(AND('dmr 1'!Q35="",E35="")=TRUE,"",IF(E35="",'dmr 1'!Q35,'dmr 1'!Q35+E35))</f>
        <v>7577.8287391062368</v>
      </c>
      <c r="N35" s="619">
        <f>IF(AND('dmr 1'!V35="",J35="")=TRUE,"",IF(J35="",'dmr 1'!V35,'dmr 1'!V35+J35))</f>
        <v>8588.2059043204008</v>
      </c>
      <c r="O35" s="619">
        <f>IF('7 day'!AC37="","",'7 day'!AC37)</f>
        <v>11416.004731056581</v>
      </c>
      <c r="P35" s="620">
        <f>IF('7 day'!AG37="","",'7 day'!AG37)</f>
        <v>13965.464791444057</v>
      </c>
      <c r="Q35" s="661">
        <f>IF(ISBLANK('dmr 1'!B35)=TRUE,"",IF(AND(ISTEXT([2]BOD!K29),(ISTEXT([2]BOD!L29))),"",IF(AND(ISNUMBER([2]BOD!K29),([2]BOD!L29="")),[2]BOD!K29,IF(AND(ISNUMBER([2]BOD!L29),([2]BOD!K29="")),[2]BOD!L29,((('dmr 1'!D35)*[2]BOD!K29)+('dmr 1'!E35*[2]BOD!L29))/(('dmr 1'!D35+'dmr 1'!E35))))))</f>
        <v>15</v>
      </c>
      <c r="R35" s="661">
        <f>IF(ISBLANK('dmr 1'!B35)=TRUE,"",IF(AND(ISTEXT([2]TSS!K29),(ISTEXT([2]TSS!L29))),"",IF(AND(ISNUMBER([2]TSS!K29),([2]TSS!L29="")),[2]TSS!K29,IF(AND(ISNUMBER([2]TSS!L29),([2]TSS!K29="")),[2]TSS!L29,((('dmr 1'!D35)*[2]TSS!K29)+('dmr 1'!E35*[2]TSS!L29))/(('dmr 1'!D35+'dmr 1'!E35))))))</f>
        <v>17</v>
      </c>
      <c r="S35" s="661">
        <f>IF('7 day'!AA37="","",'7 day'!AA37)</f>
        <v>14.016370597286985</v>
      </c>
      <c r="T35" s="620">
        <f>IF('7 day'!AE37="","",'7 day'!AE37)</f>
        <v>18.318441643855149</v>
      </c>
      <c r="U35" s="630">
        <f>IF([2]alk_pH_Cl2!G29="","",[2]alk_pH_Cl2!G29)</f>
        <v>14</v>
      </c>
      <c r="V35" s="1529" t="str">
        <f>IF([2]alk_pH_Cl2!H29="","",[2]alk_pH_Cl2!H29)</f>
        <v/>
      </c>
      <c r="W35" s="511">
        <f>IF([2]alk_pH_Cl2!E29="","",[2]alk_pH_Cl2!E29)</f>
        <v>7.1</v>
      </c>
      <c r="X35" s="632" t="str">
        <f>IF([2]alk_pH_Cl2!F29="","",[2]alk_pH_Cl2!F29)</f>
        <v/>
      </c>
      <c r="Y35" s="490"/>
      <c r="Z35" s="11"/>
    </row>
    <row r="36" spans="1:26" s="12" customFormat="1" ht="15.95" customHeight="1" x14ac:dyDescent="0.2">
      <c r="A36" s="490">
        <v>27</v>
      </c>
      <c r="B36" s="522" t="str">
        <f>IF(OR([2]BOD!F30="",'dmr 1'!E36=0,'dmr 1'!E36=""),"",[2]BOD!F30)</f>
        <v/>
      </c>
      <c r="C36" s="523" t="str">
        <f>IF('7 day'!S38="","",'7 day'!S38)</f>
        <v/>
      </c>
      <c r="D36" s="501" t="str">
        <f>IF(OR('dmr 1'!K36="",B36="",ISTEXT([2]BOD!H30)=TRUE,ISTEXT([2]BOD!L30)=TRUE),"",([2]BOD!H30-[2]BOD!L30)/[2]BOD!H30*100)</f>
        <v/>
      </c>
      <c r="E36" s="501" t="str">
        <f>IF(OR('dmr 1'!E36="",ISTEXT([2]BOD!L30)=TRUE,[2]BOD!L30=""),"",IF('dmr 1'!E36=0,0,'dmr 1'!E36*[2]BOD!L30)*8.34)</f>
        <v/>
      </c>
      <c r="F36" s="501" t="str">
        <f>IF('7 day'!U38="","",'7 day'!U38)</f>
        <v/>
      </c>
      <c r="G36" s="489" t="str">
        <f>IF(OR([2]TSS!L30="",'dmr 1'!E36=0,'dmr 1'!E36=""),"",[2]TSS!L30)</f>
        <v/>
      </c>
      <c r="H36" s="489" t="str">
        <f>IF('7 day'!W38="","",'7 day'!W38)</f>
        <v/>
      </c>
      <c r="I36" s="501" t="str">
        <f>IF(OR('dmr 1'!L36="",G36="",ISTEXT([2]TSS!H30)=TRUE,ISTEXT([2]TSS!L30)=TRUE),"",([2]TSS!H30-[2]TSS!L30)/[2]TSS!H30*100)</f>
        <v/>
      </c>
      <c r="J36" s="501" t="str">
        <f>IF(OR('dmr 1'!E36="",ISTEXT([2]TSS!L30)=TRUE,[2]TSS!L30=""),"",'dmr 1'!E36*[2]TSS!L30*8.34)</f>
        <v/>
      </c>
      <c r="K36" s="501" t="str">
        <f>IF('7 day'!Y38="","",'7 day'!Y38)</f>
        <v/>
      </c>
      <c r="L36" s="662" t="str">
        <f>IF([2]alk_pH_Cl2!J30="","",[2]alk_pH_Cl2!J30)</f>
        <v/>
      </c>
      <c r="M36" s="661">
        <f>IF(AND('dmr 1'!Q36="",E36="")=TRUE,"",IF(E36="",'dmr 1'!Q36,'dmr 1'!Q36+E36))</f>
        <v>3890.5259110233255</v>
      </c>
      <c r="N36" s="619">
        <f>IF(AND('dmr 1'!V36="",J36="")=TRUE,"",IF(J36="",'dmr 1'!V36,'dmr 1'!V36+J36))</f>
        <v>5835.7888665349883</v>
      </c>
      <c r="O36" s="619" t="str">
        <f>IF('7 day'!AC38="","",'7 day'!AC38)</f>
        <v/>
      </c>
      <c r="P36" s="620" t="str">
        <f>IF('7 day'!AG38="","",'7 day'!AG38)</f>
        <v/>
      </c>
      <c r="Q36" s="661">
        <f>IF(ISBLANK('dmr 1'!B36)=TRUE,"",IF(AND(ISTEXT([2]BOD!K30),(ISTEXT([2]BOD!L30))),"",IF(AND(ISNUMBER([2]BOD!K30),([2]BOD!L30="")),[2]BOD!K30,IF(AND(ISNUMBER([2]BOD!L30),([2]BOD!K30="")),[2]BOD!L30,((('dmr 1'!D36)*[2]BOD!K30)+('dmr 1'!E36*[2]BOD!L30))/(('dmr 1'!D36+'dmr 1'!E36))))))</f>
        <v>8</v>
      </c>
      <c r="R36" s="661">
        <f>IF(ISBLANK('dmr 1'!B36)=TRUE,"",IF(AND(ISTEXT([2]TSS!K30),(ISTEXT([2]TSS!L30))),"",IF(AND(ISNUMBER([2]TSS!K30),([2]TSS!L30="")),[2]TSS!K30,IF(AND(ISNUMBER([2]TSS!L30),([2]TSS!K30="")),[2]TSS!L30,((('dmr 1'!D36)*[2]TSS!K30)+('dmr 1'!E36*[2]TSS!L30))/(('dmr 1'!D36+'dmr 1'!E36))))))</f>
        <v>12</v>
      </c>
      <c r="S36" s="661" t="str">
        <f>IF('7 day'!AA38="","",'7 day'!AA38)</f>
        <v/>
      </c>
      <c r="T36" s="620" t="str">
        <f>IF('7 day'!AE38="","",'7 day'!AE38)</f>
        <v/>
      </c>
      <c r="U36" s="630">
        <f>IF([2]alk_pH_Cl2!G30="","",[2]alk_pH_Cl2!G30)</f>
        <v>2</v>
      </c>
      <c r="V36" s="1529" t="str">
        <f>IF([2]alk_pH_Cl2!H30="","",[2]alk_pH_Cl2!H30)</f>
        <v/>
      </c>
      <c r="W36" s="511">
        <f>IF([2]alk_pH_Cl2!E30="","",[2]alk_pH_Cl2!E30)</f>
        <v>7.1</v>
      </c>
      <c r="X36" s="632" t="str">
        <f>IF([2]alk_pH_Cl2!F30="","",[2]alk_pH_Cl2!F30)</f>
        <v/>
      </c>
      <c r="Y36" s="490"/>
      <c r="Z36" s="11"/>
    </row>
    <row r="37" spans="1:26" s="12" customFormat="1" ht="15.95" customHeight="1" x14ac:dyDescent="0.2">
      <c r="A37" s="490">
        <v>28</v>
      </c>
      <c r="B37" s="522" t="str">
        <f>IF(OR([2]BOD!F31="",'dmr 1'!E37=0,'dmr 1'!E37=""),"",[2]BOD!F31)</f>
        <v/>
      </c>
      <c r="C37" s="523" t="str">
        <f>IF('7 day'!S39="","",'7 day'!S39)</f>
        <v/>
      </c>
      <c r="D37" s="501" t="str">
        <f>IF(OR('dmr 1'!K37="",B37="",ISTEXT([2]BOD!H31)=TRUE,ISTEXT([2]BOD!L31)=TRUE),"",([2]BOD!H31-[2]BOD!L31)/[2]BOD!H31*100)</f>
        <v/>
      </c>
      <c r="E37" s="501" t="str">
        <f>IF(OR('dmr 1'!E37="",ISTEXT([2]BOD!L31)=TRUE,[2]BOD!L31=""),"",IF('dmr 1'!E37=0,0,'dmr 1'!E37*[2]BOD!L31)*8.34)</f>
        <v/>
      </c>
      <c r="F37" s="501" t="str">
        <f>IF('7 day'!U39="","",'7 day'!U39)</f>
        <v/>
      </c>
      <c r="G37" s="489" t="str">
        <f>IF(OR([2]TSS!L31="",'dmr 1'!E37=0,'dmr 1'!E37=""),"",[2]TSS!L31)</f>
        <v/>
      </c>
      <c r="H37" s="489" t="str">
        <f>IF('7 day'!W39="","",'7 day'!W39)</f>
        <v/>
      </c>
      <c r="I37" s="501" t="str">
        <f>IF(OR('dmr 1'!L37="",G37="",ISTEXT([2]TSS!H31)=TRUE,ISTEXT([2]TSS!L31)=TRUE),"",([2]TSS!H31-[2]TSS!L31)/[2]TSS!H31*100)</f>
        <v/>
      </c>
      <c r="J37" s="501" t="str">
        <f>IF(OR('dmr 1'!E37="",ISTEXT([2]TSS!L31)=TRUE,[2]TSS!L31=""),"",'dmr 1'!E37*[2]TSS!L31*8.34)</f>
        <v/>
      </c>
      <c r="K37" s="501" t="str">
        <f>IF('7 day'!Y39="","",'7 day'!Y39)</f>
        <v/>
      </c>
      <c r="L37" s="662" t="str">
        <f>IF([2]alk_pH_Cl2!J31="","",[2]alk_pH_Cl2!J31)</f>
        <v/>
      </c>
      <c r="M37" s="661">
        <f>IF(AND('dmr 1'!Q37="",E37="")=TRUE,"",IF(E37="",'dmr 1'!Q37,'dmr 1'!Q37+E37))</f>
        <v>3993.3217212866721</v>
      </c>
      <c r="N37" s="619">
        <f>IF(AND('dmr 1'!V37="",J37="")=TRUE,"",IF(J37="",'dmr 1'!V37,'dmr 1'!V37+J37))</f>
        <v>7986.6434425733441</v>
      </c>
      <c r="O37" s="619" t="str">
        <f>IF('7 day'!AC39="","",'7 day'!AC39)</f>
        <v/>
      </c>
      <c r="P37" s="620" t="str">
        <f>IF('7 day'!AG39="","",'7 day'!AG39)</f>
        <v/>
      </c>
      <c r="Q37" s="661">
        <f>IF(ISBLANK('dmr 1'!B37)=TRUE,"",IF(AND(ISTEXT([2]BOD!K31),(ISTEXT([2]BOD!L31))),"",IF(AND(ISNUMBER([2]BOD!K31),([2]BOD!L31="")),[2]BOD!K31,IF(AND(ISNUMBER([2]BOD!L31),([2]BOD!K31="")),[2]BOD!L31,((('dmr 1'!D37)*[2]BOD!K31)+('dmr 1'!E37*[2]BOD!L31))/(('dmr 1'!D37+'dmr 1'!E37))))))</f>
        <v>8</v>
      </c>
      <c r="R37" s="661">
        <f>IF(ISBLANK('dmr 1'!B37)=TRUE,"",IF(AND(ISTEXT([2]TSS!K31),(ISTEXT([2]TSS!L31))),"",IF(AND(ISNUMBER([2]TSS!K31),([2]TSS!L31="")),[2]TSS!K31,IF(AND(ISNUMBER([2]TSS!L31),([2]TSS!K31="")),[2]TSS!L31,((('dmr 1'!D37)*[2]TSS!K31)+('dmr 1'!E37*[2]TSS!L31))/(('dmr 1'!D37+'dmr 1'!E37))))))</f>
        <v>16</v>
      </c>
      <c r="S37" s="661" t="str">
        <f>IF('7 day'!AA39="","",'7 day'!AA39)</f>
        <v/>
      </c>
      <c r="T37" s="620" t="str">
        <f>IF('7 day'!AE39="","",'7 day'!AE39)</f>
        <v/>
      </c>
      <c r="U37" s="630">
        <f>IF([2]alk_pH_Cl2!G31="","",[2]alk_pH_Cl2!G31)</f>
        <v>3</v>
      </c>
      <c r="V37" s="1529" t="str">
        <f>IF([2]alk_pH_Cl2!H31="","",[2]alk_pH_Cl2!H31)</f>
        <v/>
      </c>
      <c r="W37" s="511">
        <f>IF([2]alk_pH_Cl2!E31="","",[2]alk_pH_Cl2!E31)</f>
        <v>7</v>
      </c>
      <c r="X37" s="632" t="str">
        <f>IF([2]alk_pH_Cl2!F31="","",[2]alk_pH_Cl2!F31)</f>
        <v/>
      </c>
      <c r="Y37" s="490"/>
      <c r="Z37" s="11"/>
    </row>
    <row r="38" spans="1:26" s="12" customFormat="1" ht="15.95" customHeight="1" x14ac:dyDescent="0.2">
      <c r="A38" s="490">
        <v>29</v>
      </c>
      <c r="B38" s="522" t="str">
        <f>IF(OR([2]BOD!F32="",'dmr 1'!E38=0,'dmr 1'!E38=""),"",[2]BOD!F32)</f>
        <v/>
      </c>
      <c r="C38" s="523" t="str">
        <f>IF('7 day'!S40="","",'7 day'!S40)</f>
        <v/>
      </c>
      <c r="D38" s="501" t="str">
        <f>IF(OR('dmr 1'!K38="",B38="",ISTEXT([2]BOD!H32)=TRUE,ISTEXT([2]BOD!L32)=TRUE),"",([2]BOD!H32-[2]BOD!L32)/[2]BOD!H32*100)</f>
        <v/>
      </c>
      <c r="E38" s="501" t="str">
        <f>IF(OR('dmr 1'!E38="",ISTEXT([2]BOD!L32)=TRUE,[2]BOD!L32=""),"",IF('dmr 1'!E38=0,0,'dmr 1'!E38*[2]BOD!L32)*8.34)</f>
        <v/>
      </c>
      <c r="F38" s="501" t="str">
        <f>IF('7 day'!U40="","",'7 day'!U40)</f>
        <v/>
      </c>
      <c r="G38" s="489" t="str">
        <f>IF(OR([2]TSS!L32="",'dmr 1'!E38=0,'dmr 1'!E38=""),"",[2]TSS!L32)</f>
        <v/>
      </c>
      <c r="H38" s="489" t="str">
        <f>IF('7 day'!W40="","",'7 day'!W40)</f>
        <v/>
      </c>
      <c r="I38" s="501" t="str">
        <f>IF(OR('dmr 1'!L38="",G38="",ISTEXT([2]TSS!H32)=TRUE,ISTEXT([2]TSS!L32)=TRUE),"",([2]TSS!H32-[2]TSS!L32)/[2]TSS!H32*100)</f>
        <v/>
      </c>
      <c r="J38" s="501" t="str">
        <f>IF(OR('dmr 1'!E38="",ISTEXT([2]TSS!L32)=TRUE,[2]TSS!L32=""),"",'dmr 1'!E38*[2]TSS!L32*8.34)</f>
        <v/>
      </c>
      <c r="K38" s="501" t="str">
        <f>IF('7 day'!Y40="","",'7 day'!Y40)</f>
        <v/>
      </c>
      <c r="L38" s="662" t="str">
        <f>IF([2]alk_pH_Cl2!J32="","",[2]alk_pH_Cl2!J32)</f>
        <v/>
      </c>
      <c r="M38" s="661">
        <f>IF(AND('dmr 1'!Q38="",E38="")=TRUE,"",IF(E38="",'dmr 1'!Q38,'dmr 1'!Q38+E38))</f>
        <v>6513.5350028341654</v>
      </c>
      <c r="N38" s="619">
        <f>IF(AND('dmr 1'!V38="",J38="")=TRUE,"",IF(J38="",'dmr 1'!V38,'dmr 1'!V38+J38))</f>
        <v>9018.7407731549974</v>
      </c>
      <c r="O38" s="619" t="str">
        <f>IF('7 day'!AC40="","",'7 day'!AC40)</f>
        <v/>
      </c>
      <c r="P38" s="620" t="str">
        <f>IF('7 day'!AG40="","",'7 day'!AG40)</f>
        <v/>
      </c>
      <c r="Q38" s="661">
        <f>IF(ISBLANK('dmr 1'!B38)=TRUE,"",IF(AND(ISTEXT([2]BOD!K32),(ISTEXT([2]BOD!L32))),"",IF(AND(ISNUMBER([2]BOD!K32),([2]BOD!L32="")),[2]BOD!K32,IF(AND(ISNUMBER([2]BOD!L32),([2]BOD!K32="")),[2]BOD!L32,((('dmr 1'!D38)*[2]BOD!K32)+('dmr 1'!E38*[2]BOD!L32))/(('dmr 1'!D38+'dmr 1'!E38))))))</f>
        <v>13</v>
      </c>
      <c r="R38" s="661">
        <f>IF(ISBLANK('dmr 1'!B38)=TRUE,"",IF(AND(ISTEXT([2]TSS!K32),(ISTEXT([2]TSS!L32))),"",IF(AND(ISNUMBER([2]TSS!K32),([2]TSS!L32="")),[2]TSS!K32,IF(AND(ISNUMBER([2]TSS!L32),([2]TSS!K32="")),[2]TSS!L32,((('dmr 1'!D38)*[2]TSS!K32)+('dmr 1'!E38*[2]TSS!L32))/(('dmr 1'!D38+'dmr 1'!E38))))))</f>
        <v>18</v>
      </c>
      <c r="S38" s="661" t="str">
        <f>IF('7 day'!AA40="","",'7 day'!AA40)</f>
        <v/>
      </c>
      <c r="T38" s="620" t="str">
        <f>IF('7 day'!AE40="","",'7 day'!AE40)</f>
        <v/>
      </c>
      <c r="U38" s="630">
        <f>IF([2]alk_pH_Cl2!G32="","",[2]alk_pH_Cl2!G32)</f>
        <v>5</v>
      </c>
      <c r="V38" s="1529" t="str">
        <f>IF([2]alk_pH_Cl2!H32="","",[2]alk_pH_Cl2!H32)</f>
        <v/>
      </c>
      <c r="W38" s="511">
        <f>IF([2]alk_pH_Cl2!E32="","",[2]alk_pH_Cl2!E32)</f>
        <v>7.1</v>
      </c>
      <c r="X38" s="632" t="str">
        <f>IF([2]alk_pH_Cl2!F32="","",[2]alk_pH_Cl2!F32)</f>
        <v/>
      </c>
      <c r="Y38" s="490"/>
      <c r="Z38" s="11"/>
    </row>
    <row r="39" spans="1:26" s="12" customFormat="1" ht="15.6" customHeight="1" x14ac:dyDescent="0.2">
      <c r="A39" s="490">
        <v>30</v>
      </c>
      <c r="B39" s="522" t="str">
        <f>IF(OR([2]BOD!F33="",'dmr 1'!E39=0,'dmr 1'!E39=""),"",[2]BOD!F33)</f>
        <v/>
      </c>
      <c r="C39" s="523" t="str">
        <f>IF('7 day'!S41="","",'7 day'!S41)</f>
        <v/>
      </c>
      <c r="D39" s="501" t="str">
        <f>IF(OR('dmr 1'!K39="",B39="",ISTEXT([2]BOD!H33)=TRUE,ISTEXT([2]BOD!L33)=TRUE),"",([2]BOD!H33-[2]BOD!L33)/[2]BOD!H33*100)</f>
        <v/>
      </c>
      <c r="E39" s="501" t="str">
        <f>IF(OR('dmr 1'!E39="",ISTEXT([2]BOD!L33)=TRUE,[2]BOD!L33=""),"",IF('dmr 1'!E39=0,0,'dmr 1'!E39*[2]BOD!L33)*8.34)</f>
        <v/>
      </c>
      <c r="F39" s="501" t="str">
        <f>IF('7 day'!U41="","",'7 day'!U41)</f>
        <v/>
      </c>
      <c r="G39" s="489" t="str">
        <f>IF(OR([2]TSS!L33="",'dmr 1'!E39=0,'dmr 1'!E39=""),"",[2]TSS!L33)</f>
        <v/>
      </c>
      <c r="H39" s="489" t="str">
        <f>IF('7 day'!W41="","",'7 day'!W41)</f>
        <v/>
      </c>
      <c r="I39" s="501" t="str">
        <f>IF(OR('dmr 1'!L39="",G39="",ISTEXT([2]TSS!H33)=TRUE,ISTEXT([2]TSS!L33)=TRUE),"",([2]TSS!H33-[2]TSS!L33)/[2]TSS!H33*100)</f>
        <v/>
      </c>
      <c r="J39" s="501" t="str">
        <f>IF(OR('dmr 1'!E39="",ISTEXT([2]TSS!L33)=TRUE,[2]TSS!L33=""),"",'dmr 1'!E39*[2]TSS!L33*8.34)</f>
        <v/>
      </c>
      <c r="K39" s="501" t="str">
        <f>IF('7 day'!Y41="","",'7 day'!Y41)</f>
        <v/>
      </c>
      <c r="L39" s="524" t="str">
        <f>IF([2]alk_pH_Cl2!J33="","",[2]alk_pH_Cl2!J33)</f>
        <v/>
      </c>
      <c r="M39" s="478">
        <f>IF(AND('dmr 1'!Q39="",E39="")=TRUE,"",IF(E39="",'dmr 1'!Q39,'dmr 1'!Q39+E39))</f>
        <v>6981.0881171062374</v>
      </c>
      <c r="N39" s="480">
        <f>IF(AND('dmr 1'!V39="",J39="")=TRUE,"",IF(J39="",'dmr 1'!V39,'dmr 1'!V39+J39))</f>
        <v>8975.6847219937335</v>
      </c>
      <c r="O39" s="480" t="str">
        <f>IF('7 day'!AC41="","",'7 day'!AC41)</f>
        <v/>
      </c>
      <c r="P39" s="481" t="str">
        <f>IF('7 day'!AG41="","",'7 day'!AG41)</f>
        <v/>
      </c>
      <c r="Q39" s="478">
        <f>IF(ISBLANK('dmr 1'!B39)=TRUE,"",IF(AND(ISTEXT([2]BOD!K33),(ISTEXT([2]BOD!L33))),"",IF(AND(ISNUMBER([2]BOD!K33),([2]BOD!L33="")),[2]BOD!K33,IF(AND(ISNUMBER([2]BOD!L33),([2]BOD!K33="")),[2]BOD!L33,((('dmr 1'!D39)*[2]BOD!K33)+('dmr 1'!E39*[2]BOD!L33))/(('dmr 1'!D39+'dmr 1'!E39))))))</f>
        <v>14</v>
      </c>
      <c r="R39" s="478">
        <f>IF(ISBLANK('dmr 1'!B39)=TRUE,"",IF(AND(ISTEXT([2]TSS!K33),(ISTEXT([2]TSS!L33))),"",IF(AND(ISNUMBER([2]TSS!K33),([2]TSS!L33="")),[2]TSS!K33,IF(AND(ISNUMBER([2]TSS!L33),([2]TSS!K33="")),[2]TSS!L33,((('dmr 1'!D39)*[2]TSS!K33)+('dmr 1'!E39*[2]TSS!L33))/(('dmr 1'!D39+'dmr 1'!E39))))))</f>
        <v>18</v>
      </c>
      <c r="S39" s="661" t="str">
        <f>IF('7 day'!AA41="","",'7 day'!AA41)</f>
        <v/>
      </c>
      <c r="T39" s="620" t="str">
        <f>IF('7 day'!AE41="","",'7 day'!AE41)</f>
        <v/>
      </c>
      <c r="U39" s="630">
        <f>IF([2]alk_pH_Cl2!G33="","",[2]alk_pH_Cl2!G33)</f>
        <v>7</v>
      </c>
      <c r="V39" s="1529" t="str">
        <f>IF([2]alk_pH_Cl2!H33="","",[2]alk_pH_Cl2!H33)</f>
        <v/>
      </c>
      <c r="W39" s="511">
        <f>IF([2]alk_pH_Cl2!E33="","",[2]alk_pH_Cl2!E33)</f>
        <v>7.2</v>
      </c>
      <c r="X39" s="632" t="str">
        <f>IF([2]alk_pH_Cl2!F33="","",[2]alk_pH_Cl2!F33)</f>
        <v/>
      </c>
      <c r="Y39" s="490"/>
      <c r="Z39" s="11"/>
    </row>
    <row r="40" spans="1:26" s="640" customFormat="1" ht="15.6" customHeight="1" thickBot="1" x14ac:dyDescent="0.25">
      <c r="A40" s="490">
        <v>31</v>
      </c>
      <c r="B40" s="522" t="str">
        <f>IF(OR([2]BOD!F34="",'dmr 1'!E40=0,'dmr 1'!E40=""),"",[2]BOD!F34)</f>
        <v/>
      </c>
      <c r="C40" s="1534" t="str">
        <f>IF('7 day'!S42="","",'7 day'!S42)</f>
        <v/>
      </c>
      <c r="D40" s="1535" t="str">
        <f>IF(OR('dmr 1'!K40="",B40="",ISTEXT([2]BOD!H34)=TRUE,ISTEXT([2]BOD!L34)=TRUE),"",([2]BOD!H34-[2]BOD!L34)/[2]BOD!H34*100)</f>
        <v/>
      </c>
      <c r="E40" s="1535" t="str">
        <f>IF(OR('dmr 1'!E40="",ISTEXT([2]BOD!L34)=TRUE,[2]BOD!L34=""),"",IF('dmr 1'!E40=0,0,'dmr 1'!E40*[2]BOD!L34)*8.34)</f>
        <v/>
      </c>
      <c r="F40" s="1535" t="str">
        <f>IF('7 day'!U42="","",'7 day'!U42)</f>
        <v/>
      </c>
      <c r="G40" s="1536" t="str">
        <f>IF(OR([2]TSS!L34="",'dmr 1'!E40=0,'dmr 1'!E40=""),"",[2]TSS!L34)</f>
        <v/>
      </c>
      <c r="H40" s="1536" t="str">
        <f>IF('7 day'!W42="","",'7 day'!W42)</f>
        <v/>
      </c>
      <c r="I40" s="1535" t="str">
        <f>IF(OR('dmr 1'!L40="",G40="",ISTEXT([2]TSS!H34)=TRUE,ISTEXT([2]TSS!L34)=TRUE),"",([2]TSS!H34-[2]TSS!L34)/[2]TSS!H34*100)</f>
        <v/>
      </c>
      <c r="J40" s="1535" t="str">
        <f>IF(OR('dmr 1'!E40="",ISTEXT([2]TSS!L34)=TRUE,[2]TSS!L34=""),"",'dmr 1'!E40*[2]TSS!L34*8.34)</f>
        <v/>
      </c>
      <c r="K40" s="1535" t="str">
        <f>IF('7 day'!Y42="","",'7 day'!Y42)</f>
        <v/>
      </c>
      <c r="L40" s="1537" t="str">
        <f>IF([2]alk_pH_Cl2!J34="","",[2]alk_pH_Cl2!J34)</f>
        <v/>
      </c>
      <c r="M40" s="661">
        <f>IF(AND('dmr 1'!Q40="",E40="")=TRUE,"",IF(E40="",'dmr 1'!Q40,'dmr 1'!Q40+E40))</f>
        <v>6834.4284064466628</v>
      </c>
      <c r="N40" s="619">
        <f>IF(AND('dmr 1'!V40="",J40="")=TRUE,"",IF(J40="",'dmr 1'!V40,'dmr 1'!V40+J40))</f>
        <v>8787.1222368599956</v>
      </c>
      <c r="O40" s="1538" t="str">
        <f>IF('7 day'!AC42="","",'7 day'!AC42)</f>
        <v/>
      </c>
      <c r="P40" s="1539" t="str">
        <f>IF('7 day'!AG42="","",'7 day'!AG42)</f>
        <v/>
      </c>
      <c r="Q40" s="661">
        <f>IF(ISBLANK('dmr 1'!B40)=TRUE,"",IF(AND(ISTEXT([2]BOD!K34),(ISTEXT([2]BOD!L34))),"",IF(AND(ISNUMBER([2]BOD!K34),([2]BOD!L34="")),[2]BOD!K34,IF(AND(ISNUMBER([2]BOD!L34),([2]BOD!K34="")),[2]BOD!L34,((('dmr 1'!D40)*[2]BOD!K34)+('dmr 1'!E40*[2]BOD!L34))/(('dmr 1'!D40+'dmr 1'!E40))))))</f>
        <v>14</v>
      </c>
      <c r="R40" s="661">
        <f>IF(ISBLANK('dmr 1'!B40)=TRUE,"",IF(AND(ISTEXT([2]TSS!K34),(ISTEXT([2]TSS!L34))),"",IF(AND(ISNUMBER([2]TSS!K34),([2]TSS!L34="")),[2]TSS!K34,IF(AND(ISNUMBER([2]TSS!L34),([2]TSS!K34="")),[2]TSS!L34,((('dmr 1'!D40)*[2]TSS!K34)+('dmr 1'!E40*[2]TSS!L34))/(('dmr 1'!D40+'dmr 1'!E40))))))</f>
        <v>18</v>
      </c>
      <c r="S40" s="661" t="str">
        <f>IF('7 day'!AA42="","",'7 day'!AA42)</f>
        <v/>
      </c>
      <c r="T40" s="620" t="str">
        <f>IF('7 day'!AE42="","",'7 day'!AE42)</f>
        <v/>
      </c>
      <c r="U40" s="630">
        <f>IF([2]alk_pH_Cl2!G34="","",[2]alk_pH_Cl2!G34)</f>
        <v>36</v>
      </c>
      <c r="V40" s="1540" t="str">
        <f>IF([2]alk_pH_Cl2!H34="","",[2]alk_pH_Cl2!H34)</f>
        <v/>
      </c>
      <c r="W40" s="511">
        <f>IF([2]alk_pH_Cl2!E34="","",[2]alk_pH_Cl2!E34)</f>
        <v>7.2</v>
      </c>
      <c r="X40" s="632" t="str">
        <f>IF([2]alk_pH_Cl2!F34="","",[2]alk_pH_Cl2!F34)</f>
        <v/>
      </c>
      <c r="Y40" s="490"/>
      <c r="Z40" s="638"/>
    </row>
    <row r="41" spans="1:26" ht="15.95" customHeight="1" x14ac:dyDescent="0.2">
      <c r="A41" s="492" t="s">
        <v>494</v>
      </c>
      <c r="B41" s="633">
        <f t="shared" ref="B41:K41" si="0">IF(MAX(B10:B40)=0,"",MAX(B10:B40))</f>
        <v>69</v>
      </c>
      <c r="C41" s="615">
        <f t="shared" si="0"/>
        <v>52.5</v>
      </c>
      <c r="D41" s="615">
        <f t="shared" si="0"/>
        <v>79.166666666666657</v>
      </c>
      <c r="E41" s="615">
        <f t="shared" si="0"/>
        <v>24078.136644265021</v>
      </c>
      <c r="F41" s="615">
        <f t="shared" si="0"/>
        <v>18605.285422704696</v>
      </c>
      <c r="G41" s="615">
        <f t="shared" si="0"/>
        <v>40</v>
      </c>
      <c r="H41" s="615">
        <f t="shared" si="0"/>
        <v>31.5</v>
      </c>
      <c r="I41" s="495">
        <f t="shared" si="0"/>
        <v>93.63636363636364</v>
      </c>
      <c r="J41" s="495">
        <f t="shared" si="0"/>
        <v>24078.136644265021</v>
      </c>
      <c r="K41" s="495">
        <f t="shared" si="0"/>
        <v>16416.546389180636</v>
      </c>
      <c r="L41" s="497">
        <f>IF(MAX(L10:L40)=0,"",MAX(L10:L40))</f>
        <v>0.13875436782836914</v>
      </c>
      <c r="M41" s="633">
        <f t="shared" ref="M41:W41" si="1">MAX(M10:M40)</f>
        <v>39542.409242101698</v>
      </c>
      <c r="N41" s="1549">
        <f t="shared" si="1"/>
        <v>57906.232952032748</v>
      </c>
      <c r="O41" s="495">
        <f t="shared" si="1"/>
        <v>11570.995728141253</v>
      </c>
      <c r="P41" s="494">
        <f t="shared" si="1"/>
        <v>17647.894914310185</v>
      </c>
      <c r="Q41" s="525">
        <f>MAX(Q10:Q40)</f>
        <v>24.449984343949666</v>
      </c>
      <c r="R41" s="494">
        <f>MAX(R10:R40)</f>
        <v>35.804760413709488</v>
      </c>
      <c r="S41" s="493">
        <f>MAX(S10:S40)</f>
        <v>14.016370597286985</v>
      </c>
      <c r="T41" s="621">
        <f>MAX(T10:T40)</f>
        <v>20.276851605847167</v>
      </c>
      <c r="U41" s="633">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66</v>
      </c>
      <c r="V41" s="621">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0</v>
      </c>
      <c r="W41" s="634">
        <f t="shared" si="1"/>
        <v>7.3</v>
      </c>
      <c r="X41" s="635" t="str">
        <f>IF(MAX(X10:X40)=0,"",MAX(X10:X40))</f>
        <v/>
      </c>
      <c r="Y41" s="1410"/>
      <c r="Z41" s="1"/>
    </row>
    <row r="42" spans="1:26" ht="15.95" customHeight="1" x14ac:dyDescent="0.2">
      <c r="A42" s="499" t="s">
        <v>495</v>
      </c>
      <c r="B42" s="661">
        <f t="shared" ref="B42:J42" si="2">IF(MIN(B10:B40)=0,"",MIN(B10:B40))</f>
        <v>35</v>
      </c>
      <c r="C42" s="663"/>
      <c r="D42" s="480">
        <f>IF(MIN(D10:D40)=0,"",MIN(D10:D40))</f>
        <v>59.883720930232556</v>
      </c>
      <c r="E42" s="480">
        <f t="shared" si="2"/>
        <v>714.1612690187502</v>
      </c>
      <c r="F42" s="480"/>
      <c r="G42" s="480">
        <f t="shared" si="2"/>
        <v>14</v>
      </c>
      <c r="H42" s="480"/>
      <c r="I42" s="480">
        <f t="shared" si="2"/>
        <v>69.166666666666671</v>
      </c>
      <c r="J42" s="480">
        <f t="shared" si="2"/>
        <v>285.66450760750007</v>
      </c>
      <c r="K42" s="480"/>
      <c r="L42" s="483"/>
      <c r="M42" s="478">
        <f>MIN(M10:M40)</f>
        <v>3458.3186873477116</v>
      </c>
      <c r="N42" s="501">
        <f>MIN(N10:N40)</f>
        <v>3919.4168736049974</v>
      </c>
      <c r="O42" s="480"/>
      <c r="P42" s="481"/>
      <c r="Q42" s="527">
        <f>MIN(Q10:Q40)</f>
        <v>7</v>
      </c>
      <c r="R42" s="515">
        <f>MIN(R10:R40)</f>
        <v>8</v>
      </c>
      <c r="S42" s="478"/>
      <c r="T42" s="620"/>
      <c r="U42" s="630" t="str">
        <f>IF(MIN(U10:U40)=0,"",IF(MIN(U10:U40)&lt;=1,"&lt;1",MIN(U10:U40)))</f>
        <v>&lt;1</v>
      </c>
      <c r="V42" s="631" t="str">
        <f>IF(MIN(V10:V40)=0,"",IF(MIN(V10:V40)&lt;=1,"&lt;1",MIN(V10:V40)))</f>
        <v/>
      </c>
      <c r="W42" s="511">
        <f>MIN(W10:W40)</f>
        <v>6.6</v>
      </c>
      <c r="X42" s="636" t="str">
        <f>IF(MIN(X10:X40)=0,"",MIN(X10:X40))</f>
        <v/>
      </c>
      <c r="Y42" s="579"/>
      <c r="Z42" s="1"/>
    </row>
    <row r="43" spans="1:26" ht="15.95" customHeight="1" x14ac:dyDescent="0.2">
      <c r="A43" s="499" t="s">
        <v>497</v>
      </c>
      <c r="B43" s="661"/>
      <c r="C43" s="663"/>
      <c r="D43" s="480"/>
      <c r="E43" s="480">
        <f>IF(SUM(E10:E40)=0,"",SUM(E10:E40))</f>
        <v>69207.382408851277</v>
      </c>
      <c r="F43" s="480"/>
      <c r="G43" s="480"/>
      <c r="H43" s="480"/>
      <c r="I43" s="480"/>
      <c r="J43" s="480">
        <f>IF(SUM(J10:J40)=0,"",SUM(J10:J40))</f>
        <v>50386.643113360435</v>
      </c>
      <c r="K43" s="480"/>
      <c r="L43" s="483"/>
      <c r="M43" s="478">
        <f>SUM(M10:M40)</f>
        <v>271892.861250029</v>
      </c>
      <c r="N43" s="501">
        <f>SUM(N10:N40)</f>
        <v>364574.39192585723</v>
      </c>
      <c r="O43" s="480"/>
      <c r="P43" s="481"/>
      <c r="Q43" s="527"/>
      <c r="R43" s="481"/>
      <c r="S43" s="478"/>
      <c r="T43" s="620"/>
      <c r="U43" s="630"/>
      <c r="V43" s="631"/>
      <c r="W43" s="511"/>
      <c r="X43" s="636"/>
      <c r="Y43" s="1411"/>
      <c r="Z43" s="1"/>
    </row>
    <row r="44" spans="1:26" s="35" customFormat="1" ht="15.95" customHeight="1" thickBot="1" x14ac:dyDescent="0.25">
      <c r="A44" s="504" t="s">
        <v>496</v>
      </c>
      <c r="B44" s="1412">
        <f>IF(ISERROR(AVERAGE(B10:B40)),"",AVERAGE(B10:B40))</f>
        <v>46.5</v>
      </c>
      <c r="C44" s="1412"/>
      <c r="D44" s="1412">
        <f>IF(ISERROR(('dmr 1'!K44-B44)/'dmr 1'!K44*100),"",('dmr 1'!K44-B44)/'dmr 1'!K44*100)</f>
        <v>80.972808870116154</v>
      </c>
      <c r="E44" s="1412">
        <f>IF(ISERROR(AVERAGE(E10:E40)),"",AVERAGE(E10:E40))</f>
        <v>11534.563734808546</v>
      </c>
      <c r="F44" s="1412">
        <f>IF(ISERROR(AVERAGE(F10:F40)),"",AVERAGE(F10:F40))</f>
        <v>9845.0133435270327</v>
      </c>
      <c r="G44" s="1412">
        <f>IF(ISERROR(AVERAGE(G10:G40))=TRUE,"",AVERAGE(G10:G40))</f>
        <v>27.666666666666668</v>
      </c>
      <c r="H44" s="1412"/>
      <c r="I44" s="1412">
        <f>IF(ISERROR(('dmr 1'!L44-G44)/'dmr 1'!L44*100),"",('dmr 1'!L44-G44)/'dmr 1'!L44*100)</f>
        <v>91.041710187312859</v>
      </c>
      <c r="J44" s="1412">
        <f>IF(ISERROR(AVERAGE(J10:J40)),"",AVERAGE(J10:J40))</f>
        <v>8397.7738522267391</v>
      </c>
      <c r="K44" s="1412">
        <f>IF(ISERROR(AVERAGE(K10:K40)),"",AVERAGE(K10:K40))</f>
        <v>7227.067477719429</v>
      </c>
      <c r="L44" s="1413">
        <f>AVERAGE(L10:L40)</f>
        <v>9.2853311449289322E-2</v>
      </c>
      <c r="M44" s="1414">
        <f>IF(ISERROR(AVERAGE(M10:M40)),"",AVERAGE(M10:M40))</f>
        <v>8770.7374596783557</v>
      </c>
      <c r="N44" s="1412">
        <f>IF(ISERROR(AVERAGE(N10:N40)),"",AVERAGE(N10:N40))</f>
        <v>11760.464255672814</v>
      </c>
      <c r="O44" s="1412"/>
      <c r="P44" s="1415"/>
      <c r="Q44" s="1414">
        <f>AVERAGE(Q10:Q40)</f>
        <v>12.260873335291619</v>
      </c>
      <c r="R44" s="1415">
        <f>AVERAGE(R10:R40)</f>
        <v>16.847863920576721</v>
      </c>
      <c r="S44" s="1414"/>
      <c r="T44" s="1415"/>
      <c r="U44" s="1414">
        <f>[2]alk_pH_Cl2!$N$37</f>
        <v>6.2038787682630208</v>
      </c>
      <c r="V44" s="1415" t="str">
        <f>IF(SUM(V10:V40)=0,"",[2]alk_pH_Cl2!$O$37)</f>
        <v/>
      </c>
      <c r="W44" s="1416">
        <f>AVERAGE(W10:W40)</f>
        <v>7.0806451612903212</v>
      </c>
      <c r="X44" s="1413" t="str">
        <f>IF(SUM(X10:X40)=0,"",AVERAGE(X10:X40))</f>
        <v/>
      </c>
      <c r="Y44" s="680" t="s">
        <v>821</v>
      </c>
      <c r="Z44" s="33"/>
    </row>
    <row r="45" spans="1:26" s="8" customFormat="1" ht="30" customHeight="1" thickBot="1" x14ac:dyDescent="0.25">
      <c r="A45" s="1481"/>
      <c r="B45" s="45"/>
      <c r="C45" s="45"/>
      <c r="D45" s="45"/>
      <c r="E45" s="45"/>
      <c r="F45" s="45"/>
      <c r="G45" s="1482"/>
      <c r="H45" s="1482"/>
      <c r="I45" s="45"/>
      <c r="J45" s="45"/>
      <c r="K45" s="45"/>
      <c r="L45" s="45"/>
      <c r="M45" s="45"/>
      <c r="N45" s="45"/>
      <c r="O45" s="1483"/>
      <c r="P45" s="1483"/>
      <c r="Q45" s="1482"/>
      <c r="R45" s="1478"/>
      <c r="S45" s="1478"/>
      <c r="T45" s="1478"/>
      <c r="U45" s="1479"/>
      <c r="V45" s="1479"/>
      <c r="W45" s="1484"/>
      <c r="X45" s="1475"/>
      <c r="Y45" s="45"/>
      <c r="Z45" s="7"/>
    </row>
    <row r="46" spans="1:26" s="8" customFormat="1" ht="15.75" customHeight="1" x14ac:dyDescent="0.2">
      <c r="A46" s="248"/>
      <c r="B46" s="1576" t="s">
        <v>782</v>
      </c>
      <c r="C46" s="1576"/>
      <c r="D46" s="1576"/>
      <c r="E46" s="1576"/>
      <c r="F46" s="1576"/>
      <c r="G46" s="1576"/>
      <c r="H46" s="1576"/>
      <c r="I46" s="1576"/>
      <c r="J46" s="1576"/>
      <c r="K46" s="1576"/>
      <c r="O46" s="582"/>
      <c r="P46" s="582"/>
      <c r="Q46" s="1577" t="s">
        <v>824</v>
      </c>
      <c r="R46" s="1577"/>
      <c r="S46" s="1577"/>
      <c r="T46" s="1577"/>
      <c r="U46" s="1577"/>
      <c r="V46" s="1577"/>
      <c r="W46" s="1577"/>
      <c r="X46" s="1577"/>
      <c r="Y46" s="1577"/>
      <c r="Z46" s="7"/>
    </row>
    <row r="47" spans="1:26" s="8" customFormat="1" ht="15.75" customHeight="1" x14ac:dyDescent="0.2">
      <c r="A47" s="248"/>
      <c r="B47" s="1576"/>
      <c r="C47" s="1576"/>
      <c r="D47" s="1576"/>
      <c r="E47" s="1576"/>
      <c r="F47" s="1576"/>
      <c r="G47" s="1576"/>
      <c r="H47" s="1576"/>
      <c r="I47" s="1576"/>
      <c r="J47" s="1576"/>
      <c r="K47" s="1576"/>
      <c r="O47" s="583"/>
      <c r="P47" s="583"/>
      <c r="Q47" s="1569" t="s">
        <v>825</v>
      </c>
      <c r="R47" s="1569"/>
      <c r="S47" s="1569"/>
      <c r="T47" s="1569"/>
      <c r="U47" s="1569"/>
      <c r="V47" s="1550"/>
      <c r="W47" s="1550"/>
      <c r="X47" s="1550"/>
      <c r="Y47" s="1551"/>
      <c r="Z47" s="7"/>
    </row>
    <row r="48" spans="1:26" s="8" customFormat="1" ht="15.75" customHeight="1" x14ac:dyDescent="0.2">
      <c r="A48" s="248"/>
      <c r="B48" s="1576"/>
      <c r="C48" s="1576"/>
      <c r="D48" s="1576"/>
      <c r="E48" s="1576"/>
      <c r="F48" s="1576"/>
      <c r="G48" s="1576"/>
      <c r="H48" s="1576"/>
      <c r="I48" s="1576"/>
      <c r="J48" s="1576"/>
      <c r="K48" s="1576"/>
      <c r="N48" s="291"/>
      <c r="O48" s="302"/>
      <c r="P48" s="302"/>
      <c r="Q48" s="1569" t="s">
        <v>784</v>
      </c>
      <c r="R48" s="1569"/>
      <c r="S48" s="1569"/>
      <c r="T48" s="1569"/>
      <c r="U48" s="1569"/>
      <c r="V48" s="1551"/>
      <c r="W48" s="1551"/>
      <c r="X48" s="1552"/>
      <c r="Y48" s="1550"/>
      <c r="Z48" s="7"/>
    </row>
    <row r="49" spans="1:26" s="8" customFormat="1" ht="15.75" customHeight="1" x14ac:dyDescent="0.2">
      <c r="A49" s="250"/>
      <c r="B49" s="1576"/>
      <c r="C49" s="1576"/>
      <c r="D49" s="1576"/>
      <c r="E49" s="1576"/>
      <c r="F49" s="1576"/>
      <c r="G49" s="1576"/>
      <c r="H49" s="1576"/>
      <c r="I49" s="1576"/>
      <c r="J49" s="1576"/>
      <c r="K49" s="1576"/>
      <c r="L49" s="7"/>
      <c r="M49"/>
      <c r="N49" s="292"/>
      <c r="O49" s="47"/>
      <c r="P49" s="47"/>
      <c r="Q49" s="292"/>
      <c r="R49" s="47"/>
      <c r="S49" s="47"/>
      <c r="T49" s="47"/>
      <c r="U49" s="292"/>
      <c r="V49" s="292"/>
      <c r="W49" s="329"/>
      <c r="X49" s="75"/>
      <c r="Y49" s="7"/>
      <c r="Z49" s="7"/>
    </row>
    <row r="50" spans="1:26" ht="15.75" customHeight="1" x14ac:dyDescent="0.2">
      <c r="A50" s="250"/>
      <c r="B50" s="1576"/>
      <c r="C50" s="1576"/>
      <c r="D50" s="1576"/>
      <c r="E50" s="1576"/>
      <c r="F50" s="1576"/>
      <c r="G50" s="1576"/>
      <c r="H50" s="1576"/>
      <c r="I50" s="1576"/>
      <c r="J50" s="1576"/>
      <c r="K50" s="1576"/>
      <c r="M50"/>
    </row>
    <row r="51" spans="1:26" x14ac:dyDescent="0.2">
      <c r="B51" s="1576"/>
      <c r="C51" s="1576"/>
      <c r="D51" s="1576"/>
      <c r="E51" s="1576"/>
      <c r="F51" s="1576"/>
      <c r="G51" s="1576"/>
      <c r="H51" s="1576"/>
      <c r="I51" s="1576"/>
      <c r="J51" s="1576"/>
      <c r="K51" s="1576"/>
      <c r="L51" s="75"/>
      <c r="M51"/>
    </row>
    <row r="52" spans="1:26" x14ac:dyDescent="0.2">
      <c r="A52" s="95"/>
    </row>
    <row r="54" spans="1:26" x14ac:dyDescent="0.2">
      <c r="U54" s="291"/>
    </row>
    <row r="55" spans="1:26" x14ac:dyDescent="0.2">
      <c r="D55" s="36"/>
    </row>
    <row r="63" spans="1:26" x14ac:dyDescent="0.2">
      <c r="C63" s="47"/>
    </row>
  </sheetData>
  <mergeCells count="15">
    <mergeCell ref="U3:Y3"/>
    <mergeCell ref="V4:Y4"/>
    <mergeCell ref="A3:E3"/>
    <mergeCell ref="A4:D4"/>
    <mergeCell ref="Q47:U47"/>
    <mergeCell ref="Q48:U48"/>
    <mergeCell ref="B46:K51"/>
    <mergeCell ref="K4:O4"/>
    <mergeCell ref="U7:X7"/>
    <mergeCell ref="M6:X6"/>
    <mergeCell ref="Q7:R7"/>
    <mergeCell ref="O7:P7"/>
    <mergeCell ref="M7:N7"/>
    <mergeCell ref="S7:T7"/>
    <mergeCell ref="Q46:Y46"/>
  </mergeCells>
  <phoneticPr fontId="0" type="noConversion"/>
  <printOptions horizontalCentered="1" verticalCentered="1"/>
  <pageMargins left="0.5" right="0.5" top="0.25" bottom="0.25" header="0.25" footer="0.25"/>
  <pageSetup paperSize="288" scale="94"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D67"/>
  <sheetViews>
    <sheetView showGridLines="0" zoomScale="75" zoomScaleNormal="75" workbookViewId="0">
      <selection activeCell="P47" sqref="P47:T47"/>
    </sheetView>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69" t="s">
        <v>778</v>
      </c>
      <c r="B3" s="1569"/>
      <c r="C3" s="1569"/>
      <c r="D3" s="7"/>
      <c r="E3" s="7"/>
      <c r="F3" s="7"/>
      <c r="G3" s="7"/>
      <c r="H3" s="7"/>
      <c r="I3" s="1436"/>
      <c r="J3" s="1436"/>
      <c r="K3" s="1567" t="s">
        <v>499</v>
      </c>
      <c r="L3" s="1567"/>
    </row>
    <row r="4" spans="1:30" s="8" customFormat="1" ht="15.95" customHeight="1" thickBot="1" x14ac:dyDescent="0.3">
      <c r="A4" s="1574" t="s">
        <v>779</v>
      </c>
      <c r="B4" s="1574"/>
      <c r="C4" s="1574"/>
      <c r="D4" s="1587">
        <f>IF(date!B6="","",date!B6)</f>
        <v>43466</v>
      </c>
      <c r="E4" s="1587"/>
      <c r="F4" s="1587"/>
      <c r="G4" s="1587"/>
      <c r="H4" s="1587"/>
      <c r="I4" s="1587"/>
      <c r="J4" s="1476"/>
      <c r="K4" s="1568" t="s">
        <v>500</v>
      </c>
      <c r="L4" s="1568"/>
      <c r="M4" s="7"/>
      <c r="N4" s="7"/>
      <c r="O4" s="34"/>
      <c r="P4" s="31"/>
    </row>
    <row r="5" spans="1:30" s="8" customFormat="1" ht="30" customHeight="1" thickBot="1" x14ac:dyDescent="0.25">
      <c r="M5" s="7"/>
      <c r="N5" s="7"/>
      <c r="O5" s="34"/>
      <c r="P5" s="31"/>
    </row>
    <row r="6" spans="1:30" ht="17.45" customHeight="1" thickBot="1" x14ac:dyDescent="0.3">
      <c r="A6" s="1239"/>
      <c r="B6" s="1570" t="s">
        <v>453</v>
      </c>
      <c r="C6" s="1571"/>
      <c r="D6" s="1589" t="s">
        <v>448</v>
      </c>
      <c r="E6" s="1589"/>
      <c r="F6" s="1589"/>
      <c r="G6" s="1590" t="s">
        <v>449</v>
      </c>
      <c r="H6" s="1590"/>
      <c r="I6" s="1590"/>
      <c r="J6" s="1226" t="s">
        <v>731</v>
      </c>
      <c r="K6" s="1226"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40" t="s">
        <v>510</v>
      </c>
      <c r="C7" s="1241" t="s">
        <v>494</v>
      </c>
      <c r="D7" s="1588" t="s">
        <v>516</v>
      </c>
      <c r="E7" s="1588"/>
      <c r="F7" s="1588"/>
      <c r="G7" s="360"/>
      <c r="H7" s="361"/>
      <c r="I7" s="1242"/>
      <c r="J7" s="1224"/>
      <c r="K7" s="1227" t="s">
        <v>744</v>
      </c>
      <c r="L7" s="157" t="s">
        <v>537</v>
      </c>
      <c r="M7" s="49"/>
      <c r="N7" s="7"/>
      <c r="O7" s="34"/>
      <c r="P7" s="31"/>
    </row>
    <row r="8" spans="1:30" s="8" customFormat="1" ht="17.100000000000001" customHeight="1" x14ac:dyDescent="0.2">
      <c r="A8" s="605">
        <f>date!B6</f>
        <v>43466</v>
      </c>
      <c r="B8" s="1231" t="s">
        <v>480</v>
      </c>
      <c r="C8" s="1232" t="s">
        <v>446</v>
      </c>
      <c r="D8" s="1233" t="s">
        <v>50</v>
      </c>
      <c r="E8" s="1234" t="s">
        <v>51</v>
      </c>
      <c r="F8" s="1235" t="s">
        <v>36</v>
      </c>
      <c r="G8" s="1236" t="s">
        <v>516</v>
      </c>
      <c r="H8" s="1237" t="s">
        <v>450</v>
      </c>
      <c r="I8" s="1238" t="s">
        <v>451</v>
      </c>
      <c r="J8" s="1230" t="s">
        <v>353</v>
      </c>
      <c r="K8" s="1225" t="s">
        <v>353</v>
      </c>
      <c r="L8" s="46"/>
      <c r="M8" s="49"/>
      <c r="N8" s="7"/>
      <c r="O8" s="34"/>
      <c r="P8" s="31"/>
    </row>
    <row r="9" spans="1:30" s="8" customFormat="1" ht="17.100000000000001" customHeight="1" thickBot="1" x14ac:dyDescent="0.25">
      <c r="A9" s="43">
        <f>date!B6</f>
        <v>43466</v>
      </c>
      <c r="B9" s="287" t="s">
        <v>505</v>
      </c>
      <c r="C9" s="330" t="s">
        <v>447</v>
      </c>
      <c r="D9" s="39" t="s">
        <v>57</v>
      </c>
      <c r="E9" s="42" t="s">
        <v>57</v>
      </c>
      <c r="F9" s="40" t="s">
        <v>37</v>
      </c>
      <c r="G9" s="362" t="s">
        <v>175</v>
      </c>
      <c r="H9" s="363" t="s">
        <v>175</v>
      </c>
      <c r="I9" s="649" t="s">
        <v>452</v>
      </c>
      <c r="J9" s="1224" t="s">
        <v>419</v>
      </c>
      <c r="K9" s="1224" t="s">
        <v>419</v>
      </c>
      <c r="L9" s="16" t="s">
        <v>56</v>
      </c>
      <c r="M9" s="49"/>
      <c r="N9" s="7"/>
      <c r="O9" s="34"/>
      <c r="P9" s="31"/>
      <c r="AC9" s="51"/>
      <c r="AD9" s="51"/>
    </row>
    <row r="10" spans="1:30" s="12" customFormat="1" ht="15.95" customHeight="1" x14ac:dyDescent="0.2">
      <c r="A10" s="477">
        <v>1</v>
      </c>
      <c r="B10" s="1243">
        <f>IF('[1]Plant Data'!D4="","",'[1]Plant Data'!D4)</f>
        <v>7.289912112233992</v>
      </c>
      <c r="C10" s="685">
        <f>IF('[1]Plant Data'!B4="","",'[1]Plant Data'!B4)</f>
        <v>22.83446</v>
      </c>
      <c r="D10" s="493">
        <f>IF([2]alk_pH_Cl2!B4="","",[2]alk_pH_Cl2!B4)</f>
        <v>172</v>
      </c>
      <c r="E10" s="647" t="str">
        <f>IF([2]alk_pH_Cl2!C4="","",[2]alk_pH_Cl2!C4)</f>
        <v/>
      </c>
      <c r="F10" s="486">
        <f>IF('[1]Plant Data'!AF4="","",'[1]Plant Data'!AF4*0.62)</f>
        <v>1103.3872310694435</v>
      </c>
      <c r="G10" s="634">
        <f>IF('7 day'!AH12="","",('7 day'!AH12-32)*(5/9))</f>
        <v>16.004338888888892</v>
      </c>
      <c r="H10" s="681" t="str">
        <f>IF('7 day'!AI12="","",('7 day'!AI12-32)*(5/9))</f>
        <v/>
      </c>
      <c r="I10" s="682" t="str">
        <f>IF(H10="","",(H10-20)*('7 day'!AK12*3.785))</f>
        <v/>
      </c>
      <c r="J10" s="1228">
        <f>IF('[1]Plant Data'!S4="","",'[1]Plant Data'!S4)</f>
        <v>0</v>
      </c>
      <c r="K10" s="1228">
        <f>IF('[1]Plant Data'!AC4="","",'[1]Plant Data'!AC4)</f>
        <v>0</v>
      </c>
      <c r="L10" s="477"/>
      <c r="M10" s="22"/>
      <c r="N10" s="11"/>
      <c r="O10" s="22"/>
      <c r="P10" s="32"/>
      <c r="Q10" s="29"/>
    </row>
    <row r="11" spans="1:30" s="12" customFormat="1" ht="15.95" customHeight="1" x14ac:dyDescent="0.2">
      <c r="A11" s="490">
        <v>2</v>
      </c>
      <c r="B11" s="686">
        <f>IF('[1]Plant Data'!D5="","",'[1]Plant Data'!D5)</f>
        <v>7.1089552611542546</v>
      </c>
      <c r="C11" s="526">
        <f>IF('[1]Plant Data'!B5="","",'[1]Plant Data'!B5)</f>
        <v>22.884080000000001</v>
      </c>
      <c r="D11" s="478" t="str">
        <f>IF([2]alk_pH_Cl2!B5="","",[2]alk_pH_Cl2!B5)</f>
        <v/>
      </c>
      <c r="E11" s="502" t="str">
        <f>IF([2]alk_pH_Cl2!C5="","",[2]alk_pH_Cl2!C5)</f>
        <v/>
      </c>
      <c r="F11" s="489">
        <f>IF('[1]Plant Data'!AF5="","",'[1]Plant Data'!AF5*0.62)</f>
        <v>1097.3108460580579</v>
      </c>
      <c r="G11" s="511">
        <f>IF('7 day'!AH13="","",('7 day'!AH13-32)*(5/9))</f>
        <v>16.161672222222222</v>
      </c>
      <c r="H11" s="683" t="str">
        <f>IF('7 day'!AI13="","",('7 day'!AI13-32)*(5/9))</f>
        <v/>
      </c>
      <c r="I11" s="684" t="str">
        <f>IF(H11="","",(H11-20)*('7 day'!AK13*3.785))</f>
        <v/>
      </c>
      <c r="J11" s="1229">
        <f>IF('[1]Plant Data'!S5="","",'[1]Plant Data'!S5)</f>
        <v>0</v>
      </c>
      <c r="K11" s="1229">
        <f>IF('[1]Plant Data'!AC5="","",'[1]Plant Data'!AC5)</f>
        <v>0</v>
      </c>
      <c r="L11" s="490"/>
      <c r="M11" s="22"/>
      <c r="N11" s="11"/>
      <c r="O11" s="22"/>
      <c r="P11" s="32"/>
      <c r="Q11" s="29"/>
    </row>
    <row r="12" spans="1:30" s="12" customFormat="1" ht="15.95" customHeight="1" x14ac:dyDescent="0.2">
      <c r="A12" s="490">
        <v>3</v>
      </c>
      <c r="B12" s="686">
        <f>IF('[1]Plant Data'!D6="","",'[1]Plant Data'!D6)</f>
        <v>7.5786324317013749</v>
      </c>
      <c r="C12" s="526">
        <f>IF('[1]Plant Data'!B6="","",'[1]Plant Data'!B6)</f>
        <v>22.864339999999999</v>
      </c>
      <c r="D12" s="478" t="str">
        <f>IF([2]alk_pH_Cl2!B6="","",[2]alk_pH_Cl2!B6)</f>
        <v/>
      </c>
      <c r="E12" s="502" t="str">
        <f>IF([2]alk_pH_Cl2!C6="","",[2]alk_pH_Cl2!C6)</f>
        <v/>
      </c>
      <c r="F12" s="489">
        <f>IF('[1]Plant Data'!AF6="","",'[1]Plant Data'!AF6*0.62)</f>
        <v>1137.2312946388886</v>
      </c>
      <c r="G12" s="511">
        <f>IF('7 day'!AH14="","",('7 day'!AH14-32)*(5/9))</f>
        <v>16.475644444444445</v>
      </c>
      <c r="H12" s="683" t="str">
        <f>IF('7 day'!AI14="","",('7 day'!AI14-32)*(5/9))</f>
        <v/>
      </c>
      <c r="I12" s="684" t="str">
        <f>IF(H12="","",(H12-20)*('7 day'!AK14*3.785))</f>
        <v/>
      </c>
      <c r="J12" s="1229">
        <f>IF('[1]Plant Data'!S6="","",'[1]Plant Data'!S6)</f>
        <v>0</v>
      </c>
      <c r="K12" s="1229">
        <f>IF('[1]Plant Data'!AC6="","",'[1]Plant Data'!AC6)</f>
        <v>0</v>
      </c>
      <c r="L12" s="490"/>
      <c r="M12" s="22"/>
      <c r="N12" s="11"/>
      <c r="O12" s="324"/>
      <c r="P12" s="325"/>
      <c r="Q12" s="326"/>
      <c r="R12" s="327"/>
      <c r="S12" s="327"/>
      <c r="T12" s="327"/>
      <c r="U12" s="327"/>
      <c r="V12" s="327"/>
      <c r="W12" s="327"/>
      <c r="X12" s="327"/>
      <c r="Y12" s="327"/>
      <c r="Z12" s="327"/>
    </row>
    <row r="13" spans="1:30" s="12" customFormat="1" ht="15.95" customHeight="1" x14ac:dyDescent="0.2">
      <c r="A13" s="490">
        <v>4</v>
      </c>
      <c r="B13" s="686">
        <f>IF('[1]Plant Data'!D7="","",'[1]Plant Data'!D7)</f>
        <v>8.039549152385435</v>
      </c>
      <c r="C13" s="526">
        <f>IF('[1]Plant Data'!B7="","",'[1]Plant Data'!B7)</f>
        <v>22.9236</v>
      </c>
      <c r="D13" s="478" t="str">
        <f>IF([2]alk_pH_Cl2!B7="","",[2]alk_pH_Cl2!B7)</f>
        <v/>
      </c>
      <c r="E13" s="502" t="str">
        <f>IF([2]alk_pH_Cl2!C7="","",[2]alk_pH_Cl2!C7)</f>
        <v/>
      </c>
      <c r="F13" s="489">
        <f>IF('[1]Plant Data'!AF7="","",'[1]Plant Data'!AF7*0.62)</f>
        <v>1280.2706033888851</v>
      </c>
      <c r="G13" s="511">
        <f>IF('7 day'!AH15="","",('7 day'!AH15-32)*(5/9))</f>
        <v>16.610911111111111</v>
      </c>
      <c r="H13" s="683" t="str">
        <f>IF('7 day'!AI15="","",('7 day'!AI15-32)*(5/9))</f>
        <v/>
      </c>
      <c r="I13" s="684" t="str">
        <f>IF(H13="","",(H13-20)*('7 day'!AK15*3.785))</f>
        <v/>
      </c>
      <c r="J13" s="1229">
        <f>IF('[1]Plant Data'!S7="","",'[1]Plant Data'!S7)</f>
        <v>0</v>
      </c>
      <c r="K13" s="1229">
        <f>IF('[1]Plant Data'!AC7="","",'[1]Plant Data'!AC7)</f>
        <v>0</v>
      </c>
      <c r="L13" s="490"/>
      <c r="M13" s="22"/>
      <c r="N13" s="11"/>
      <c r="O13" s="324"/>
      <c r="P13" s="325"/>
      <c r="Q13" s="326"/>
      <c r="R13" s="327"/>
      <c r="S13" s="327"/>
      <c r="T13" s="327"/>
      <c r="U13" s="327"/>
      <c r="V13" s="327"/>
      <c r="W13" s="327"/>
      <c r="X13" s="327"/>
      <c r="Y13" s="327"/>
      <c r="Z13" s="327"/>
    </row>
    <row r="14" spans="1:30" s="12" customFormat="1" ht="15.95" customHeight="1" x14ac:dyDescent="0.2">
      <c r="A14" s="490">
        <v>5</v>
      </c>
      <c r="B14" s="686">
        <f>IF('[1]Plant Data'!D8="","",'[1]Plant Data'!D8)</f>
        <v>7.3254443699708984</v>
      </c>
      <c r="C14" s="526">
        <f>IF('[1]Plant Data'!B8="","",'[1]Plant Data'!B8)</f>
        <v>22.839970000000001</v>
      </c>
      <c r="D14" s="478" t="str">
        <f>IF([2]alk_pH_Cl2!B8="","",[2]alk_pH_Cl2!B8)</f>
        <v/>
      </c>
      <c r="E14" s="502" t="str">
        <f>IF([2]alk_pH_Cl2!C8="","",[2]alk_pH_Cl2!C8)</f>
        <v/>
      </c>
      <c r="F14" s="489">
        <f>IF('[1]Plant Data'!AF8="","",'[1]Plant Data'!AF8*0.62)</f>
        <v>1221.0235592284716</v>
      </c>
      <c r="G14" s="511">
        <f>IF('7 day'!AH16="","",('7 day'!AH16-32)*(5/9))</f>
        <v>16.675872222222225</v>
      </c>
      <c r="H14" s="683">
        <f>IF('7 day'!AI16="","",('7 day'!AI16-32)*(5/9))</f>
        <v>16.102390476190472</v>
      </c>
      <c r="I14" s="684">
        <f>IF(H14="","",(H14-20)*('7 day'!AK16*3.785))</f>
        <v>-1012.1387518456368</v>
      </c>
      <c r="J14" s="1229">
        <f>IF('[1]Plant Data'!S8="","",'[1]Plant Data'!S8)</f>
        <v>0</v>
      </c>
      <c r="K14" s="1229">
        <f>IF('[1]Plant Data'!AC8="","",'[1]Plant Data'!AC8)</f>
        <v>0</v>
      </c>
      <c r="L14" s="490"/>
      <c r="M14" s="22"/>
      <c r="N14" s="11"/>
      <c r="O14" s="324"/>
      <c r="P14" s="325"/>
      <c r="Q14" s="326"/>
      <c r="R14" s="327"/>
      <c r="S14" s="327"/>
      <c r="T14" s="327"/>
      <c r="U14" s="327"/>
      <c r="V14" s="327"/>
      <c r="W14" s="327"/>
      <c r="X14" s="327"/>
      <c r="Y14" s="327"/>
      <c r="Z14" s="327"/>
    </row>
    <row r="15" spans="1:30" s="12" customFormat="1" ht="15.95" customHeight="1" x14ac:dyDescent="0.2">
      <c r="A15" s="490">
        <v>6</v>
      </c>
      <c r="B15" s="686">
        <f>IF('[1]Plant Data'!D9="","",'[1]Plant Data'!D9)</f>
        <v>18.791530609572344</v>
      </c>
      <c r="C15" s="526">
        <f>IF('[1]Plant Data'!B9="","",'[1]Plant Data'!B9)</f>
        <v>28.972899999999999</v>
      </c>
      <c r="D15" s="478" t="str">
        <f>IF([2]alk_pH_Cl2!B9="","",[2]alk_pH_Cl2!B9)</f>
        <v/>
      </c>
      <c r="E15" s="502" t="str">
        <f>IF([2]alk_pH_Cl2!C9="","",[2]alk_pH_Cl2!C9)</f>
        <v/>
      </c>
      <c r="F15" s="489">
        <f>IF('[1]Plant Data'!AF9="","",'[1]Plant Data'!AF9*0.62)</f>
        <v>1608.4547837352179</v>
      </c>
      <c r="G15" s="511">
        <f>IF('7 day'!AH17="","",('7 day'!AH17-32)*(5/9))</f>
        <v>16.526900000000001</v>
      </c>
      <c r="H15" s="683" t="str">
        <f>IF('7 day'!AI17="","",('7 day'!AI17-32)*(5/9))</f>
        <v/>
      </c>
      <c r="I15" s="684" t="str">
        <f>IF(H15="","",(H15-20)*('7 day'!AK17*3.785))</f>
        <v/>
      </c>
      <c r="J15" s="1229">
        <f>IF('[1]Plant Data'!S9="","",'[1]Plant Data'!S9)</f>
        <v>5.9083333333333332</v>
      </c>
      <c r="K15" s="1229">
        <f>IF('[1]Plant Data'!AC9="","",'[1]Plant Data'!AC9)</f>
        <v>3.3166666666666669</v>
      </c>
      <c r="L15" s="490"/>
      <c r="M15" s="22"/>
      <c r="N15" s="11"/>
      <c r="O15" s="324"/>
      <c r="P15" s="325"/>
      <c r="Q15" s="326"/>
      <c r="R15" s="327"/>
      <c r="S15" s="327"/>
      <c r="T15" s="327"/>
      <c r="U15" s="327"/>
      <c r="V15" s="327"/>
      <c r="W15" s="327"/>
      <c r="X15" s="327"/>
      <c r="Y15" s="327"/>
      <c r="Z15" s="327"/>
    </row>
    <row r="16" spans="1:30" s="12" customFormat="1" ht="15.95" customHeight="1" x14ac:dyDescent="0.2">
      <c r="A16" s="490">
        <v>7</v>
      </c>
      <c r="B16" s="686">
        <f>IF('[1]Plant Data'!D10="","",'[1]Plant Data'!D10)</f>
        <v>7.3247551958912567</v>
      </c>
      <c r="C16" s="526">
        <f>IF('[1]Plant Data'!B10="","",'[1]Plant Data'!B10)</f>
        <v>22.872409999999999</v>
      </c>
      <c r="D16" s="478" t="str">
        <f>IF([2]alk_pH_Cl2!B10="","",[2]alk_pH_Cl2!B10)</f>
        <v/>
      </c>
      <c r="E16" s="502" t="str">
        <f>IF([2]alk_pH_Cl2!C10="","",[2]alk_pH_Cl2!C10)</f>
        <v/>
      </c>
      <c r="F16" s="489">
        <f>IF('[1]Plant Data'!AF10="","",'[1]Plant Data'!AF10*0.62)</f>
        <v>1209.2191693326367</v>
      </c>
      <c r="G16" s="511">
        <f>IF('7 day'!AH18="","",('7 day'!AH18-32)*(5/9))</f>
        <v>15.633588888888887</v>
      </c>
      <c r="H16" s="683" t="str">
        <f>IF('7 day'!AI18="","",('7 day'!AI18-32)*(5/9))</f>
        <v/>
      </c>
      <c r="I16" s="684" t="str">
        <f>IF(H16="","",(H16-20)*('7 day'!AK18*3.785))</f>
        <v/>
      </c>
      <c r="J16" s="1229">
        <f>IF('[1]Plant Data'!S10="","",'[1]Plant Data'!S10)</f>
        <v>0.73333333333333328</v>
      </c>
      <c r="K16" s="1229">
        <f>IF('[1]Plant Data'!AC10="","",'[1]Plant Data'!AC10)</f>
        <v>0</v>
      </c>
      <c r="L16" s="490"/>
      <c r="M16" s="22"/>
      <c r="N16" s="11"/>
      <c r="O16" s="324"/>
      <c r="P16" s="325"/>
      <c r="Q16" s="326"/>
      <c r="R16" s="327"/>
      <c r="S16" s="327"/>
      <c r="T16" s="327"/>
      <c r="U16" s="327"/>
      <c r="V16" s="327"/>
      <c r="W16" s="327"/>
      <c r="X16" s="327"/>
      <c r="Y16" s="327"/>
      <c r="Z16" s="327"/>
    </row>
    <row r="17" spans="1:26" s="12" customFormat="1" ht="15.95" customHeight="1" x14ac:dyDescent="0.2">
      <c r="A17" s="490">
        <v>8</v>
      </c>
      <c r="B17" s="686">
        <f>IF('[1]Plant Data'!D11="","",'[1]Plant Data'!D11)</f>
        <v>15.109033555506775</v>
      </c>
      <c r="C17" s="526">
        <f>IF('[1]Plant Data'!B11="","",'[1]Plant Data'!B11)</f>
        <v>27.273530000000001</v>
      </c>
      <c r="D17" s="478" t="str">
        <f>IF([2]alk_pH_Cl2!B11="","",[2]alk_pH_Cl2!B11)</f>
        <v/>
      </c>
      <c r="E17" s="502" t="str">
        <f>IF([2]alk_pH_Cl2!C11="","",[2]alk_pH_Cl2!C11)</f>
        <v/>
      </c>
      <c r="F17" s="489">
        <f>IF('[1]Plant Data'!AF11="","",'[1]Plant Data'!AF11*0.62)</f>
        <v>1566.2297006853892</v>
      </c>
      <c r="G17" s="511">
        <f>IF('7 day'!AH19="","",('7 day'!AH19-32)*(5/9))</f>
        <v>16.11483888888889</v>
      </c>
      <c r="H17" s="683" t="str">
        <f>IF('7 day'!AI19="","",('7 day'!AI19-32)*(5/9))</f>
        <v/>
      </c>
      <c r="I17" s="684" t="str">
        <f>IF(H17="","",(H17-20)*('7 day'!AK19*3.785))</f>
        <v/>
      </c>
      <c r="J17" s="1229">
        <f>IF('[1]Plant Data'!S11="","",'[1]Plant Data'!S11)</f>
        <v>5.0583333333333336</v>
      </c>
      <c r="K17" s="1229">
        <f>IF('[1]Plant Data'!AC11="","",'[1]Plant Data'!AC11)</f>
        <v>0</v>
      </c>
      <c r="L17" s="490"/>
      <c r="M17" s="372"/>
      <c r="N17" s="11"/>
      <c r="O17" s="324"/>
      <c r="P17" s="325"/>
      <c r="Q17" s="326"/>
      <c r="R17" s="327"/>
      <c r="S17" s="327"/>
      <c r="T17" s="327"/>
      <c r="U17" s="327"/>
      <c r="V17" s="327"/>
      <c r="W17" s="327"/>
      <c r="X17" s="327"/>
      <c r="Y17" s="327"/>
      <c r="Z17" s="327"/>
    </row>
    <row r="18" spans="1:26" s="12" customFormat="1" ht="15.95" customHeight="1" x14ac:dyDescent="0.2">
      <c r="A18" s="490">
        <v>9</v>
      </c>
      <c r="B18" s="686">
        <f>IF('[1]Plant Data'!D12="","",'[1]Plant Data'!D12)</f>
        <v>10.317482533982977</v>
      </c>
      <c r="C18" s="526">
        <f>IF('[1]Plant Data'!B12="","",'[1]Plant Data'!B12)</f>
        <v>23.081620000000001</v>
      </c>
      <c r="D18" s="478" t="str">
        <f>IF([2]alk_pH_Cl2!B12="","",[2]alk_pH_Cl2!B12)</f>
        <v/>
      </c>
      <c r="E18" s="502" t="str">
        <f>IF([2]alk_pH_Cl2!C12="","",[2]alk_pH_Cl2!C12)</f>
        <v/>
      </c>
      <c r="F18" s="489">
        <f>IF('[1]Plant Data'!AF12="","",'[1]Plant Data'!AF12*0.62)</f>
        <v>1133.9370807583286</v>
      </c>
      <c r="G18" s="511">
        <f>IF('7 day'!AH20="","",('7 day'!AH20-32)*(5/9))</f>
        <v>15.033855555555558</v>
      </c>
      <c r="H18" s="683" t="str">
        <f>IF('7 day'!AI20="","",('7 day'!AI20-32)*(5/9))</f>
        <v/>
      </c>
      <c r="I18" s="684" t="str">
        <f>IF(H18="","",(H18-20)*('7 day'!AK20*3.785))</f>
        <v/>
      </c>
      <c r="J18" s="1229">
        <f>IF('[1]Plant Data'!S12="","",'[1]Plant Data'!S12)</f>
        <v>2.5750000000000002</v>
      </c>
      <c r="K18" s="1229">
        <f>IF('[1]Plant Data'!AC12="","",'[1]Plant Data'!AC12)</f>
        <v>0</v>
      </c>
      <c r="L18" s="490"/>
      <c r="M18" s="372"/>
      <c r="N18" s="11"/>
      <c r="O18" s="324"/>
      <c r="P18" s="325"/>
      <c r="Q18" s="326"/>
      <c r="R18" s="327"/>
      <c r="S18" s="327"/>
      <c r="T18" s="327"/>
      <c r="U18" s="327"/>
      <c r="V18" s="327"/>
      <c r="W18" s="327"/>
      <c r="X18" s="327"/>
      <c r="Y18" s="327"/>
      <c r="Z18" s="327"/>
    </row>
    <row r="19" spans="1:26" s="12" customFormat="1" ht="15.95" customHeight="1" x14ac:dyDescent="0.2">
      <c r="A19" s="490">
        <v>10</v>
      </c>
      <c r="B19" s="686">
        <f>IF('[1]Plant Data'!D13="","",'[1]Plant Data'!D13)</f>
        <v>8.1559050910212836</v>
      </c>
      <c r="C19" s="526">
        <f>IF('[1]Plant Data'!B13="","",'[1]Plant Data'!B13)</f>
        <v>22.8703</v>
      </c>
      <c r="D19" s="478" t="str">
        <f>IF([2]alk_pH_Cl2!B13="","",[2]alk_pH_Cl2!B13)</f>
        <v/>
      </c>
      <c r="E19" s="502" t="str">
        <f>IF([2]alk_pH_Cl2!C13="","",[2]alk_pH_Cl2!C13)</f>
        <v/>
      </c>
      <c r="F19" s="489">
        <f>IF('[1]Plant Data'!AF13="","",'[1]Plant Data'!AF13*0.62)</f>
        <v>968.99243893945163</v>
      </c>
      <c r="G19" s="511">
        <f>IF('7 day'!AH21="","",('7 day'!AH21-32)*(5/9))</f>
        <v>15.689455555555556</v>
      </c>
      <c r="H19" s="683" t="str">
        <f>IF('7 day'!AI21="","",('7 day'!AI21-32)*(5/9))</f>
        <v/>
      </c>
      <c r="I19" s="684" t="str">
        <f>IF(H19="","",(H19-20)*('7 day'!AK21*3.785))</f>
        <v/>
      </c>
      <c r="J19" s="1229">
        <f>IF('[1]Plant Data'!S13="","",'[1]Plant Data'!S13)</f>
        <v>0</v>
      </c>
      <c r="K19" s="1229">
        <f>IF('[1]Plant Data'!AC13="","",'[1]Plant Data'!AC13)</f>
        <v>0</v>
      </c>
      <c r="L19" s="490"/>
      <c r="M19" s="372"/>
      <c r="N19" s="11"/>
      <c r="O19" s="324"/>
      <c r="P19" s="325"/>
      <c r="Q19" s="326"/>
      <c r="R19" s="327"/>
      <c r="S19" s="327"/>
      <c r="T19" s="327"/>
      <c r="U19" s="327"/>
      <c r="V19" s="327"/>
      <c r="W19" s="327"/>
      <c r="X19" s="327"/>
      <c r="Y19" s="327"/>
      <c r="Z19" s="327"/>
    </row>
    <row r="20" spans="1:26" s="12" customFormat="1" ht="15.95" customHeight="1" x14ac:dyDescent="0.2">
      <c r="A20" s="490">
        <v>11</v>
      </c>
      <c r="B20" s="686">
        <f>IF('[1]Plant Data'!D14="","",'[1]Plant Data'!D14)</f>
        <v>7.5362554979486607</v>
      </c>
      <c r="C20" s="526">
        <f>IF('[1]Plant Data'!B14="","",'[1]Plant Data'!B14)</f>
        <v>22.913599999999999</v>
      </c>
      <c r="D20" s="478" t="str">
        <f>IF([2]alk_pH_Cl2!B14="","",[2]alk_pH_Cl2!B14)</f>
        <v/>
      </c>
      <c r="E20" s="502" t="str">
        <f>IF([2]alk_pH_Cl2!C14="","",[2]alk_pH_Cl2!C14)</f>
        <v/>
      </c>
      <c r="F20" s="489">
        <f>IF('[1]Plant Data'!AF14="","",'[1]Plant Data'!AF14*0.62)</f>
        <v>1214.9429625743064</v>
      </c>
      <c r="G20" s="511">
        <f>IF('7 day'!AH22="","",('7 day'!AH22-32)*(5/9))</f>
        <v>16.070166666666665</v>
      </c>
      <c r="H20" s="683" t="str">
        <f>IF('7 day'!AI22="","",('7 day'!AI22-32)*(5/9))</f>
        <v/>
      </c>
      <c r="I20" s="684" t="str">
        <f>IF(H20="","",(H20-20)*('7 day'!AK22*3.785))</f>
        <v/>
      </c>
      <c r="J20" s="1229">
        <f>IF('[1]Plant Data'!S14="","",'[1]Plant Data'!S14)</f>
        <v>0</v>
      </c>
      <c r="K20" s="1229">
        <f>IF('[1]Plant Data'!AC14="","",'[1]Plant Data'!AC14)</f>
        <v>0</v>
      </c>
      <c r="L20" s="490"/>
      <c r="M20" s="372"/>
      <c r="N20" s="11"/>
      <c r="O20" s="324"/>
      <c r="P20" s="325"/>
      <c r="Q20" s="326"/>
      <c r="R20" s="327"/>
      <c r="S20" s="327"/>
      <c r="T20" s="327"/>
      <c r="U20" s="327"/>
      <c r="V20" s="327"/>
      <c r="W20" s="327"/>
      <c r="X20" s="327"/>
      <c r="Y20" s="327"/>
      <c r="Z20" s="327"/>
    </row>
    <row r="21" spans="1:26" s="12" customFormat="1" ht="15.95" customHeight="1" x14ac:dyDescent="0.2">
      <c r="A21" s="490">
        <v>12</v>
      </c>
      <c r="B21" s="686">
        <f>IF('[1]Plant Data'!D15="","",'[1]Plant Data'!D15)</f>
        <v>7.0475128821051083</v>
      </c>
      <c r="C21" s="526">
        <f>IF('[1]Plant Data'!B15="","",'[1]Plant Data'!B15)</f>
        <v>22.885169999999999</v>
      </c>
      <c r="D21" s="478" t="str">
        <f>IF([2]alk_pH_Cl2!B15="","",[2]alk_pH_Cl2!B15)</f>
        <v/>
      </c>
      <c r="E21" s="502" t="str">
        <f>IF([2]alk_pH_Cl2!C15="","",[2]alk_pH_Cl2!C15)</f>
        <v/>
      </c>
      <c r="F21" s="489">
        <f>IF('[1]Plant Data'!AF15="","",'[1]Plant Data'!AF15*0.62)</f>
        <v>1098.0629831145839</v>
      </c>
      <c r="G21" s="511">
        <f>IF('7 day'!AH23="","",('7 day'!AH23-32)*(5/9))</f>
        <v>16.372844444444446</v>
      </c>
      <c r="H21" s="683">
        <f>IF('7 day'!AI23="","",('7 day'!AI23-32)*(5/9))</f>
        <v>15.920235714285708</v>
      </c>
      <c r="I21" s="684">
        <f>IF(H21="","",(H21-20)*('7 day'!AK23*3.785))</f>
        <v>-1138.3131385111981</v>
      </c>
      <c r="J21" s="1229">
        <f>IF('[1]Plant Data'!S15="","",'[1]Plant Data'!S15)</f>
        <v>0</v>
      </c>
      <c r="K21" s="1229">
        <f>IF('[1]Plant Data'!AC15="","",'[1]Plant Data'!AC15)</f>
        <v>0</v>
      </c>
      <c r="L21" s="490"/>
      <c r="M21" s="373"/>
      <c r="N21" s="207"/>
      <c r="O21" s="324"/>
      <c r="P21" s="325"/>
      <c r="Q21" s="326"/>
      <c r="R21" s="327"/>
      <c r="S21" s="327"/>
      <c r="T21" s="327"/>
      <c r="U21" s="327"/>
      <c r="V21" s="327"/>
      <c r="W21" s="327"/>
      <c r="X21" s="327"/>
      <c r="Y21" s="327"/>
      <c r="Z21" s="327"/>
    </row>
    <row r="22" spans="1:26" s="12" customFormat="1" ht="15.95" customHeight="1" x14ac:dyDescent="0.2">
      <c r="A22" s="490">
        <v>13</v>
      </c>
      <c r="B22" s="686">
        <f>IF('[1]Plant Data'!D16="","",'[1]Plant Data'!D16)</f>
        <v>7.0408157533301949</v>
      </c>
      <c r="C22" s="526">
        <f>IF('[1]Plant Data'!B16="","",'[1]Plant Data'!B16)</f>
        <v>22.833739999999999</v>
      </c>
      <c r="D22" s="478" t="str">
        <f>IF([2]alk_pH_Cl2!B16="","",[2]alk_pH_Cl2!B16)</f>
        <v/>
      </c>
      <c r="E22" s="502" t="str">
        <f>IF([2]alk_pH_Cl2!C16="","",[2]alk_pH_Cl2!C16)</f>
        <v/>
      </c>
      <c r="F22" s="489">
        <f>IF('[1]Plant Data'!AF16="","",'[1]Plant Data'!AF16*0.62)</f>
        <v>1048.3931090930555</v>
      </c>
      <c r="G22" s="511">
        <f>IF('7 day'!AH24="","",('7 day'!AH24-32)*(5/9))</f>
        <v>16.428822222222223</v>
      </c>
      <c r="H22" s="683" t="str">
        <f>IF('7 day'!AI24="","",('7 day'!AI24-32)*(5/9))</f>
        <v/>
      </c>
      <c r="I22" s="684" t="str">
        <f>IF(H22="","",(H22-20)*('7 day'!AK24*3.785))</f>
        <v/>
      </c>
      <c r="J22" s="1229">
        <f>IF('[1]Plant Data'!S16="","",'[1]Plant Data'!S16)</f>
        <v>0</v>
      </c>
      <c r="K22" s="1229">
        <f>IF('[1]Plant Data'!AC16="","",'[1]Plant Data'!AC16)</f>
        <v>0</v>
      </c>
      <c r="L22" s="490"/>
      <c r="M22" s="373"/>
      <c r="N22" s="207"/>
      <c r="O22" s="324"/>
      <c r="P22" s="325"/>
      <c r="Q22" s="326"/>
      <c r="R22" s="327"/>
      <c r="S22" s="327"/>
      <c r="T22" s="327"/>
      <c r="U22" s="327"/>
      <c r="V22" s="327"/>
      <c r="W22" s="327"/>
      <c r="X22" s="327"/>
      <c r="Y22" s="327"/>
      <c r="Z22" s="327"/>
    </row>
    <row r="23" spans="1:26" s="12" customFormat="1" ht="15.95" customHeight="1" x14ac:dyDescent="0.2">
      <c r="A23" s="490">
        <v>14</v>
      </c>
      <c r="B23" s="686">
        <f>IF('[1]Plant Data'!D17="","",'[1]Plant Data'!D17)</f>
        <v>6.9720991503816059</v>
      </c>
      <c r="C23" s="526">
        <f>IF('[1]Plant Data'!B17="","",'[1]Plant Data'!B17)</f>
        <v>22.844460000000002</v>
      </c>
      <c r="D23" s="478" t="str">
        <f>IF([2]alk_pH_Cl2!B17="","",[2]alk_pH_Cl2!B17)</f>
        <v/>
      </c>
      <c r="E23" s="502" t="str">
        <f>IF([2]alk_pH_Cl2!C17="","",[2]alk_pH_Cl2!C17)</f>
        <v/>
      </c>
      <c r="F23" s="489">
        <f>IF('[1]Plant Data'!AF17="","",'[1]Plant Data'!AF17*0.62)</f>
        <v>1021.8346671812517</v>
      </c>
      <c r="G23" s="511">
        <f>IF('7 day'!AH25="","",('7 day'!AH25-32)*(5/9))</f>
        <v>16.143688888888889</v>
      </c>
      <c r="H23" s="683" t="str">
        <f>IF('7 day'!AI25="","",('7 day'!AI25-32)*(5/9))</f>
        <v/>
      </c>
      <c r="I23" s="684" t="str">
        <f>IF(H23="","",(H23-20)*('7 day'!AK25*3.785))</f>
        <v/>
      </c>
      <c r="J23" s="1229">
        <f>IF('[1]Plant Data'!S17="","",'[1]Plant Data'!S17)</f>
        <v>0</v>
      </c>
      <c r="K23" s="1229">
        <f>IF('[1]Plant Data'!AC17="","",'[1]Plant Data'!AC17)</f>
        <v>0</v>
      </c>
      <c r="L23" s="490"/>
      <c r="M23" s="373"/>
      <c r="N23" s="207"/>
      <c r="O23" s="324"/>
      <c r="P23" s="325"/>
      <c r="Q23" s="326"/>
      <c r="R23" s="327"/>
      <c r="S23" s="327"/>
      <c r="T23" s="327"/>
      <c r="U23" s="327"/>
      <c r="V23" s="327"/>
      <c r="W23" s="327"/>
      <c r="X23" s="327"/>
      <c r="Y23" s="327"/>
      <c r="Z23" s="327"/>
    </row>
    <row r="24" spans="1:26" s="12" customFormat="1" ht="15.95" customHeight="1" x14ac:dyDescent="0.2">
      <c r="A24" s="490">
        <v>15</v>
      </c>
      <c r="B24" s="686">
        <f>IF('[1]Plant Data'!D18="","",'[1]Plant Data'!D18)</f>
        <v>11.188073330426397</v>
      </c>
      <c r="C24" s="526">
        <f>IF('[1]Plant Data'!B18="","",'[1]Plant Data'!B18)</f>
        <v>23.096440000000001</v>
      </c>
      <c r="D24" s="478" t="str">
        <f>IF([2]alk_pH_Cl2!B18="","",[2]alk_pH_Cl2!B18)</f>
        <v/>
      </c>
      <c r="E24" s="502" t="str">
        <f>IF([2]alk_pH_Cl2!C18="","",[2]alk_pH_Cl2!C18)</f>
        <v/>
      </c>
      <c r="F24" s="489">
        <f>IF('[1]Plant Data'!AF18="","",'[1]Plant Data'!AF18*0.62)</f>
        <v>1003.4523449402792</v>
      </c>
      <c r="G24" s="511">
        <f>IF('7 day'!AH26="","",('7 day'!AH26-32)*(5/9))</f>
        <v>16.199166666666667</v>
      </c>
      <c r="H24" s="683" t="str">
        <f>IF('7 day'!AI26="","",('7 day'!AI26-32)*(5/9))</f>
        <v/>
      </c>
      <c r="I24" s="684" t="str">
        <f>IF(H24="","",(H24-20)*('7 day'!AK26*3.785))</f>
        <v/>
      </c>
      <c r="J24" s="1229">
        <f>IF('[1]Plant Data'!S18="","",'[1]Plant Data'!S18)</f>
        <v>0</v>
      </c>
      <c r="K24" s="1229">
        <f>IF('[1]Plant Data'!AC18="","",'[1]Plant Data'!AC18)</f>
        <v>0</v>
      </c>
      <c r="L24" s="490"/>
      <c r="M24" s="373"/>
      <c r="N24" s="207"/>
      <c r="O24" s="324"/>
      <c r="P24" s="325"/>
      <c r="Q24" s="326"/>
      <c r="R24" s="327"/>
      <c r="S24" s="327"/>
      <c r="T24" s="327"/>
      <c r="U24" s="327"/>
      <c r="V24" s="327"/>
      <c r="W24" s="327"/>
      <c r="X24" s="327"/>
      <c r="Y24" s="327"/>
      <c r="Z24" s="327"/>
    </row>
    <row r="25" spans="1:26" s="12" customFormat="1" ht="15.95" customHeight="1" x14ac:dyDescent="0.2">
      <c r="A25" s="490">
        <v>16</v>
      </c>
      <c r="B25" s="686">
        <f>IF('[1]Plant Data'!D19="","",'[1]Plant Data'!D19)</f>
        <v>17.584633731638871</v>
      </c>
      <c r="C25" s="526">
        <f>IF('[1]Plant Data'!B19="","",'[1]Plant Data'!B19)</f>
        <v>23.701139999999999</v>
      </c>
      <c r="D25" s="478" t="str">
        <f>IF([2]alk_pH_Cl2!B19="","",[2]alk_pH_Cl2!B19)</f>
        <v/>
      </c>
      <c r="E25" s="502" t="str">
        <f>IF([2]alk_pH_Cl2!C19="","",[2]alk_pH_Cl2!C19)</f>
        <v/>
      </c>
      <c r="F25" s="489">
        <f>IF('[1]Plant Data'!AF19="","",'[1]Plant Data'!AF19*0.62)</f>
        <v>1122.368868022221</v>
      </c>
      <c r="G25" s="511">
        <f>IF('7 day'!AH27="","",('7 day'!AH27-32)*(5/9))</f>
        <v>16.332466666666669</v>
      </c>
      <c r="H25" s="683" t="str">
        <f>IF('7 day'!AI27="","",('7 day'!AI27-32)*(5/9))</f>
        <v/>
      </c>
      <c r="I25" s="684" t="str">
        <f>IF(H25="","",(H25-20)*('7 day'!AK27*3.785))</f>
        <v/>
      </c>
      <c r="J25" s="1229">
        <f>IF('[1]Plant Data'!S19="","",'[1]Plant Data'!S19)</f>
        <v>2.5583333333333331</v>
      </c>
      <c r="K25" s="1229">
        <f>IF('[1]Plant Data'!AC19="","",'[1]Plant Data'!AC19)</f>
        <v>0</v>
      </c>
      <c r="L25" s="490"/>
      <c r="M25" s="373"/>
      <c r="N25" s="207"/>
      <c r="O25" s="324"/>
      <c r="P25" s="325"/>
      <c r="Q25" s="327"/>
      <c r="R25" s="327"/>
      <c r="S25" s="327"/>
      <c r="T25" s="327"/>
      <c r="U25" s="327"/>
      <c r="V25" s="327"/>
      <c r="W25" s="327"/>
      <c r="X25" s="327"/>
      <c r="Y25" s="327"/>
      <c r="Z25" s="327"/>
    </row>
    <row r="26" spans="1:26" s="12" customFormat="1" ht="15.95" customHeight="1" x14ac:dyDescent="0.2">
      <c r="A26" s="490">
        <v>17</v>
      </c>
      <c r="B26" s="686">
        <f>IF('[1]Plant Data'!D20="","",'[1]Plant Data'!D20)</f>
        <v>7.1153173253652602</v>
      </c>
      <c r="C26" s="526">
        <f>IF('[1]Plant Data'!B20="","",'[1]Plant Data'!B20)</f>
        <v>22.868500000000001</v>
      </c>
      <c r="D26" s="478" t="str">
        <f>IF([2]alk_pH_Cl2!B20="","",[2]alk_pH_Cl2!B20)</f>
        <v/>
      </c>
      <c r="E26" s="502" t="str">
        <f>IF([2]alk_pH_Cl2!C20="","",[2]alk_pH_Cl2!C20)</f>
        <v/>
      </c>
      <c r="F26" s="489">
        <f>IF('[1]Plant Data'!AF20="","",'[1]Plant Data'!AF20*0.62)</f>
        <v>1042.388191382639</v>
      </c>
      <c r="G26" s="511">
        <f>IF('7 day'!AH28="","",('7 day'!AH28-32)*(5/9))</f>
        <v>15.981772222222222</v>
      </c>
      <c r="H26" s="683" t="str">
        <f>IF('7 day'!AI28="","",('7 day'!AI28-32)*(5/9))</f>
        <v/>
      </c>
      <c r="I26" s="684" t="str">
        <f>IF(H26="","",(H26-20)*('7 day'!AK28*3.785))</f>
        <v/>
      </c>
      <c r="J26" s="1229">
        <f>IF('[1]Plant Data'!S20="","",'[1]Plant Data'!S20)</f>
        <v>0.44166666666666665</v>
      </c>
      <c r="K26" s="1229">
        <f>IF('[1]Plant Data'!AC20="","",'[1]Plant Data'!AC20)</f>
        <v>0</v>
      </c>
      <c r="L26" s="490"/>
      <c r="M26" s="373"/>
      <c r="N26" s="207"/>
      <c r="O26" s="22"/>
      <c r="P26" s="32"/>
    </row>
    <row r="27" spans="1:26" s="12" customFormat="1" ht="15.95" customHeight="1" x14ac:dyDescent="0.2">
      <c r="A27" s="490">
        <v>18</v>
      </c>
      <c r="B27" s="686">
        <f>IF('[1]Plant Data'!D21="","",'[1]Plant Data'!D21)</f>
        <v>49.596713058926952</v>
      </c>
      <c r="C27" s="526">
        <f>IF('[1]Plant Data'!B21="","",'[1]Plant Data'!B21)</f>
        <v>63.423909999999999</v>
      </c>
      <c r="D27" s="478" t="str">
        <f>IF([2]alk_pH_Cl2!B21="","",[2]alk_pH_Cl2!B21)</f>
        <v/>
      </c>
      <c r="E27" s="502" t="str">
        <f>IF([2]alk_pH_Cl2!C21="","",[2]alk_pH_Cl2!C21)</f>
        <v/>
      </c>
      <c r="F27" s="489">
        <f>IF('[1]Plant Data'!AF21="","",'[1]Plant Data'!AF21*0.62)</f>
        <v>2067.8820705865401</v>
      </c>
      <c r="G27" s="511">
        <f>IF('7 day'!AH29="","",('7 day'!AH29-32)*(5/9))</f>
        <v>16.123033333333332</v>
      </c>
      <c r="H27" s="683" t="str">
        <f>IF('7 day'!AI29="","",('7 day'!AI29-32)*(5/9))</f>
        <v/>
      </c>
      <c r="I27" s="684" t="str">
        <f>IF(H27="","",(H27-20)*('7 day'!AK29*3.785))</f>
        <v/>
      </c>
      <c r="J27" s="1229">
        <f>IF('[1]Plant Data'!S21="","",'[1]Plant Data'!S21)</f>
        <v>8.2416666666666671</v>
      </c>
      <c r="K27" s="1229">
        <f>IF('[1]Plant Data'!AC21="","",'[1]Plant Data'!AC21)</f>
        <v>6.416666666666667</v>
      </c>
      <c r="L27" s="490"/>
      <c r="M27" s="373"/>
      <c r="N27" s="207"/>
      <c r="O27" s="22"/>
      <c r="P27" s="32"/>
    </row>
    <row r="28" spans="1:26" s="12" customFormat="1" ht="15.95" customHeight="1" x14ac:dyDescent="0.2">
      <c r="A28" s="490">
        <v>19</v>
      </c>
      <c r="B28" s="686">
        <f>IF('[1]Plant Data'!D22="","",'[1]Plant Data'!D22)</f>
        <v>108.7989178413245</v>
      </c>
      <c r="C28" s="526">
        <f>IF('[1]Plant Data'!B22="","",'[1]Plant Data'!B22)</f>
        <v>63.208599999999997</v>
      </c>
      <c r="D28" s="478" t="str">
        <f>IF([2]alk_pH_Cl2!B22="","",[2]alk_pH_Cl2!B22)</f>
        <v/>
      </c>
      <c r="E28" s="502" t="str">
        <f>IF([2]alk_pH_Cl2!C22="","",[2]alk_pH_Cl2!C22)</f>
        <v/>
      </c>
      <c r="F28" s="489">
        <f>IF('[1]Plant Data'!AF22="","",'[1]Plant Data'!AF22*0.62)</f>
        <v>2364.6024243400684</v>
      </c>
      <c r="G28" s="511">
        <f>IF('7 day'!AH30="","",('7 day'!AH30-32)*(5/9))</f>
        <v>13.06432777777778</v>
      </c>
      <c r="H28" s="683">
        <f>IF('7 day'!AI30="","",('7 day'!AI30-32)*(5/9))</f>
        <v>15.753325396825398</v>
      </c>
      <c r="I28" s="684">
        <f>IF(H28="","",(H28-20)*('7 day'!AK30*3.785))</f>
        <v>-1399.9574619440477</v>
      </c>
      <c r="J28" s="1229">
        <f>IF('[1]Plant Data'!S22="","",'[1]Plant Data'!S22)</f>
        <v>17.341666666666665</v>
      </c>
      <c r="K28" s="1229">
        <f>IF('[1]Plant Data'!AC22="","",'[1]Plant Data'!AC22)</f>
        <v>16.666666666666668</v>
      </c>
      <c r="L28" s="490"/>
      <c r="M28" s="372"/>
      <c r="N28" s="11"/>
      <c r="O28" s="22"/>
      <c r="P28" s="32"/>
    </row>
    <row r="29" spans="1:26" s="12" customFormat="1" ht="15.95" customHeight="1" x14ac:dyDescent="0.2">
      <c r="A29" s="490">
        <v>20</v>
      </c>
      <c r="B29" s="686">
        <f>IF('[1]Plant Data'!D23="","",'[1]Plant Data'!D23)</f>
        <v>41.416241356944482</v>
      </c>
      <c r="C29" s="526">
        <f>IF('[1]Plant Data'!B23="","",'[1]Plant Data'!B23)</f>
        <v>35.128369999999997</v>
      </c>
      <c r="D29" s="478" t="str">
        <f>IF([2]alk_pH_Cl2!B23="","",[2]alk_pH_Cl2!B23)</f>
        <v/>
      </c>
      <c r="E29" s="502" t="str">
        <f>IF([2]alk_pH_Cl2!C23="","",[2]alk_pH_Cl2!C23)</f>
        <v/>
      </c>
      <c r="F29" s="489">
        <f>IF('[1]Plant Data'!AF23="","",'[1]Plant Data'!AF23*0.62)</f>
        <v>1804.358406403074</v>
      </c>
      <c r="G29" s="511">
        <f>IF('7 day'!AH31="","",('7 day'!AH31-32)*(5/9))</f>
        <v>14.270127777777779</v>
      </c>
      <c r="H29" s="683" t="str">
        <f>IF('7 day'!AI31="","",('7 day'!AI31-32)*(5/9))</f>
        <v/>
      </c>
      <c r="I29" s="684" t="str">
        <f>IF(H29="","",(H29-20)*('7 day'!AK31*3.785))</f>
        <v/>
      </c>
      <c r="J29" s="1229">
        <f>IF('[1]Plant Data'!S23="","",'[1]Plant Data'!S23)</f>
        <v>11.316666666666666</v>
      </c>
      <c r="K29" s="1229">
        <f>IF('[1]Plant Data'!AC23="","",'[1]Plant Data'!AC23)</f>
        <v>8.5166666666666675</v>
      </c>
      <c r="L29" s="490"/>
      <c r="M29" s="372"/>
      <c r="N29" s="11"/>
      <c r="P29" s="32"/>
    </row>
    <row r="30" spans="1:26" s="12" customFormat="1" ht="15.95" customHeight="1" x14ac:dyDescent="0.25">
      <c r="A30" s="490">
        <v>21</v>
      </c>
      <c r="B30" s="686">
        <f>IF('[1]Plant Data'!D24="","",'[1]Plant Data'!D24)</f>
        <v>6.6335965892992359</v>
      </c>
      <c r="C30" s="526">
        <f>IF('[1]Plant Data'!B24="","",'[1]Plant Data'!B24)</f>
        <v>22.88833</v>
      </c>
      <c r="D30" s="478" t="str">
        <f>IF([2]alk_pH_Cl2!B24="","",[2]alk_pH_Cl2!B24)</f>
        <v/>
      </c>
      <c r="E30" s="502" t="str">
        <f>IF([2]alk_pH_Cl2!C24="","",[2]alk_pH_Cl2!C24)</f>
        <v/>
      </c>
      <c r="F30" s="489">
        <f>IF('[1]Plant Data'!AF24="","",'[1]Plant Data'!AF24*0.62)</f>
        <v>917.60102792986117</v>
      </c>
      <c r="G30" s="511">
        <f>IF('7 day'!AH32="","",('7 day'!AH32-32)*(5/9))</f>
        <v>14.774972222222221</v>
      </c>
      <c r="H30" s="683" t="str">
        <f>IF('7 day'!AI32="","",('7 day'!AI32-32)*(5/9))</f>
        <v/>
      </c>
      <c r="I30" s="684" t="str">
        <f>IF(H30="","",(H30-20)*('7 day'!AK32*3.785))</f>
        <v/>
      </c>
      <c r="J30" s="1229">
        <f>IF('[1]Plant Data'!S24="","",'[1]Plant Data'!S24)</f>
        <v>0</v>
      </c>
      <c r="K30" s="1229">
        <f>IF('[1]Plant Data'!AC24="","",'[1]Plant Data'!AC24)</f>
        <v>0</v>
      </c>
      <c r="L30" s="490"/>
      <c r="M30" s="22"/>
      <c r="N30" s="11"/>
      <c r="O30" s="208"/>
      <c r="P30" s="32"/>
    </row>
    <row r="31" spans="1:26" s="12" customFormat="1" ht="15.95" customHeight="1" x14ac:dyDescent="0.2">
      <c r="A31" s="490">
        <v>22</v>
      </c>
      <c r="B31" s="686">
        <f>IF('[1]Plant Data'!D25="","",'[1]Plant Data'!D25)</f>
        <v>23.978701722871893</v>
      </c>
      <c r="C31" s="526">
        <f>IF('[1]Plant Data'!B25="","",'[1]Plant Data'!B25)</f>
        <v>31.361820000000002</v>
      </c>
      <c r="D31" s="478" t="str">
        <f>IF([2]alk_pH_Cl2!B25="","",[2]alk_pH_Cl2!B25)</f>
        <v/>
      </c>
      <c r="E31" s="502" t="str">
        <f>IF([2]alk_pH_Cl2!C25="","",[2]alk_pH_Cl2!C25)</f>
        <v/>
      </c>
      <c r="F31" s="489">
        <f>IF('[1]Plant Data'!AF25="","",'[1]Plant Data'!AF25*0.62)</f>
        <v>1546.266102894826</v>
      </c>
      <c r="G31" s="511">
        <f>IF('7 day'!AH33="","",('7 day'!AH33-32)*(5/9))</f>
        <v>15.307244444444446</v>
      </c>
      <c r="H31" s="683" t="str">
        <f>IF('7 day'!AI33="","",('7 day'!AI33-32)*(5/9))</f>
        <v/>
      </c>
      <c r="I31" s="684" t="str">
        <f>IF(H31="","",(H31-20)*('7 day'!AK33*3.785))</f>
        <v/>
      </c>
      <c r="J31" s="1229">
        <f>IF('[1]Plant Data'!S25="","",'[1]Plant Data'!S25)</f>
        <v>6.7249999999999996</v>
      </c>
      <c r="K31" s="1229">
        <f>IF('[1]Plant Data'!AC25="","",'[1]Plant Data'!AC25)</f>
        <v>5.4333333333333336</v>
      </c>
      <c r="L31" s="490"/>
      <c r="M31" s="22"/>
      <c r="N31" s="11"/>
      <c r="P31" s="32"/>
    </row>
    <row r="32" spans="1:26" s="12" customFormat="1" ht="15.95" customHeight="1" x14ac:dyDescent="0.2">
      <c r="A32" s="490">
        <v>23</v>
      </c>
      <c r="B32" s="686">
        <f>IF('[1]Plant Data'!D26="","",'[1]Plant Data'!D26)</f>
        <v>2.9187472171676978</v>
      </c>
      <c r="C32" s="526">
        <f>IF('[1]Plant Data'!B26="","",'[1]Plant Data'!B26)</f>
        <v>22.863350000000001</v>
      </c>
      <c r="D32" s="478" t="str">
        <f>IF([2]alk_pH_Cl2!B26="","",[2]alk_pH_Cl2!B26)</f>
        <v/>
      </c>
      <c r="E32" s="502" t="str">
        <f>IF([2]alk_pH_Cl2!C26="","",[2]alk_pH_Cl2!C26)</f>
        <v/>
      </c>
      <c r="F32" s="489">
        <f>IF('[1]Plant Data'!AF26="","",'[1]Plant Data'!AF26*0.62)</f>
        <v>932.37140028036129</v>
      </c>
      <c r="G32" s="511">
        <f>IF('7 day'!AH34="","",('7 day'!AH34-32)*(5/9))</f>
        <v>14.964866666666667</v>
      </c>
      <c r="H32" s="683" t="str">
        <f>IF('7 day'!AI34="","",('7 day'!AI34-32)*(5/9))</f>
        <v/>
      </c>
      <c r="I32" s="684" t="str">
        <f>IF(H32="","",(H32-20)*('7 day'!AK34*3.785))</f>
        <v/>
      </c>
      <c r="J32" s="1229">
        <f>IF('[1]Plant Data'!S26="","",'[1]Plant Data'!S26)</f>
        <v>0.67500000000000004</v>
      </c>
      <c r="K32" s="1229">
        <f>IF('[1]Plant Data'!AC26="","",'[1]Plant Data'!AC26)</f>
        <v>0</v>
      </c>
      <c r="L32" s="490"/>
      <c r="M32" s="22"/>
      <c r="N32" s="11"/>
      <c r="O32" s="206"/>
      <c r="P32" s="32"/>
    </row>
    <row r="33" spans="1:30" s="12" customFormat="1" ht="15.95" customHeight="1" x14ac:dyDescent="0.2">
      <c r="A33" s="490">
        <v>24</v>
      </c>
      <c r="B33" s="686">
        <f>IF('[1]Plant Data'!D27="","",'[1]Plant Data'!D27)</f>
        <v>2.2608916694724268</v>
      </c>
      <c r="C33" s="526">
        <f>IF('[1]Plant Data'!B27="","",'[1]Plant Data'!B27)</f>
        <v>23.069569999999999</v>
      </c>
      <c r="D33" s="478" t="str">
        <f>IF([2]alk_pH_Cl2!B27="","",[2]alk_pH_Cl2!B27)</f>
        <v/>
      </c>
      <c r="E33" s="502" t="str">
        <f>IF([2]alk_pH_Cl2!C27="","",[2]alk_pH_Cl2!C27)</f>
        <v/>
      </c>
      <c r="F33" s="489">
        <f>IF('[1]Plant Data'!AF27="","",'[1]Plant Data'!AF27*0.62)</f>
        <v>882.211422268055</v>
      </c>
      <c r="G33" s="511">
        <f>IF('7 day'!AH35="","",('7 day'!AH35-32)*(5/9))</f>
        <v>15.698022222222221</v>
      </c>
      <c r="H33" s="683" t="str">
        <f>IF('7 day'!AI35="","",('7 day'!AI35-32)*(5/9))</f>
        <v/>
      </c>
      <c r="I33" s="684" t="str">
        <f>IF(H33="","",(H33-20)*('7 day'!AK35*3.785))</f>
        <v/>
      </c>
      <c r="J33" s="1229">
        <f>IF('[1]Plant Data'!S27="","",'[1]Plant Data'!S27)</f>
        <v>0</v>
      </c>
      <c r="K33" s="1229">
        <f>IF('[1]Plant Data'!AC27="","",'[1]Plant Data'!AC27)</f>
        <v>0</v>
      </c>
      <c r="L33" s="490"/>
      <c r="M33" s="22"/>
      <c r="N33" s="11"/>
      <c r="O33" s="207"/>
      <c r="P33" s="32"/>
    </row>
    <row r="34" spans="1:30" s="12" customFormat="1" ht="15.95" customHeight="1" x14ac:dyDescent="0.2">
      <c r="A34" s="490">
        <v>25</v>
      </c>
      <c r="B34" s="686">
        <f>IF('[1]Plant Data'!D28="","",'[1]Plant Data'!D28)</f>
        <v>2.2283896170138906</v>
      </c>
      <c r="C34" s="526">
        <f>IF('[1]Plant Data'!B28="","",'[1]Plant Data'!B28)</f>
        <v>22.93478</v>
      </c>
      <c r="D34" s="478" t="str">
        <f>IF([2]alk_pH_Cl2!B28="","",[2]alk_pH_Cl2!B28)</f>
        <v/>
      </c>
      <c r="E34" s="502" t="str">
        <f>IF([2]alk_pH_Cl2!C28="","",[2]alk_pH_Cl2!C28)</f>
        <v/>
      </c>
      <c r="F34" s="489">
        <f>IF('[1]Plant Data'!AF28="","",'[1]Plant Data'!AF28*0.62)</f>
        <v>991.77025878472205</v>
      </c>
      <c r="G34" s="511">
        <f>IF('7 day'!AH36="","",('7 day'!AH36-32)*(5/9))</f>
        <v>15.900544444444447</v>
      </c>
      <c r="H34" s="683" t="str">
        <f>IF('7 day'!AI36="","",('7 day'!AI36-32)*(5/9))</f>
        <v/>
      </c>
      <c r="I34" s="684" t="str">
        <f>IF(H34="","",(H34-20)*('7 day'!AK36*3.785))</f>
        <v/>
      </c>
      <c r="J34" s="1229">
        <f>IF('[1]Plant Data'!S28="","",'[1]Plant Data'!S28)</f>
        <v>0</v>
      </c>
      <c r="K34" s="1229">
        <f>IF('[1]Plant Data'!AC28="","",'[1]Plant Data'!AC28)</f>
        <v>0</v>
      </c>
      <c r="L34" s="490"/>
      <c r="M34" s="22"/>
      <c r="N34" s="11"/>
      <c r="O34" s="207"/>
      <c r="P34" s="32"/>
    </row>
    <row r="35" spans="1:30" s="12" customFormat="1" ht="15.95" customHeight="1" x14ac:dyDescent="0.2">
      <c r="A35" s="490">
        <v>26</v>
      </c>
      <c r="B35" s="686">
        <f>IF('[1]Plant Data'!D29="","",'[1]Plant Data'!D29)</f>
        <v>1.8766814331250004</v>
      </c>
      <c r="C35" s="526">
        <f>IF('[1]Plant Data'!B29="","",'[1]Plant Data'!B29)</f>
        <v>23.030080000000002</v>
      </c>
      <c r="D35" s="478" t="str">
        <f>IF([2]alk_pH_Cl2!B29="","",[2]alk_pH_Cl2!B29)</f>
        <v/>
      </c>
      <c r="E35" s="502" t="str">
        <f>IF([2]alk_pH_Cl2!C29="","",[2]alk_pH_Cl2!C29)</f>
        <v/>
      </c>
      <c r="F35" s="489">
        <f>IF('[1]Plant Data'!AF29="","",'[1]Plant Data'!AF29*0.62)</f>
        <v>1039.1425374305552</v>
      </c>
      <c r="G35" s="511">
        <f>IF('7 day'!AH37="","",('7 day'!AH37-32)*(5/9))</f>
        <v>15.92577777777778</v>
      </c>
      <c r="H35" s="683">
        <f>IF('7 day'!AI37="","",('7 day'!AI37-32)*(5/9))</f>
        <v>15.263079365079371</v>
      </c>
      <c r="I35" s="684">
        <f>IF(H35="","",(H35-20)*('7 day'!AK37*3.785))</f>
        <v>-1510.687735763513</v>
      </c>
      <c r="J35" s="1229">
        <f>IF('[1]Plant Data'!S29="","",'[1]Plant Data'!S29)</f>
        <v>0</v>
      </c>
      <c r="K35" s="1229">
        <f>IF('[1]Plant Data'!AC29="","",'[1]Plant Data'!AC29)</f>
        <v>0</v>
      </c>
      <c r="L35" s="490"/>
      <c r="M35" s="22" t="s">
        <v>47</v>
      </c>
      <c r="N35" s="11"/>
      <c r="O35" s="207"/>
      <c r="P35" s="32"/>
      <c r="AD35" s="206" t="s">
        <v>397</v>
      </c>
    </row>
    <row r="36" spans="1:30" s="12" customFormat="1" ht="15.95" customHeight="1" x14ac:dyDescent="0.2">
      <c r="A36" s="490">
        <v>27</v>
      </c>
      <c r="B36" s="686">
        <f>IF('[1]Plant Data'!D30="","",'[1]Plant Data'!D30)</f>
        <v>1.8129022875632517</v>
      </c>
      <c r="C36" s="526">
        <f>IF('[1]Plant Data'!B30="","",'[1]Plant Data'!B30)</f>
        <v>22.82929</v>
      </c>
      <c r="D36" s="478" t="str">
        <f>IF([2]alk_pH_Cl2!B30="","",[2]alk_pH_Cl2!B30)</f>
        <v/>
      </c>
      <c r="E36" s="502" t="str">
        <f>IF([2]alk_pH_Cl2!C30="","",[2]alk_pH_Cl2!C30)</f>
        <v/>
      </c>
      <c r="F36" s="489">
        <f>IF('[1]Plant Data'!AF30="","",'[1]Plant Data'!AF30*0.62)</f>
        <v>952.65625902361046</v>
      </c>
      <c r="G36" s="511">
        <f>IF('7 day'!AH38="","",('7 day'!AH38-32)*(5/9))</f>
        <v>15.976750000000001</v>
      </c>
      <c r="H36" s="683" t="str">
        <f>IF('7 day'!AI38="","",('7 day'!AI38-32)*(5/9))</f>
        <v/>
      </c>
      <c r="I36" s="684" t="str">
        <f>IF(H36="","",(H36-20)*('7 day'!AK38*3.785))</f>
        <v/>
      </c>
      <c r="J36" s="1229">
        <f>IF('[1]Plant Data'!S30="","",'[1]Plant Data'!S30)</f>
        <v>0</v>
      </c>
      <c r="K36" s="1229">
        <f>IF('[1]Plant Data'!AC30="","",'[1]Plant Data'!AC30)</f>
        <v>0</v>
      </c>
      <c r="L36" s="490"/>
      <c r="M36" s="22"/>
      <c r="N36" s="11"/>
      <c r="O36" s="207"/>
      <c r="P36" s="32"/>
      <c r="AD36" s="207" t="s">
        <v>398</v>
      </c>
    </row>
    <row r="37" spans="1:30" s="12" customFormat="1" ht="15.95" customHeight="1" x14ac:dyDescent="0.2">
      <c r="A37" s="490">
        <v>28</v>
      </c>
      <c r="B37" s="686">
        <f>IF('[1]Plant Data'!D31="","",'[1]Plant Data'!D31)</f>
        <v>2.1375986584749938</v>
      </c>
      <c r="C37" s="526">
        <f>IF('[1]Plant Data'!B31="","",'[1]Plant Data'!B31)</f>
        <v>22.80086</v>
      </c>
      <c r="D37" s="478" t="str">
        <f>IF([2]alk_pH_Cl2!B31="","",[2]alk_pH_Cl2!B31)</f>
        <v/>
      </c>
      <c r="E37" s="502"/>
      <c r="F37" s="489">
        <f>IF('[1]Plant Data'!AF31="","",'[1]Plant Data'!AF31*0.62)</f>
        <v>936.60727716041595</v>
      </c>
      <c r="G37" s="511">
        <f>IF('7 day'!AH39="","",('7 day'!AH39-32)*(5/9))</f>
        <v>15.984538888888892</v>
      </c>
      <c r="H37" s="683" t="str">
        <f>IF('7 day'!AI39="","",('7 day'!AI39-32)*(5/9))</f>
        <v/>
      </c>
      <c r="I37" s="684" t="str">
        <f>IF(H37="","",(H37-20)*('7 day'!AK39*3.785))</f>
        <v/>
      </c>
      <c r="J37" s="1229">
        <f>IF('[1]Plant Data'!S31="","",'[1]Plant Data'!S31)</f>
        <v>0</v>
      </c>
      <c r="K37" s="1229">
        <f>IF('[1]Plant Data'!AC31="","",'[1]Plant Data'!AC31)</f>
        <v>0</v>
      </c>
      <c r="L37" s="490"/>
      <c r="M37" s="22" t="s">
        <v>47</v>
      </c>
      <c r="N37" s="11"/>
      <c r="O37" s="207"/>
      <c r="P37" s="32"/>
      <c r="AD37" s="207" t="s">
        <v>400</v>
      </c>
    </row>
    <row r="38" spans="1:30" s="12" customFormat="1" ht="15.95" customHeight="1" x14ac:dyDescent="0.2">
      <c r="A38" s="490">
        <v>29</v>
      </c>
      <c r="B38" s="686">
        <f>IF('[1]Plant Data'!D32="","",'[1]Plant Data'!D32)</f>
        <v>1.8349479786612759</v>
      </c>
      <c r="C38" s="526">
        <f>IF('[1]Plant Data'!B32="","",'[1]Plant Data'!B32)</f>
        <v>22.795290000000001</v>
      </c>
      <c r="D38" s="478" t="str">
        <f>IF([2]alk_pH_Cl2!B32="","",[2]alk_pH_Cl2!B32)</f>
        <v/>
      </c>
      <c r="E38" s="502" t="str">
        <f>IF([2]alk_pH_Cl2!C32="","",[2]alk_pH_Cl2!C32)</f>
        <v/>
      </c>
      <c r="F38" s="489">
        <f>IF('[1]Plant Data'!AF32="","",'[1]Plant Data'!AF32*0.62)</f>
        <v>983.54144570138817</v>
      </c>
      <c r="G38" s="511">
        <f>IF('7 day'!AH40="","",('7 day'!AH40-32)*(5/9))</f>
        <v>15.998855555555554</v>
      </c>
      <c r="H38" s="683" t="str">
        <f>IF('7 day'!AI40="","",('7 day'!AI40-32)*(5/9))</f>
        <v/>
      </c>
      <c r="I38" s="684" t="str">
        <f>IF(H38="","",(H38-20)*('7 day'!AK40*3.785))</f>
        <v/>
      </c>
      <c r="J38" s="1229">
        <f>IF('[1]Plant Data'!S32="","",'[1]Plant Data'!S32)</f>
        <v>0</v>
      </c>
      <c r="K38" s="1229">
        <f>IF('[1]Plant Data'!AC32="","",'[1]Plant Data'!AC32)</f>
        <v>0</v>
      </c>
      <c r="L38" s="490"/>
      <c r="M38" s="22"/>
      <c r="N38" s="11"/>
      <c r="P38" s="32"/>
    </row>
    <row r="39" spans="1:30" s="12" customFormat="1" ht="15.6" customHeight="1" x14ac:dyDescent="0.2">
      <c r="A39" s="490">
        <v>30</v>
      </c>
      <c r="B39" s="686">
        <f>IF('[1]Plant Data'!D33="","",'[1]Plant Data'!D33)</f>
        <v>2.0911594743675459</v>
      </c>
      <c r="C39" s="526">
        <f>IF('[1]Plant Data'!B33="","",'[1]Plant Data'!B33)</f>
        <v>22.774570000000001</v>
      </c>
      <c r="D39" s="478" t="str">
        <f>IF([2]alk_pH_Cl2!B33="","",[2]alk_pH_Cl2!B33)</f>
        <v/>
      </c>
      <c r="E39" s="502" t="str">
        <f>IF([2]alk_pH_Cl2!C33="","",[2]alk_pH_Cl2!C33)</f>
        <v/>
      </c>
      <c r="F39" s="489">
        <f>IF('[1]Plant Data'!AF33="","",'[1]Plant Data'!AF33*0.62)</f>
        <v>1074.0587930486124</v>
      </c>
      <c r="G39" s="511">
        <f>IF('7 day'!AH41="","",('7 day'!AH41-32)*(5/9))</f>
        <v>16.093633333333333</v>
      </c>
      <c r="H39" s="683" t="str">
        <f>IF('7 day'!AI41="","",('7 day'!AI41-32)*(5/9))</f>
        <v/>
      </c>
      <c r="I39" s="684" t="str">
        <f>IF(H39="","",(H39-20)*('7 day'!AK41*3.785))</f>
        <v/>
      </c>
      <c r="J39" s="1229">
        <f>IF('[1]Plant Data'!S33="","",'[1]Plant Data'!S33)</f>
        <v>0</v>
      </c>
      <c r="K39" s="1229">
        <f>IF('[1]Plant Data'!AC33="","",'[1]Plant Data'!AC33)</f>
        <v>0</v>
      </c>
      <c r="L39" s="490"/>
      <c r="M39" s="22"/>
      <c r="N39" s="11"/>
      <c r="O39" s="207"/>
      <c r="P39" s="32"/>
    </row>
    <row r="40" spans="1:30" s="640" customFormat="1" ht="15.6" customHeight="1" thickBot="1" x14ac:dyDescent="0.3">
      <c r="A40" s="490">
        <v>31</v>
      </c>
      <c r="B40" s="686">
        <f>IF('[1]Plant Data'!D34="","",'[1]Plant Data'!D34)</f>
        <v>1.8187763937499992</v>
      </c>
      <c r="C40" s="526">
        <f>IF('[1]Plant Data'!B34="","",'[1]Plant Data'!B34)</f>
        <v>22.7849</v>
      </c>
      <c r="D40" s="478" t="str">
        <f>IF([2]alk_pH_Cl2!B34="","",[2]alk_pH_Cl2!B34)</f>
        <v/>
      </c>
      <c r="E40" s="502" t="str">
        <f>IF([2]alk_pH_Cl2!C34="","",[2]alk_pH_Cl2!C34)</f>
        <v/>
      </c>
      <c r="F40" s="489">
        <f>IF('[1]Plant Data'!AF34="","",'[1]Plant Data'!AF34*0.62)</f>
        <v>1217.9601147083354</v>
      </c>
      <c r="G40" s="511">
        <f>IF('7 day'!AH42="","",('7 day'!AH42-32)*(5/9))</f>
        <v>16.199461111111113</v>
      </c>
      <c r="H40" s="683" t="str">
        <f>IF('7 day'!AI42="","",('7 day'!AI42-32)*(5/9))</f>
        <v/>
      </c>
      <c r="I40" s="684" t="str">
        <f>IF(H40="","",(H40-20)*('7 day'!AK42*3.785))</f>
        <v/>
      </c>
      <c r="J40" s="1229">
        <f>IF('[1]Plant Data'!S34="","",'[1]Plant Data'!S34)</f>
        <v>0</v>
      </c>
      <c r="K40" s="1229">
        <f>IF('[1]Plant Data'!AC34="","",'[1]Plant Data'!AC34)</f>
        <v>0</v>
      </c>
      <c r="L40" s="490"/>
      <c r="M40" s="637"/>
      <c r="N40" s="641"/>
      <c r="O40" s="641"/>
      <c r="P40" s="639"/>
    </row>
    <row r="41" spans="1:30" ht="15.95" customHeight="1" x14ac:dyDescent="0.2">
      <c r="A41" s="492" t="s">
        <v>494</v>
      </c>
      <c r="B41" s="496">
        <f>MAX(B10:B40)</f>
        <v>108.7989178413245</v>
      </c>
      <c r="C41" s="512">
        <f>MAX(C10:C40)</f>
        <v>63.423909999999999</v>
      </c>
      <c r="D41" s="485"/>
      <c r="E41" s="512"/>
      <c r="F41" s="495">
        <f t="shared" ref="F41:K41" si="0">MAX(F10:F40)</f>
        <v>2364.6024243400684</v>
      </c>
      <c r="G41" s="513">
        <f t="shared" si="0"/>
        <v>16.675872222222225</v>
      </c>
      <c r="H41" s="514">
        <f t="shared" si="0"/>
        <v>16.102390476190472</v>
      </c>
      <c r="I41" s="676">
        <f t="shared" si="0"/>
        <v>-1012.1387518456368</v>
      </c>
      <c r="J41" s="693">
        <f t="shared" si="0"/>
        <v>17.341666666666665</v>
      </c>
      <c r="K41" s="693">
        <f t="shared" si="0"/>
        <v>16.666666666666668</v>
      </c>
      <c r="L41" s="477"/>
      <c r="M41" s="11"/>
      <c r="N41" s="1"/>
      <c r="O41" s="207"/>
      <c r="P41" s="5"/>
    </row>
    <row r="42" spans="1:30" ht="15.95" customHeight="1" x14ac:dyDescent="0.25">
      <c r="A42" s="499" t="s">
        <v>495</v>
      </c>
      <c r="B42" s="482">
        <f>MIN(B10:B40)</f>
        <v>1.8129022875632517</v>
      </c>
      <c r="C42" s="503"/>
      <c r="D42" s="491"/>
      <c r="E42" s="503"/>
      <c r="F42" s="515">
        <f>MIN(F10:F40)</f>
        <v>882.211422268055</v>
      </c>
      <c r="G42" s="516"/>
      <c r="H42" s="517"/>
      <c r="I42" s="677">
        <f>IF(MIN(I10:I40)=0,"",MIN(I10:I40))</f>
        <v>-1510.687735763513</v>
      </c>
      <c r="J42" s="694">
        <f>MIN(J10:J40)</f>
        <v>0</v>
      </c>
      <c r="K42" s="694">
        <f>MIN(K10:K40)</f>
        <v>0</v>
      </c>
      <c r="L42" s="580"/>
      <c r="M42" s="11"/>
      <c r="N42" s="1"/>
      <c r="O42" s="207"/>
      <c r="P42" s="5"/>
    </row>
    <row r="43" spans="1:30" ht="15.95" customHeight="1" x14ac:dyDescent="0.2">
      <c r="A43" s="499" t="s">
        <v>497</v>
      </c>
      <c r="B43" s="482">
        <f>SUM(B10:B40)</f>
        <v>410.93017328357985</v>
      </c>
      <c r="C43" s="503"/>
      <c r="D43" s="478"/>
      <c r="E43" s="480"/>
      <c r="F43" s="481">
        <f>SUM(F10:F40)</f>
        <v>37588.529374703539</v>
      </c>
      <c r="G43" s="516"/>
      <c r="H43" s="518"/>
      <c r="I43" s="677"/>
      <c r="J43" s="694">
        <f>SUM(J10:J40)</f>
        <v>61.574999999999996</v>
      </c>
      <c r="K43" s="694">
        <f>SUM(K10:K40)</f>
        <v>40.350000000000009</v>
      </c>
      <c r="L43" s="490"/>
      <c r="M43" s="11"/>
      <c r="N43" s="1"/>
      <c r="O43" s="125"/>
      <c r="P43" s="5"/>
    </row>
    <row r="44" spans="1:30" ht="15.95" customHeight="1" thickBot="1" x14ac:dyDescent="0.25">
      <c r="A44" s="504" t="s">
        <v>496</v>
      </c>
      <c r="B44" s="508">
        <f>IF(ISERROR(AVERAGE(B10:B40)),"",AVERAGE(B10:B40))</f>
        <v>13.255812041405802</v>
      </c>
      <c r="C44" s="519"/>
      <c r="D44" s="505">
        <f>IF(ISERROR(AVERAGE(D10:D40)),"",AVERAGE(D10:D40))</f>
        <v>172</v>
      </c>
      <c r="E44" s="507" t="str">
        <f>IF(ISERROR(AVERAGE(E10:E40)),"",AVERAGE(E10:E40))</f>
        <v/>
      </c>
      <c r="F44" s="506">
        <f>IF(ISERROR(AVERAGE(F10:F40)),"",AVERAGE(F10:F40))</f>
        <v>1212.5332056355981</v>
      </c>
      <c r="G44" s="520"/>
      <c r="H44" s="521">
        <f>IF(ISERROR(AVERAGE(H10:H40)),"",AVERAGE(H10:H40))</f>
        <v>15.759757738095237</v>
      </c>
      <c r="I44" s="678">
        <f>IF(ISERROR(AVERAGE(I10:I40)),"",AVERAGE(I10:I40))</f>
        <v>-1265.2742720160991</v>
      </c>
      <c r="J44" s="695">
        <f>IF(ISERROR(AVERAGE(J10:J40)),"",AVERAGE(J10:J40))</f>
        <v>1.986290322580645</v>
      </c>
      <c r="K44" s="695">
        <f>IF(ISERROR(AVERAGE(K10:K40)),"",AVERAGE(K10:K40))</f>
        <v>1.3016129032258068</v>
      </c>
      <c r="L44" s="581" t="s">
        <v>819</v>
      </c>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76" t="s">
        <v>782</v>
      </c>
      <c r="B46" s="1576"/>
      <c r="C46" s="1576"/>
      <c r="D46" s="1576"/>
      <c r="E46" s="1576"/>
      <c r="F46" s="7"/>
      <c r="H46" s="1577" t="s">
        <v>824</v>
      </c>
      <c r="I46" s="1577"/>
      <c r="J46" s="1577"/>
      <c r="K46" s="1577"/>
      <c r="L46" s="1577"/>
      <c r="M46" s="7"/>
      <c r="N46" s="7"/>
      <c r="O46" s="1548"/>
      <c r="P46" s="31"/>
    </row>
    <row r="47" spans="1:30" s="8" customFormat="1" ht="21" customHeight="1" x14ac:dyDescent="0.2">
      <c r="A47" s="1576"/>
      <c r="B47" s="1576"/>
      <c r="C47" s="1576"/>
      <c r="D47" s="1576"/>
      <c r="E47" s="1576"/>
      <c r="F47" s="7"/>
      <c r="H47" s="1569" t="s">
        <v>825</v>
      </c>
      <c r="I47" s="1569"/>
      <c r="J47" s="1569"/>
      <c r="K47" s="1569"/>
      <c r="L47" s="1569"/>
      <c r="M47" s="7"/>
      <c r="N47" s="7"/>
      <c r="O47" s="1548"/>
      <c r="P47" s="31"/>
    </row>
    <row r="48" spans="1:30" s="8" customFormat="1" ht="21" customHeight="1" x14ac:dyDescent="0.2">
      <c r="A48" s="1576"/>
      <c r="B48" s="1576"/>
      <c r="C48" s="1576"/>
      <c r="D48" s="1576"/>
      <c r="E48" s="1576"/>
      <c r="F48" s="7"/>
      <c r="H48" s="1569" t="s">
        <v>784</v>
      </c>
      <c r="I48" s="1569"/>
      <c r="J48" s="1569"/>
      <c r="K48" s="1569"/>
      <c r="L48" s="1569"/>
      <c r="M48" s="7"/>
      <c r="N48" s="7"/>
      <c r="O48" s="12"/>
      <c r="P48" s="31"/>
    </row>
    <row r="49" spans="1:15" ht="21" customHeight="1" x14ac:dyDescent="0.2">
      <c r="A49" s="1576"/>
      <c r="B49" s="1576"/>
      <c r="C49" s="1576"/>
      <c r="D49" s="1576"/>
      <c r="E49" s="1576"/>
      <c r="F49" s="7"/>
      <c r="G49" s="7"/>
      <c r="H49" s="7"/>
      <c r="I49" s="7"/>
      <c r="J49" s="8"/>
      <c r="K49" s="7"/>
      <c r="O49" s="207"/>
    </row>
    <row r="50" spans="1:15" ht="21" customHeight="1" x14ac:dyDescent="0.2">
      <c r="A50" s="1576"/>
      <c r="B50" s="1576"/>
      <c r="C50" s="1576"/>
      <c r="D50" s="1576"/>
      <c r="E50" s="1576"/>
      <c r="H50"/>
      <c r="I50"/>
      <c r="J50"/>
      <c r="K50"/>
      <c r="O50" s="206"/>
    </row>
    <row r="51" spans="1:15" ht="21" customHeight="1" x14ac:dyDescent="0.2">
      <c r="A51" s="1576"/>
      <c r="B51" s="1576"/>
      <c r="C51" s="1576"/>
      <c r="D51" s="1576"/>
      <c r="E51" s="1576"/>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D46"/>
  <sheetViews>
    <sheetView showGridLines="0" zoomScaleNormal="100" zoomScaleSheetLayoutView="70" workbookViewId="0">
      <selection activeCell="P47" sqref="P47:T47"/>
    </sheetView>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23" ht="21" customHeight="1" x14ac:dyDescent="0.2">
      <c r="B1" s="7"/>
      <c r="C1" s="7"/>
      <c r="D1" s="7"/>
      <c r="E1" s="7"/>
      <c r="F1" s="7"/>
      <c r="G1" s="7"/>
      <c r="H1" s="7"/>
      <c r="I1" s="7"/>
      <c r="J1" s="7"/>
      <c r="K1" s="7"/>
    </row>
    <row r="2" spans="1:23" ht="21" customHeight="1" x14ac:dyDescent="0.2">
      <c r="A2" s="1569" t="s">
        <v>778</v>
      </c>
      <c r="B2" s="1569"/>
      <c r="C2" s="7"/>
      <c r="D2" s="7"/>
      <c r="I2" s="1593" t="s">
        <v>499</v>
      </c>
      <c r="J2" s="1593"/>
      <c r="K2" s="1593"/>
    </row>
    <row r="3" spans="1:23" ht="21" customHeight="1" thickBot="1" x14ac:dyDescent="0.3">
      <c r="A3" s="1437" t="s">
        <v>779</v>
      </c>
      <c r="B3" s="1437"/>
      <c r="C3" s="1596">
        <f>date!B6</f>
        <v>43466</v>
      </c>
      <c r="D3" s="1596"/>
      <c r="E3" s="1596"/>
      <c r="F3" s="1596"/>
      <c r="G3" s="1596"/>
      <c r="H3" s="1596"/>
      <c r="I3" s="1594" t="s">
        <v>500</v>
      </c>
      <c r="J3" s="1594"/>
      <c r="K3" s="1594"/>
    </row>
    <row r="4" spans="1:23" ht="30" customHeight="1" x14ac:dyDescent="0.2"/>
    <row r="5" spans="1:23" s="28" customFormat="1" ht="21" customHeight="1" thickBot="1" x14ac:dyDescent="0.35">
      <c r="C5" s="320" t="s">
        <v>58</v>
      </c>
    </row>
    <row r="6" spans="1:23" ht="21" customHeight="1" thickBot="1" x14ac:dyDescent="0.3">
      <c r="B6" s="1428" t="s">
        <v>512</v>
      </c>
      <c r="C6" s="1471" t="str">
        <f>IF([2]Nutrients!D7="","",[2]Nutrients!D7)</f>
        <v/>
      </c>
      <c r="D6" s="1471" t="str">
        <f>IF([2]Nutrients!E7="","",[2]Nutrients!E7)</f>
        <v/>
      </c>
      <c r="E6" s="1471" t="str">
        <f>IF([2]Nutrients!F7="","",[2]Nutrients!F7)</f>
        <v/>
      </c>
      <c r="F6" s="1471" t="str">
        <f>IF([2]Nutrients!G7="","",[2]Nutrients!G7)</f>
        <v/>
      </c>
      <c r="G6" s="1471" t="str">
        <f>IF([2]Nutrients!H7="","",[2]Nutrients!H7)</f>
        <v/>
      </c>
      <c r="H6" s="1473" t="s">
        <v>517</v>
      </c>
      <c r="I6" s="1428" t="s">
        <v>494</v>
      </c>
      <c r="J6" s="1428" t="s">
        <v>537</v>
      </c>
      <c r="K6" s="602"/>
      <c r="L6" s="602"/>
    </row>
    <row r="7" spans="1:23" ht="21" customHeight="1" x14ac:dyDescent="0.25">
      <c r="B7" s="584" t="s">
        <v>573</v>
      </c>
      <c r="C7" s="587" t="str">
        <f>IF([2]Nutrients!D8="","",[2]Nutrients!D8)</f>
        <v/>
      </c>
      <c r="D7" s="588" t="str">
        <f>IF([2]Nutrients!E8="","",[2]Nutrients!E8)</f>
        <v/>
      </c>
      <c r="E7" s="588" t="str">
        <f>IF([2]Nutrients!F8="","",[2]Nutrients!F8)</f>
        <v/>
      </c>
      <c r="F7" s="588" t="str">
        <f>IF([2]Nutrients!G8="","",[2]Nutrients!G8)</f>
        <v/>
      </c>
      <c r="G7" s="588" t="str">
        <f>IF([2]Nutrients!H8="","",[2]Nutrients!H8)</f>
        <v/>
      </c>
      <c r="H7" s="589" t="str">
        <f>IF(SUM(C7:G7)&lt;0.001,"",AVERAGE(C7:G7))</f>
        <v/>
      </c>
      <c r="I7" s="590" t="str">
        <f>IF(SUM(C7:G7)&lt;0.001,"",MAX(C7:G7))</f>
        <v/>
      </c>
      <c r="J7" s="1399"/>
      <c r="K7" s="602"/>
      <c r="L7" s="602"/>
    </row>
    <row r="8" spans="1:23" ht="21" customHeight="1" x14ac:dyDescent="0.25">
      <c r="B8" s="585" t="s">
        <v>574</v>
      </c>
      <c r="C8" s="591" t="str">
        <f>IF([2]Nutrients!D22="","",[2]Nutrients!D22)</f>
        <v/>
      </c>
      <c r="D8" s="592" t="str">
        <f>IF([2]Nutrients!E22="","",[2]Nutrients!E22)</f>
        <v/>
      </c>
      <c r="E8" s="592" t="str">
        <f>IF([2]Nutrients!F22="","",[2]Nutrients!F22)</f>
        <v/>
      </c>
      <c r="F8" s="592" t="str">
        <f>IF([2]Nutrients!G22="","",[2]Nutrients!G22)</f>
        <v/>
      </c>
      <c r="G8" s="592" t="str">
        <f>IF([2]Nutrients!H22="","",[2]Nutrients!H22)</f>
        <v/>
      </c>
      <c r="H8" s="593" t="str">
        <f t="shared" ref="H8:H10" si="0">IF(SUM(C8:G8)&lt;0.001,"",AVERAGE(C8:G8))</f>
        <v/>
      </c>
      <c r="I8" s="594" t="str">
        <f t="shared" ref="I8:I10" si="1">IF(SUM(C8:G8)&lt;0.001,"",MAX(C8:G8))</f>
        <v/>
      </c>
      <c r="J8" s="1400"/>
      <c r="K8" s="602"/>
      <c r="L8" s="602"/>
    </row>
    <row r="9" spans="1:23" ht="21" customHeight="1" x14ac:dyDescent="0.25">
      <c r="B9" s="585" t="s">
        <v>513</v>
      </c>
      <c r="C9" s="591" t="str">
        <f>IF([2]Nutrients!D11="","",[2]Nutrients!D11)</f>
        <v/>
      </c>
      <c r="D9" s="592" t="str">
        <f>IF([2]Nutrients!E11="","",[2]Nutrients!E11)</f>
        <v/>
      </c>
      <c r="E9" s="592" t="str">
        <f>IF([2]Nutrients!F11="","",[2]Nutrients!F11)</f>
        <v/>
      </c>
      <c r="F9" s="592" t="str">
        <f>IF([2]Nutrients!G11="","",[2]Nutrients!G11)</f>
        <v/>
      </c>
      <c r="G9" s="592" t="str">
        <f>IF([2]Nutrients!H11="","",[2]Nutrients!H11)</f>
        <v/>
      </c>
      <c r="H9" s="593" t="str">
        <f t="shared" si="0"/>
        <v/>
      </c>
      <c r="I9" s="594" t="str">
        <f t="shared" si="1"/>
        <v/>
      </c>
      <c r="J9" s="1400"/>
      <c r="K9" s="602"/>
      <c r="L9" s="602"/>
    </row>
    <row r="10" spans="1:23" ht="21" customHeight="1" thickBot="1" x14ac:dyDescent="0.3">
      <c r="B10" s="586" t="s">
        <v>575</v>
      </c>
      <c r="C10" s="599" t="str">
        <f>IF([2]Nutrients!D12="","",[2]Nutrients!D12)</f>
        <v/>
      </c>
      <c r="D10" s="596" t="str">
        <f>IF([2]Nutrients!E12="","",[2]Nutrients!E12)</f>
        <v/>
      </c>
      <c r="E10" s="596" t="str">
        <f>IF([2]Nutrients!F12="","",[2]Nutrients!F12)</f>
        <v/>
      </c>
      <c r="F10" s="600" t="str">
        <f>IF([2]Nutrients!G12="","",[2]Nutrients!G12)</f>
        <v/>
      </c>
      <c r="G10" s="600" t="str">
        <f>IF([2]Nutrients!H12="","",[2]Nutrients!H12)</f>
        <v/>
      </c>
      <c r="H10" s="597" t="str">
        <f t="shared" si="0"/>
        <v/>
      </c>
      <c r="I10" s="598" t="str">
        <f t="shared" si="1"/>
        <v/>
      </c>
      <c r="J10" s="1401"/>
      <c r="K10" s="602"/>
      <c r="L10" s="602"/>
    </row>
    <row r="11" spans="1:23" ht="21" customHeight="1" x14ac:dyDescent="0.25">
      <c r="K11" s="616"/>
      <c r="L11" s="602"/>
      <c r="M11" s="602"/>
      <c r="N11" s="1591"/>
      <c r="O11" s="1591"/>
      <c r="P11" s="1591"/>
      <c r="Q11" s="1591"/>
      <c r="R11" s="1591"/>
      <c r="S11" s="1591"/>
      <c r="T11" s="1591"/>
      <c r="U11" s="1591"/>
      <c r="V11" s="1591"/>
      <c r="W11" s="1591"/>
    </row>
    <row r="12" spans="1:23" ht="21" customHeight="1" thickBot="1" x14ac:dyDescent="0.35">
      <c r="B12" s="28"/>
      <c r="C12" s="320" t="s">
        <v>59</v>
      </c>
      <c r="E12" s="28"/>
      <c r="F12" s="28"/>
      <c r="G12" s="28"/>
      <c r="H12" s="28"/>
      <c r="I12" s="28"/>
      <c r="K12" s="616"/>
      <c r="L12" s="602"/>
      <c r="M12" s="602"/>
      <c r="N12" s="1591"/>
      <c r="O12" s="1591"/>
      <c r="P12" s="1591"/>
      <c r="Q12" s="1591"/>
      <c r="R12" s="1591"/>
      <c r="S12" s="1591"/>
      <c r="T12" s="1591"/>
      <c r="U12" s="1591"/>
      <c r="V12" s="1591"/>
      <c r="W12" s="1591"/>
    </row>
    <row r="13" spans="1:23" s="305" customFormat="1" ht="21" customHeight="1" thickBot="1" x14ac:dyDescent="0.3">
      <c r="B13" s="1428" t="s">
        <v>512</v>
      </c>
      <c r="C13" s="1471" t="str">
        <f>IF([2]Nutrients!$D$31="","",[2]Nutrients!$D$31)</f>
        <v/>
      </c>
      <c r="D13" s="1472" t="str">
        <f>IF([2]Nutrients!$E$31="","",[2]Nutrients!$E$31)</f>
        <v/>
      </c>
      <c r="E13" s="1471" t="str">
        <f>IF([2]Nutrients!$F$31="","",[2]Nutrients!$F$31)</f>
        <v/>
      </c>
      <c r="F13" s="1471" t="str">
        <f>IF([2]Nutrients!$G$31="","",[2]Nutrients!$G$31)</f>
        <v/>
      </c>
      <c r="G13" s="1471" t="str">
        <f>IF([2]Nutrients!$H$31="","",[2]Nutrients!$H$31)</f>
        <v/>
      </c>
      <c r="H13" s="1473" t="s">
        <v>517</v>
      </c>
      <c r="I13" s="1428" t="s">
        <v>494</v>
      </c>
      <c r="J13" s="1428" t="s">
        <v>537</v>
      </c>
      <c r="K13" s="304"/>
      <c r="L13" s="304"/>
      <c r="M13" s="304"/>
      <c r="N13" s="1592"/>
      <c r="O13" s="1592"/>
      <c r="P13" s="1592"/>
      <c r="Q13" s="1592"/>
      <c r="R13" s="1592"/>
      <c r="S13" s="1592"/>
      <c r="T13" s="1592"/>
      <c r="U13" s="1592"/>
      <c r="V13" s="1592"/>
      <c r="W13" s="1592"/>
    </row>
    <row r="14" spans="1:23" s="309" customFormat="1" ht="21" customHeight="1" x14ac:dyDescent="0.25">
      <c r="B14" s="584" t="s">
        <v>573</v>
      </c>
      <c r="C14" s="587" t="str">
        <f>IF([2]Nutrients!D32="","",[2]Nutrients!D32)</f>
        <v/>
      </c>
      <c r="D14" s="588" t="str">
        <f>IF([2]Nutrients!E32="","",[2]Nutrients!E32)</f>
        <v/>
      </c>
      <c r="E14" s="588" t="str">
        <f>IF([2]Nutrients!F32="","",[2]Nutrients!F32)</f>
        <v/>
      </c>
      <c r="F14" s="588" t="str">
        <f>IF([2]Nutrients!G32="","",[2]Nutrients!G32)</f>
        <v/>
      </c>
      <c r="G14" s="588" t="str">
        <f>IF([2]Nutrients!H32="","",[2]Nutrients!H32)</f>
        <v/>
      </c>
      <c r="H14" s="1384" t="str">
        <f>IF(SUM(C14:G14)&lt;0.001,"",AVERAGE(C14:G14))</f>
        <v/>
      </c>
      <c r="I14" s="1381" t="str">
        <f>IF(SUM(C14:G14)&lt;0.001,"",MAX(C14:G14))</f>
        <v/>
      </c>
      <c r="J14" s="1399"/>
      <c r="K14" s="603"/>
      <c r="L14" s="602"/>
      <c r="M14" s="602"/>
      <c r="N14" s="1591"/>
      <c r="O14" s="1591"/>
      <c r="P14" s="1591"/>
      <c r="Q14" s="1591"/>
      <c r="R14" s="1591"/>
      <c r="S14" s="1591"/>
      <c r="T14" s="1591"/>
      <c r="U14" s="1591"/>
      <c r="V14" s="1591"/>
      <c r="W14" s="1591"/>
    </row>
    <row r="15" spans="1:23" ht="21" customHeight="1" x14ac:dyDescent="0.25">
      <c r="B15" s="585" t="s">
        <v>574</v>
      </c>
      <c r="C15" s="591" t="str">
        <f>IF([2]Nutrients!D46="","",[2]Nutrients!D46)</f>
        <v/>
      </c>
      <c r="D15" s="592" t="str">
        <f>IF([2]Nutrients!E46="","",[2]Nutrients!E46)</f>
        <v/>
      </c>
      <c r="E15" s="592" t="str">
        <f>IF([2]Nutrients!F46="","",[2]Nutrients!F46)</f>
        <v/>
      </c>
      <c r="F15" s="592" t="str">
        <f>IF([2]Nutrients!G46="","",[2]Nutrients!G46)</f>
        <v/>
      </c>
      <c r="G15" s="592" t="str">
        <f>IF([2]Nutrients!H46="","",[2]Nutrients!H46)</f>
        <v/>
      </c>
      <c r="H15" s="1385" t="str">
        <f t="shared" ref="H15:H17" si="2">IF(SUM(C15:G15)&lt;0.001,"",AVERAGE(C15:G15))</f>
        <v/>
      </c>
      <c r="I15" s="1382" t="str">
        <f t="shared" ref="I15:I17" si="3">IF(SUM(C15:G15)&lt;0.001,"",MAX(C15:G15))</f>
        <v/>
      </c>
      <c r="J15" s="1400"/>
      <c r="K15" s="601"/>
      <c r="L15" s="602"/>
      <c r="M15" s="602"/>
      <c r="N15" s="1591"/>
      <c r="O15" s="1591"/>
      <c r="P15" s="1591"/>
      <c r="Q15" s="1591"/>
      <c r="R15" s="1591"/>
      <c r="S15" s="1591"/>
      <c r="T15" s="1591"/>
      <c r="U15" s="1591"/>
      <c r="V15" s="1591"/>
      <c r="W15" s="1591"/>
    </row>
    <row r="16" spans="1:23" ht="21" customHeight="1" x14ac:dyDescent="0.25">
      <c r="B16" s="585" t="s">
        <v>513</v>
      </c>
      <c r="C16" s="591" t="str">
        <f>IF([2]Nutrients!D35="","",[2]Nutrients!D35)</f>
        <v/>
      </c>
      <c r="D16" s="592" t="str">
        <f>IF([2]Nutrients!E35="","",[2]Nutrients!E35)</f>
        <v/>
      </c>
      <c r="E16" s="592" t="str">
        <f>IF([2]Nutrients!F35="","",[2]Nutrients!F35)</f>
        <v/>
      </c>
      <c r="F16" s="592" t="str">
        <f>IF([2]Nutrients!G35="","",[2]Nutrients!G35)</f>
        <v/>
      </c>
      <c r="G16" s="592" t="str">
        <f>IF([2]Nutrients!H35="","",[2]Nutrients!H35)</f>
        <v/>
      </c>
      <c r="H16" s="1385" t="str">
        <f t="shared" si="2"/>
        <v/>
      </c>
      <c r="I16" s="1382" t="str">
        <f t="shared" si="3"/>
        <v/>
      </c>
      <c r="J16" s="1400"/>
      <c r="K16" s="604"/>
      <c r="L16" s="602"/>
      <c r="M16" s="602"/>
      <c r="N16" s="1591"/>
      <c r="O16" s="1591"/>
      <c r="P16" s="1591"/>
      <c r="Q16" s="1591"/>
      <c r="R16" s="1591"/>
      <c r="S16" s="1591"/>
      <c r="T16" s="1591"/>
      <c r="U16" s="1591"/>
      <c r="V16" s="1591"/>
      <c r="W16" s="1591"/>
    </row>
    <row r="17" spans="1:30" ht="21" customHeight="1" thickBot="1" x14ac:dyDescent="0.3">
      <c r="B17" s="586" t="s">
        <v>575</v>
      </c>
      <c r="C17" s="595" t="str">
        <f>IF([2]Nutrients!D36="","",[2]Nutrients!D36)</f>
        <v/>
      </c>
      <c r="D17" s="596" t="str">
        <f>IF([2]Nutrients!E36="","",[2]Nutrients!E36)</f>
        <v/>
      </c>
      <c r="E17" s="596" t="str">
        <f>IF([2]Nutrients!F36="","",[2]Nutrients!F36)</f>
        <v/>
      </c>
      <c r="F17" s="596" t="str">
        <f>IF([2]Nutrients!G36="","",[2]Nutrients!G36)</f>
        <v/>
      </c>
      <c r="G17" s="596" t="str">
        <f>IF([2]Nutrients!H36="","",[2]Nutrients!H36)</f>
        <v/>
      </c>
      <c r="H17" s="1386" t="str">
        <f t="shared" si="2"/>
        <v/>
      </c>
      <c r="I17" s="1383" t="str">
        <f t="shared" si="3"/>
        <v/>
      </c>
      <c r="J17" s="1401"/>
      <c r="K17" s="604"/>
      <c r="L17" s="602"/>
      <c r="M17" s="602"/>
      <c r="N17" s="1591"/>
      <c r="O17" s="1591"/>
      <c r="P17" s="1591"/>
      <c r="Q17" s="1591"/>
      <c r="R17" s="1591"/>
      <c r="S17" s="1591"/>
      <c r="T17" s="1591"/>
      <c r="U17" s="1591"/>
      <c r="V17" s="1591"/>
      <c r="W17" s="1591"/>
    </row>
    <row r="18" spans="1:30" ht="21" customHeight="1" x14ac:dyDescent="0.25">
      <c r="A18" s="1"/>
      <c r="B18" s="1"/>
      <c r="C18" s="1"/>
      <c r="D18" s="310"/>
      <c r="E18" s="311"/>
      <c r="F18" s="311"/>
      <c r="G18" s="311"/>
      <c r="H18" s="311"/>
      <c r="I18" s="604"/>
      <c r="J18" s="604"/>
      <c r="K18" s="604"/>
      <c r="N18" s="1"/>
      <c r="O18" s="1"/>
      <c r="P18" s="1"/>
      <c r="Q18" s="1"/>
      <c r="R18" s="1"/>
      <c r="S18" s="1"/>
      <c r="T18" s="1"/>
      <c r="U18" s="1"/>
      <c r="V18" s="1"/>
      <c r="W18" s="1"/>
    </row>
    <row r="19" spans="1:30" ht="21" customHeight="1" x14ac:dyDescent="0.25">
      <c r="A19" s="1601" t="s">
        <v>218</v>
      </c>
      <c r="B19" s="1601"/>
      <c r="C19" s="1601"/>
      <c r="D19" s="1601"/>
      <c r="E19" s="1601"/>
      <c r="F19" s="1601"/>
      <c r="G19" s="1601"/>
      <c r="H19" s="1601"/>
      <c r="I19" s="1601"/>
      <c r="J19" s="1601"/>
      <c r="K19" s="1601"/>
      <c r="U19" s="1591"/>
      <c r="V19" s="1591"/>
      <c r="W19" s="1591"/>
      <c r="X19" s="1591"/>
      <c r="Y19" s="1591"/>
      <c r="Z19" s="1591"/>
      <c r="AA19" s="1591"/>
      <c r="AB19" s="1591"/>
      <c r="AC19" s="1591"/>
      <c r="AD19" s="1591"/>
    </row>
    <row r="20" spans="1:30" ht="24" customHeight="1" x14ac:dyDescent="0.2">
      <c r="A20" s="1545" t="s">
        <v>806</v>
      </c>
      <c r="B20" s="1603" t="s">
        <v>818</v>
      </c>
      <c r="C20" s="1603"/>
      <c r="D20" s="1603"/>
      <c r="E20" s="1603"/>
      <c r="F20" s="1603"/>
      <c r="G20" s="1603"/>
      <c r="H20" s="1603"/>
      <c r="I20" s="1603"/>
      <c r="J20" s="1603"/>
      <c r="K20" s="1603"/>
      <c r="U20" s="1592"/>
      <c r="V20" s="1592"/>
      <c r="W20" s="1592"/>
      <c r="X20" s="1592"/>
      <c r="Y20" s="1592"/>
      <c r="Z20" s="1592"/>
      <c r="AA20" s="1592"/>
      <c r="AB20" s="1592"/>
      <c r="AC20" s="1592"/>
      <c r="AD20" s="1592"/>
    </row>
    <row r="21" spans="1:30" ht="24" customHeight="1" x14ac:dyDescent="0.2">
      <c r="A21" s="1545" t="s">
        <v>807</v>
      </c>
      <c r="B21" s="1603" t="s">
        <v>817</v>
      </c>
      <c r="C21" s="1603"/>
      <c r="D21" s="1603"/>
      <c r="E21" s="1603"/>
      <c r="F21" s="1603"/>
      <c r="G21" s="1603"/>
      <c r="H21" s="1603"/>
      <c r="I21" s="1603"/>
      <c r="J21" s="1603"/>
      <c r="K21" s="1603"/>
      <c r="U21" s="1"/>
      <c r="V21" s="1"/>
      <c r="W21" s="1"/>
      <c r="X21" s="1"/>
      <c r="Y21" s="1"/>
      <c r="Z21" s="1"/>
      <c r="AA21" s="1"/>
      <c r="AB21" s="1"/>
      <c r="AC21" s="1"/>
      <c r="AD21" s="1"/>
    </row>
    <row r="22" spans="1:30" ht="24" customHeight="1" x14ac:dyDescent="0.2">
      <c r="A22" s="1545" t="s">
        <v>808</v>
      </c>
      <c r="B22" s="1598" t="s">
        <v>816</v>
      </c>
      <c r="C22" s="1599"/>
      <c r="D22" s="1599"/>
      <c r="E22" s="1599"/>
      <c r="F22" s="1599"/>
      <c r="G22" s="1599"/>
      <c r="H22" s="1599"/>
      <c r="I22" s="1599"/>
      <c r="J22" s="1599"/>
      <c r="K22" s="1600"/>
    </row>
    <row r="23" spans="1:30" ht="34.5" customHeight="1" x14ac:dyDescent="0.2">
      <c r="A23" s="1545" t="s">
        <v>821</v>
      </c>
      <c r="B23" s="1598" t="s">
        <v>823</v>
      </c>
      <c r="C23" s="1599"/>
      <c r="D23" s="1599"/>
      <c r="E23" s="1599"/>
      <c r="F23" s="1599"/>
      <c r="G23" s="1599"/>
      <c r="H23" s="1599"/>
      <c r="I23" s="1599"/>
      <c r="J23" s="1599"/>
      <c r="K23" s="1600"/>
    </row>
    <row r="24" spans="1:30" ht="24" customHeight="1" x14ac:dyDescent="0.2">
      <c r="A24" s="1545" t="s">
        <v>819</v>
      </c>
      <c r="B24" s="1598" t="s">
        <v>820</v>
      </c>
      <c r="C24" s="1599"/>
      <c r="D24" s="1599"/>
      <c r="E24" s="1599"/>
      <c r="F24" s="1599"/>
      <c r="G24" s="1599"/>
      <c r="H24" s="1599"/>
      <c r="I24" s="1599"/>
      <c r="J24" s="1599"/>
      <c r="K24" s="1600"/>
    </row>
    <row r="25" spans="1:30" ht="24" customHeight="1" x14ac:dyDescent="0.2">
      <c r="A25" s="1545"/>
      <c r="B25" s="1598"/>
      <c r="C25" s="1599"/>
      <c r="D25" s="1599"/>
      <c r="E25" s="1599"/>
      <c r="F25" s="1599"/>
      <c r="G25" s="1599"/>
      <c r="H25" s="1599"/>
      <c r="I25" s="1599"/>
      <c r="J25" s="1599"/>
      <c r="K25" s="1600"/>
    </row>
    <row r="26" spans="1:30" ht="24" customHeight="1" x14ac:dyDescent="0.2">
      <c r="A26" s="1545"/>
      <c r="B26" s="1602"/>
      <c r="C26" s="1602"/>
      <c r="D26" s="1602"/>
      <c r="E26" s="1602"/>
      <c r="F26" s="1602"/>
      <c r="G26" s="1602"/>
      <c r="H26" s="1602"/>
      <c r="I26" s="1602"/>
      <c r="J26" s="1602"/>
      <c r="K26" s="1602"/>
    </row>
    <row r="27" spans="1:30" ht="24" customHeight="1" x14ac:dyDescent="0.2">
      <c r="A27" s="1545"/>
      <c r="B27" s="1595"/>
      <c r="C27" s="1595"/>
      <c r="D27" s="1595"/>
      <c r="E27" s="1595"/>
      <c r="F27" s="1595"/>
      <c r="G27" s="1595"/>
      <c r="H27" s="1595"/>
      <c r="I27" s="1595"/>
      <c r="J27" s="1595"/>
      <c r="K27" s="1595"/>
    </row>
    <row r="28" spans="1:30" ht="30" customHeight="1" thickBot="1" x14ac:dyDescent="0.25">
      <c r="A28" s="20"/>
      <c r="B28" s="20"/>
      <c r="C28" s="20"/>
      <c r="D28" s="20"/>
      <c r="E28" s="20"/>
      <c r="F28" s="20"/>
      <c r="G28" s="20"/>
      <c r="H28" s="20"/>
      <c r="I28" s="20"/>
      <c r="J28" s="20"/>
      <c r="K28" s="20"/>
    </row>
    <row r="29" spans="1:30" ht="21" customHeight="1" x14ac:dyDescent="0.2">
      <c r="A29" s="1576" t="s">
        <v>782</v>
      </c>
      <c r="B29" s="1576"/>
      <c r="C29" s="1576"/>
      <c r="D29" s="1576"/>
      <c r="E29" s="7"/>
      <c r="F29" s="7"/>
      <c r="G29" s="1597" t="s">
        <v>824</v>
      </c>
      <c r="H29" s="1597"/>
      <c r="I29" s="1597"/>
      <c r="J29" s="1597"/>
      <c r="K29" s="1597"/>
    </row>
    <row r="30" spans="1:30" ht="21" customHeight="1" x14ac:dyDescent="0.2">
      <c r="A30" s="1576"/>
      <c r="B30" s="1576"/>
      <c r="C30" s="1576"/>
      <c r="D30" s="1576"/>
      <c r="E30" s="7"/>
      <c r="F30" s="7"/>
      <c r="G30" s="1597" t="s">
        <v>825</v>
      </c>
      <c r="H30" s="1597"/>
      <c r="I30" s="1597"/>
      <c r="J30" s="1597"/>
      <c r="K30" s="1597"/>
    </row>
    <row r="31" spans="1:30" ht="21" customHeight="1" x14ac:dyDescent="0.2">
      <c r="A31" s="1576"/>
      <c r="B31" s="1576"/>
      <c r="C31" s="1576"/>
      <c r="D31" s="1576"/>
      <c r="E31" s="7"/>
      <c r="F31" s="7"/>
      <c r="G31" s="1597" t="s">
        <v>784</v>
      </c>
      <c r="H31" s="1597"/>
      <c r="I31" s="1597"/>
      <c r="J31" s="1597"/>
      <c r="K31" s="1597"/>
    </row>
    <row r="32" spans="1:30" ht="21" customHeight="1" x14ac:dyDescent="0.2">
      <c r="A32" s="1576"/>
      <c r="B32" s="1576"/>
      <c r="C32" s="1576"/>
      <c r="D32" s="1576"/>
      <c r="E32" s="7"/>
      <c r="F32" s="7"/>
      <c r="G32" s="7"/>
      <c r="H32" s="7"/>
      <c r="I32" s="7"/>
      <c r="J32" s="8"/>
      <c r="K32" s="7"/>
    </row>
    <row r="33" spans="1:4" ht="21" customHeight="1" x14ac:dyDescent="0.2">
      <c r="A33" s="1576"/>
      <c r="B33" s="1576"/>
      <c r="C33" s="1576"/>
      <c r="D33" s="1576"/>
    </row>
    <row r="34" spans="1:4" ht="21" customHeight="1" x14ac:dyDescent="0.25">
      <c r="A34" s="308"/>
    </row>
    <row r="35" spans="1:4" ht="21" customHeight="1" x14ac:dyDescent="0.2">
      <c r="A35" s="1"/>
    </row>
    <row r="46" spans="1:4" ht="21" customHeight="1" x14ac:dyDescent="0.2">
      <c r="C46" s="369"/>
    </row>
  </sheetData>
  <mergeCells count="26">
    <mergeCell ref="B27:K27"/>
    <mergeCell ref="C3:H3"/>
    <mergeCell ref="A29:D33"/>
    <mergeCell ref="G29:K29"/>
    <mergeCell ref="G30:K30"/>
    <mergeCell ref="G31:K31"/>
    <mergeCell ref="B23:K23"/>
    <mergeCell ref="B22:K22"/>
    <mergeCell ref="B24:K24"/>
    <mergeCell ref="B25:K25"/>
    <mergeCell ref="A19:K19"/>
    <mergeCell ref="B26:K26"/>
    <mergeCell ref="B20:K20"/>
    <mergeCell ref="B21:K21"/>
    <mergeCell ref="A2:B2"/>
    <mergeCell ref="U19:AD19"/>
    <mergeCell ref="U20:AD20"/>
    <mergeCell ref="I2:K2"/>
    <mergeCell ref="I3:K3"/>
    <mergeCell ref="N11:W11"/>
    <mergeCell ref="N12:W12"/>
    <mergeCell ref="N13:W13"/>
    <mergeCell ref="N14:W14"/>
    <mergeCell ref="N15:W15"/>
    <mergeCell ref="N16:W16"/>
    <mergeCell ref="N17:W17"/>
  </mergeCells>
  <phoneticPr fontId="0" type="noConversion"/>
  <printOptions horizontalCentered="1" verticalCentered="1"/>
  <pageMargins left="0.5" right="0.5" top="0.25" bottom="0.25" header="0.25" footer="0.25"/>
  <pageSetup paperSize="288"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zoomScale="70" zoomScaleNormal="70" workbookViewId="0">
      <selection activeCell="P46" sqref="P46:X48"/>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23"/>
      <c r="O1" s="323"/>
      <c r="P1" s="323"/>
      <c r="Q1" s="323"/>
      <c r="R1" s="323"/>
      <c r="S1" s="323"/>
      <c r="T1" s="323"/>
      <c r="U1" s="323"/>
      <c r="V1" s="323"/>
      <c r="W1" s="323"/>
      <c r="X1" s="323"/>
      <c r="Y1" s="323"/>
      <c r="Z1" s="323"/>
      <c r="AA1" s="323"/>
    </row>
    <row r="2" spans="1:28" ht="21" customHeight="1" x14ac:dyDescent="0.25">
      <c r="A2" s="1569" t="s">
        <v>778</v>
      </c>
      <c r="B2" s="1569"/>
      <c r="C2" s="1569"/>
      <c r="D2" s="1433"/>
      <c r="E2" s="1"/>
      <c r="F2" s="1"/>
      <c r="H2" s="1423"/>
      <c r="I2" s="1423"/>
      <c r="J2" s="1423"/>
      <c r="K2" s="1593" t="s">
        <v>499</v>
      </c>
      <c r="L2" s="1593"/>
      <c r="N2" s="323"/>
      <c r="O2" s="323"/>
      <c r="P2" s="323"/>
      <c r="Q2" s="323"/>
      <c r="R2" s="323"/>
      <c r="S2" s="323"/>
      <c r="T2" s="323"/>
      <c r="U2" s="323"/>
      <c r="V2" s="323"/>
      <c r="W2" s="323"/>
      <c r="X2" s="323"/>
      <c r="Y2" s="323"/>
      <c r="Z2" s="323"/>
      <c r="AA2" s="323"/>
    </row>
    <row r="3" spans="1:28" ht="21" customHeight="1" thickBot="1" x14ac:dyDescent="0.3">
      <c r="A3" s="1574" t="s">
        <v>779</v>
      </c>
      <c r="B3" s="1574"/>
      <c r="C3" s="1574"/>
      <c r="D3" s="1434"/>
      <c r="E3" s="1596">
        <f>date!$B$6</f>
        <v>43466</v>
      </c>
      <c r="F3" s="1596"/>
      <c r="G3" s="1596"/>
      <c r="H3" s="1596"/>
      <c r="I3" s="1422"/>
      <c r="J3" s="1422"/>
      <c r="K3" s="1594" t="s">
        <v>500</v>
      </c>
      <c r="L3" s="1594"/>
      <c r="N3" s="323"/>
      <c r="O3" s="323"/>
      <c r="P3" s="323"/>
      <c r="Q3" s="323"/>
      <c r="R3" s="323"/>
      <c r="S3" s="323"/>
      <c r="T3" s="323"/>
      <c r="U3" s="323"/>
      <c r="V3" s="323"/>
      <c r="W3" s="323"/>
      <c r="X3" s="323"/>
      <c r="Y3" s="323"/>
      <c r="Z3" s="323"/>
      <c r="AA3" s="323"/>
    </row>
    <row r="4" spans="1:28" ht="30" customHeight="1" thickBot="1" x14ac:dyDescent="0.3">
      <c r="C4" s="648"/>
      <c r="N4" s="323"/>
      <c r="O4" s="323"/>
      <c r="P4" s="323"/>
      <c r="Q4" s="323"/>
      <c r="R4" s="323"/>
      <c r="S4" s="323"/>
      <c r="T4" s="323"/>
      <c r="U4" s="323"/>
      <c r="V4" s="323"/>
      <c r="W4" s="323"/>
      <c r="X4" s="323"/>
      <c r="Y4" s="323"/>
      <c r="Z4" s="323"/>
      <c r="AA4" s="323"/>
    </row>
    <row r="5" spans="1:28" ht="28.9" customHeight="1" thickBot="1" x14ac:dyDescent="0.3">
      <c r="A5" s="1505" t="s">
        <v>798</v>
      </c>
      <c r="B5" s="1506">
        <v>43424</v>
      </c>
      <c r="C5" s="1503" t="s">
        <v>553</v>
      </c>
      <c r="D5" s="1504" t="s">
        <v>785</v>
      </c>
      <c r="E5" s="688" t="s">
        <v>786</v>
      </c>
      <c r="F5" s="688" t="s">
        <v>790</v>
      </c>
      <c r="G5" s="688" t="s">
        <v>787</v>
      </c>
      <c r="H5" s="688" t="s">
        <v>788</v>
      </c>
      <c r="I5" s="688" t="s">
        <v>789</v>
      </c>
      <c r="J5" s="688" t="s">
        <v>558</v>
      </c>
      <c r="K5" s="688" t="s">
        <v>537</v>
      </c>
      <c r="L5" s="23"/>
      <c r="N5" s="323"/>
      <c r="O5" s="1525" t="s">
        <v>803</v>
      </c>
      <c r="P5" s="1525"/>
      <c r="Q5" s="1525"/>
      <c r="R5" s="1525"/>
      <c r="S5" s="1524"/>
      <c r="T5" s="323"/>
      <c r="U5" s="323"/>
      <c r="V5" s="323"/>
      <c r="W5" s="323"/>
      <c r="X5" s="323"/>
      <c r="Y5" s="323"/>
      <c r="Z5" s="323"/>
      <c r="AA5" s="323"/>
    </row>
    <row r="6" spans="1:28" ht="28.9" customHeight="1" x14ac:dyDescent="0.3">
      <c r="A6" s="1507" t="s">
        <v>799</v>
      </c>
      <c r="B6" s="1508">
        <f>EDATE(B7,-1)</f>
        <v>43405</v>
      </c>
      <c r="C6" s="1449" t="s">
        <v>559</v>
      </c>
      <c r="D6" s="1531">
        <v>10.68</v>
      </c>
      <c r="E6" s="1532">
        <v>8.8000000000000007</v>
      </c>
      <c r="F6" s="1532">
        <v>8.94</v>
      </c>
      <c r="G6" s="1533">
        <v>8.91</v>
      </c>
      <c r="H6" s="1533">
        <v>9.0399999999999991</v>
      </c>
      <c r="I6" s="1533">
        <v>8.25</v>
      </c>
      <c r="J6" s="1457" t="s">
        <v>568</v>
      </c>
      <c r="K6" s="1460"/>
      <c r="L6" s="1448"/>
      <c r="N6" s="323"/>
      <c r="O6" s="1470"/>
      <c r="P6" s="1470"/>
      <c r="Q6" s="1470"/>
      <c r="R6" s="1470"/>
      <c r="S6" s="1470"/>
      <c r="T6" s="1470"/>
      <c r="U6" s="1470"/>
      <c r="V6" s="323"/>
      <c r="W6" s="323"/>
      <c r="X6" s="323"/>
      <c r="Y6" s="323"/>
      <c r="Z6" s="323"/>
      <c r="AA6" s="323"/>
    </row>
    <row r="7" spans="1:28" ht="28.9" customHeight="1" x14ac:dyDescent="0.3">
      <c r="B7" s="1508">
        <f>EDATE(B8,-1)</f>
        <v>43435</v>
      </c>
      <c r="C7" s="1449" t="s">
        <v>560</v>
      </c>
      <c r="D7" s="1453">
        <v>2040</v>
      </c>
      <c r="E7" s="1451">
        <v>457</v>
      </c>
      <c r="F7" s="1451">
        <v>732</v>
      </c>
      <c r="G7" s="1451">
        <v>480</v>
      </c>
      <c r="H7" s="1451">
        <v>383</v>
      </c>
      <c r="I7" s="1451">
        <v>652</v>
      </c>
      <c r="J7" s="1458" t="s">
        <v>324</v>
      </c>
      <c r="K7" s="1461"/>
      <c r="L7" s="1448"/>
      <c r="O7" s="1470"/>
      <c r="P7" s="1470"/>
      <c r="Q7" s="1470"/>
      <c r="R7" s="1470"/>
      <c r="S7" s="1470"/>
      <c r="T7" s="1470"/>
      <c r="U7" s="1470"/>
    </row>
    <row r="8" spans="1:28" ht="28.9" customHeight="1" x14ac:dyDescent="0.45">
      <c r="B8" s="1508">
        <f>E3</f>
        <v>43466</v>
      </c>
      <c r="C8" s="1449" t="s">
        <v>525</v>
      </c>
      <c r="D8" s="1542" t="s">
        <v>812</v>
      </c>
      <c r="E8" s="1452" t="s">
        <v>812</v>
      </c>
      <c r="F8" s="1452">
        <v>0.122</v>
      </c>
      <c r="G8" s="1452" t="s">
        <v>812</v>
      </c>
      <c r="H8" s="1543" t="s">
        <v>812</v>
      </c>
      <c r="I8" s="1452" t="s">
        <v>812</v>
      </c>
      <c r="J8" s="1458" t="s">
        <v>324</v>
      </c>
      <c r="K8" s="1462"/>
      <c r="L8" s="1448"/>
      <c r="N8" s="1446"/>
      <c r="O8" s="1606" t="s">
        <v>783</v>
      </c>
      <c r="P8" s="1606"/>
      <c r="Q8" s="1606"/>
      <c r="R8" s="1606"/>
      <c r="S8" s="1606"/>
      <c r="T8" s="1606"/>
      <c r="U8" s="1606"/>
      <c r="V8" s="1445"/>
      <c r="W8" s="1445"/>
      <c r="X8" s="1445"/>
      <c r="Y8" s="1445"/>
      <c r="Z8" s="1445"/>
      <c r="AA8" s="1445"/>
      <c r="AB8" s="1445"/>
    </row>
    <row r="9" spans="1:28" ht="28.9" customHeight="1" x14ac:dyDescent="0.3">
      <c r="C9" s="1449" t="s">
        <v>565</v>
      </c>
      <c r="D9" s="1454">
        <v>42</v>
      </c>
      <c r="E9" s="1452">
        <v>7.6</v>
      </c>
      <c r="F9" s="1452">
        <v>27</v>
      </c>
      <c r="G9" s="1452">
        <v>13</v>
      </c>
      <c r="H9" s="1452">
        <v>13</v>
      </c>
      <c r="I9" s="1452">
        <v>19</v>
      </c>
      <c r="J9" s="1458" t="s">
        <v>324</v>
      </c>
      <c r="K9" s="1462"/>
      <c r="L9" s="1448"/>
      <c r="N9" s="1447"/>
    </row>
    <row r="10" spans="1:28" ht="28.9" customHeight="1" x14ac:dyDescent="0.3">
      <c r="C10" s="1449" t="s">
        <v>567</v>
      </c>
      <c r="D10" s="1495" t="s">
        <v>814</v>
      </c>
      <c r="E10" s="1496" t="s">
        <v>814</v>
      </c>
      <c r="F10" s="1496" t="s">
        <v>814</v>
      </c>
      <c r="G10" s="1496" t="s">
        <v>814</v>
      </c>
      <c r="H10" s="1496" t="s">
        <v>814</v>
      </c>
      <c r="I10" s="1496" t="s">
        <v>814</v>
      </c>
      <c r="J10" s="1458" t="s">
        <v>324</v>
      </c>
      <c r="K10" s="1462"/>
      <c r="L10" s="1448"/>
      <c r="O10" s="1470"/>
      <c r="P10" s="1470"/>
      <c r="Q10" s="1470"/>
      <c r="R10" s="1470"/>
      <c r="S10" s="1470"/>
      <c r="T10" s="1470"/>
      <c r="U10" s="1470"/>
    </row>
    <row r="11" spans="1:28" ht="28.9" customHeight="1" thickBot="1" x14ac:dyDescent="0.35">
      <c r="C11" s="1450" t="s">
        <v>566</v>
      </c>
      <c r="D11" s="1455" t="s">
        <v>804</v>
      </c>
      <c r="E11" s="1456" t="s">
        <v>804</v>
      </c>
      <c r="F11" s="1456">
        <v>7.8</v>
      </c>
      <c r="G11" s="1456" t="s">
        <v>804</v>
      </c>
      <c r="H11" s="1456" t="s">
        <v>804</v>
      </c>
      <c r="I11" s="1456" t="s">
        <v>804</v>
      </c>
      <c r="J11" s="1459" t="s">
        <v>324</v>
      </c>
      <c r="K11" s="1462"/>
      <c r="L11" s="1448"/>
      <c r="O11" s="1470"/>
      <c r="P11" s="1470"/>
      <c r="Q11" s="1470"/>
      <c r="R11" s="1470"/>
      <c r="S11" s="1470"/>
      <c r="T11" s="1470"/>
      <c r="U11" s="1470"/>
    </row>
    <row r="12" spans="1:28" ht="30" customHeight="1" thickBot="1" x14ac:dyDescent="0.25">
      <c r="A12" s="1607"/>
      <c r="B12" s="1607"/>
      <c r="C12" s="20"/>
      <c r="D12" s="20"/>
      <c r="E12" s="20"/>
      <c r="F12" s="20"/>
      <c r="G12" s="20"/>
      <c r="H12" s="1463"/>
      <c r="I12" s="1463"/>
      <c r="J12" s="1463"/>
      <c r="K12" s="1463"/>
      <c r="L12" s="20"/>
      <c r="N12" s="112"/>
      <c r="O12" s="323"/>
      <c r="P12" s="1465" t="s">
        <v>593</v>
      </c>
      <c r="Q12" s="1466"/>
      <c r="R12" s="1466"/>
      <c r="S12" s="1466"/>
      <c r="T12" s="1467"/>
      <c r="U12" s="1466"/>
    </row>
    <row r="13" spans="1:28" s="8" customFormat="1" ht="21" customHeight="1" thickBot="1" x14ac:dyDescent="0.25">
      <c r="A13" s="1575" t="s">
        <v>782</v>
      </c>
      <c r="B13" s="1575"/>
      <c r="C13" s="1575"/>
      <c r="D13" s="1575"/>
      <c r="E13" s="1575"/>
      <c r="F13" s="7"/>
      <c r="G13" s="7"/>
      <c r="H13" s="1597" t="s">
        <v>810</v>
      </c>
      <c r="I13" s="1597"/>
      <c r="J13" s="1597"/>
      <c r="K13" s="1597"/>
      <c r="L13" s="1597"/>
      <c r="N13" s="112"/>
      <c r="O13" s="316" t="s">
        <v>54</v>
      </c>
      <c r="P13" s="530" t="s">
        <v>401</v>
      </c>
      <c r="Q13" s="530" t="s">
        <v>402</v>
      </c>
      <c r="R13" s="530" t="s">
        <v>403</v>
      </c>
      <c r="S13" s="530" t="s">
        <v>404</v>
      </c>
      <c r="T13" s="530" t="s">
        <v>415</v>
      </c>
      <c r="U13" s="530" t="s">
        <v>416</v>
      </c>
    </row>
    <row r="14" spans="1:28" s="8" customFormat="1" ht="21" customHeight="1" x14ac:dyDescent="0.2">
      <c r="A14" s="1576"/>
      <c r="B14" s="1576"/>
      <c r="C14" s="1576"/>
      <c r="D14" s="1576"/>
      <c r="E14" s="1576"/>
      <c r="F14" s="7"/>
      <c r="G14" s="7"/>
      <c r="H14" s="1597" t="s">
        <v>811</v>
      </c>
      <c r="I14" s="1597"/>
      <c r="J14" s="1597"/>
      <c r="K14" s="1597"/>
      <c r="L14" s="1597"/>
      <c r="N14" s="1464" t="s">
        <v>746</v>
      </c>
      <c r="O14" s="15" t="s">
        <v>246</v>
      </c>
      <c r="P14" s="669" t="s">
        <v>813</v>
      </c>
      <c r="Q14" s="669" t="s">
        <v>813</v>
      </c>
      <c r="R14" s="669" t="s">
        <v>813</v>
      </c>
      <c r="S14" s="669" t="s">
        <v>813</v>
      </c>
      <c r="T14" s="669" t="s">
        <v>813</v>
      </c>
      <c r="U14" s="669" t="s">
        <v>813</v>
      </c>
    </row>
    <row r="15" spans="1:28" s="8" customFormat="1" ht="21" customHeight="1" thickBot="1" x14ac:dyDescent="0.25">
      <c r="A15" s="1576"/>
      <c r="B15" s="1576"/>
      <c r="C15" s="1576"/>
      <c r="D15" s="1576"/>
      <c r="E15" s="1576"/>
      <c r="F15" s="7"/>
      <c r="G15" s="7"/>
      <c r="H15" s="1597" t="s">
        <v>784</v>
      </c>
      <c r="I15" s="1597"/>
      <c r="J15" s="1597"/>
      <c r="K15" s="1597"/>
      <c r="L15" s="1597"/>
      <c r="N15" s="1464" t="s">
        <v>745</v>
      </c>
      <c r="O15" s="54" t="s">
        <v>247</v>
      </c>
      <c r="P15" s="1546" t="s">
        <v>791</v>
      </c>
      <c r="Q15" s="1546" t="s">
        <v>791</v>
      </c>
      <c r="R15" s="1546" t="s">
        <v>791</v>
      </c>
      <c r="S15" s="1546" t="s">
        <v>791</v>
      </c>
      <c r="T15" s="1546" t="s">
        <v>791</v>
      </c>
      <c r="U15" s="1546" t="s">
        <v>791</v>
      </c>
    </row>
    <row r="16" spans="1:28" s="8" customFormat="1" ht="21" customHeight="1" thickBot="1" x14ac:dyDescent="0.25">
      <c r="A16" s="1576"/>
      <c r="B16" s="1576"/>
      <c r="C16" s="1576"/>
      <c r="D16" s="1576"/>
      <c r="E16" s="1576"/>
      <c r="F16" s="7"/>
      <c r="G16" s="7"/>
      <c r="H16" s="7"/>
      <c r="I16" s="7"/>
      <c r="J16" s="7"/>
      <c r="L16" s="7"/>
      <c r="M16" s="7"/>
      <c r="N16" s="112"/>
      <c r="O16" s="323"/>
      <c r="P16" s="1468" t="s">
        <v>245</v>
      </c>
      <c r="Q16" s="323"/>
      <c r="R16" s="323"/>
      <c r="S16" s="323"/>
      <c r="T16" s="532"/>
      <c r="U16" s="323"/>
    </row>
    <row r="17" spans="1:26" ht="21" customHeight="1" x14ac:dyDescent="0.2">
      <c r="A17" s="1576"/>
      <c r="B17" s="1576"/>
      <c r="C17" s="1576"/>
      <c r="D17" s="1576"/>
      <c r="E17" s="1576"/>
      <c r="N17" s="1464" t="s">
        <v>746</v>
      </c>
      <c r="O17" s="6" t="s">
        <v>246</v>
      </c>
      <c r="P17" s="670">
        <f t="shared" ref="P17:U18" si="0">IF(P14="","",IF(OR(CODE(P14)=62,CODE(P14)=60),(RIGHT(P14,LEN(P14)-1)*1),P14))</f>
        <v>0.02</v>
      </c>
      <c r="Q17" s="670">
        <f t="shared" si="0"/>
        <v>0.02</v>
      </c>
      <c r="R17" s="670">
        <f t="shared" si="0"/>
        <v>0.02</v>
      </c>
      <c r="S17" s="670">
        <f t="shared" si="0"/>
        <v>0.02</v>
      </c>
      <c r="T17" s="670">
        <f t="shared" si="0"/>
        <v>0.02</v>
      </c>
      <c r="U17" s="670">
        <f t="shared" si="0"/>
        <v>0.02</v>
      </c>
    </row>
    <row r="18" spans="1:26" ht="21" customHeight="1" thickBot="1" x14ac:dyDescent="0.25">
      <c r="C18" s="370"/>
      <c r="D18" s="252"/>
      <c r="N18" s="1464" t="s">
        <v>745</v>
      </c>
      <c r="O18" s="54" t="s">
        <v>247</v>
      </c>
      <c r="P18" s="671">
        <f t="shared" si="0"/>
        <v>0.2</v>
      </c>
      <c r="Q18" s="671">
        <f t="shared" si="0"/>
        <v>0.2</v>
      </c>
      <c r="R18" s="671">
        <f t="shared" si="0"/>
        <v>0.2</v>
      </c>
      <c r="S18" s="671">
        <f t="shared" si="0"/>
        <v>0.2</v>
      </c>
      <c r="T18" s="671">
        <f t="shared" si="0"/>
        <v>0.2</v>
      </c>
      <c r="U18" s="671">
        <f t="shared" si="0"/>
        <v>0.2</v>
      </c>
    </row>
    <row r="19" spans="1:26" ht="21" customHeight="1" thickBot="1" x14ac:dyDescent="0.25">
      <c r="N19" s="112"/>
      <c r="O19" s="323"/>
      <c r="P19" s="1468" t="s">
        <v>248</v>
      </c>
      <c r="Q19" s="323"/>
      <c r="R19" s="323"/>
      <c r="S19" s="323"/>
      <c r="T19" s="532"/>
      <c r="U19" s="323"/>
    </row>
    <row r="20" spans="1:26" ht="21" customHeight="1" thickBot="1" x14ac:dyDescent="0.25">
      <c r="N20" s="112"/>
      <c r="O20" s="316" t="s">
        <v>249</v>
      </c>
      <c r="P20" s="1469" t="str">
        <f>IF(OR(P17="",P18=""),"",IF(SUM(P17:P18)=0.22,"&lt;0.22",P17+P18))</f>
        <v>&lt;0.22</v>
      </c>
      <c r="Q20" s="1469" t="str">
        <f t="shared" ref="Q20:U20" si="1">IF(OR(Q17="",Q18=""),"",IF(SUM(Q17:Q18)=0.22,"&lt;0.22",Q17+Q18))</f>
        <v>&lt;0.22</v>
      </c>
      <c r="R20" s="1469" t="str">
        <f t="shared" si="1"/>
        <v>&lt;0.22</v>
      </c>
      <c r="S20" s="1469" t="str">
        <f t="shared" si="1"/>
        <v>&lt;0.22</v>
      </c>
      <c r="T20" s="1469" t="str">
        <f t="shared" si="1"/>
        <v>&lt;0.22</v>
      </c>
      <c r="U20" s="1469" t="str">
        <f t="shared" si="1"/>
        <v>&lt;0.22</v>
      </c>
    </row>
    <row r="26" spans="1:26" ht="21" customHeight="1" x14ac:dyDescent="0.2">
      <c r="V26" s="323"/>
      <c r="W26" s="323"/>
      <c r="X26" s="643"/>
    </row>
    <row r="27" spans="1:26" ht="21" customHeight="1" x14ac:dyDescent="0.2">
      <c r="V27" s="531"/>
      <c r="W27" s="531"/>
      <c r="X27" s="644"/>
    </row>
    <row r="28" spans="1:26" ht="21" customHeight="1" x14ac:dyDescent="0.2">
      <c r="V28" s="532"/>
      <c r="W28" s="532"/>
      <c r="X28" s="645"/>
      <c r="Y28" s="323"/>
    </row>
    <row r="29" spans="1:26" ht="21" customHeight="1" x14ac:dyDescent="0.2">
      <c r="V29" s="532"/>
      <c r="W29" s="532"/>
      <c r="X29" s="645"/>
      <c r="Y29" s="323"/>
    </row>
    <row r="30" spans="1:26" ht="21" customHeight="1" x14ac:dyDescent="0.2">
      <c r="V30" s="323"/>
      <c r="W30" s="323"/>
      <c r="X30" s="643"/>
      <c r="Y30" s="323"/>
    </row>
    <row r="31" spans="1:26" ht="21" customHeight="1" x14ac:dyDescent="0.2">
      <c r="V31" s="533"/>
      <c r="W31" s="533"/>
      <c r="X31" s="323"/>
      <c r="Y31" s="643"/>
      <c r="Z31" s="131"/>
    </row>
    <row r="32" spans="1:26" ht="21" customHeight="1" x14ac:dyDescent="0.2">
      <c r="V32" s="533"/>
      <c r="W32" s="533"/>
      <c r="X32" s="323"/>
      <c r="Y32" s="323"/>
    </row>
    <row r="33" spans="14:27" ht="21" customHeight="1" x14ac:dyDescent="0.2">
      <c r="V33" s="323"/>
      <c r="W33" s="323"/>
      <c r="X33" s="643"/>
      <c r="Y33" s="323"/>
    </row>
    <row r="34" spans="14:27" ht="21" customHeight="1" x14ac:dyDescent="0.2">
      <c r="V34" s="1604"/>
      <c r="W34" s="1605"/>
      <c r="X34" s="1605"/>
      <c r="Y34" s="1605"/>
      <c r="Z34" s="1605"/>
      <c r="AA34" s="1605"/>
    </row>
    <row r="35" spans="14:27" ht="21" customHeight="1" x14ac:dyDescent="0.2">
      <c r="N35" s="112"/>
      <c r="O35" s="112"/>
    </row>
  </sheetData>
  <mergeCells count="12">
    <mergeCell ref="A2:C2"/>
    <mergeCell ref="A3:C3"/>
    <mergeCell ref="A12:B12"/>
    <mergeCell ref="A13:E17"/>
    <mergeCell ref="E3:H3"/>
    <mergeCell ref="V34:AA34"/>
    <mergeCell ref="O8:U8"/>
    <mergeCell ref="K3:L3"/>
    <mergeCell ref="K2:L2"/>
    <mergeCell ref="H13:L13"/>
    <mergeCell ref="H14:L14"/>
    <mergeCell ref="H15:L15"/>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P46" sqref="P46:X48"/>
    </sheetView>
  </sheetViews>
  <sheetFormatPr defaultRowHeight="21" customHeight="1" x14ac:dyDescent="0.2"/>
  <cols>
    <col min="1" max="1" width="13" customWidth="1"/>
    <col min="2" max="2" width="17.42578125" style="1442"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69" t="s">
        <v>778</v>
      </c>
      <c r="B2" s="1569"/>
      <c r="C2" s="1569"/>
      <c r="D2" s="1419"/>
      <c r="E2" s="1419"/>
      <c r="G2" s="1593" t="s">
        <v>499</v>
      </c>
      <c r="H2" s="1593"/>
    </row>
    <row r="3" spans="1:12" ht="21" customHeight="1" thickBot="1" x14ac:dyDescent="0.3">
      <c r="A3" s="1574" t="s">
        <v>779</v>
      </c>
      <c r="B3" s="1574"/>
      <c r="C3" s="1574"/>
      <c r="D3" s="1420"/>
      <c r="E3" s="1432">
        <f>date!$B$6</f>
        <v>43466</v>
      </c>
      <c r="F3" s="20"/>
      <c r="G3" s="1594" t="s">
        <v>500</v>
      </c>
      <c r="H3" s="1594"/>
    </row>
    <row r="4" spans="1:12" ht="30" customHeight="1" thickBot="1" x14ac:dyDescent="0.3">
      <c r="C4" s="1418"/>
      <c r="D4" s="1418"/>
      <c r="E4" s="1418"/>
      <c r="F4" s="1418"/>
      <c r="G4" s="1418"/>
      <c r="H4" s="1418"/>
    </row>
    <row r="5" spans="1:12" ht="21" customHeight="1" thickBot="1" x14ac:dyDescent="0.3">
      <c r="B5" s="1441"/>
      <c r="C5" s="1612" t="s">
        <v>526</v>
      </c>
      <c r="D5" s="1613"/>
      <c r="E5" s="1614"/>
      <c r="F5" s="1424" t="s">
        <v>801</v>
      </c>
      <c r="G5" s="1428" t="s">
        <v>537</v>
      </c>
      <c r="K5" s="1438" t="s">
        <v>780</v>
      </c>
    </row>
    <row r="6" spans="1:12" s="534" customFormat="1" ht="21" customHeight="1" thickBot="1" x14ac:dyDescent="0.3">
      <c r="A6" s="1507" t="s">
        <v>799</v>
      </c>
      <c r="B6" s="1508">
        <f>EDATE(B7,-1)</f>
        <v>43405</v>
      </c>
      <c r="C6" s="1615" t="s">
        <v>769</v>
      </c>
      <c r="D6" s="1616"/>
      <c r="E6" s="1617"/>
      <c r="F6" s="1425">
        <v>43390</v>
      </c>
      <c r="G6" s="1439"/>
      <c r="H6" s="535"/>
      <c r="K6" s="529" t="s">
        <v>377</v>
      </c>
      <c r="L6" s="36" t="s">
        <v>767</v>
      </c>
    </row>
    <row r="7" spans="1:12" ht="21" customHeight="1" thickBot="1" x14ac:dyDescent="0.3">
      <c r="B7" s="1508">
        <f>EDATE(B8,-1)</f>
        <v>43435</v>
      </c>
      <c r="C7" s="1609" t="s">
        <v>770</v>
      </c>
      <c r="D7" s="1610"/>
      <c r="E7" s="1611"/>
      <c r="F7" s="1425">
        <v>43390</v>
      </c>
      <c r="G7" s="1429"/>
      <c r="H7" s="1"/>
      <c r="I7" s="131"/>
    </row>
    <row r="8" spans="1:12" ht="21" customHeight="1" thickBot="1" x14ac:dyDescent="0.3">
      <c r="B8" s="1508">
        <f>E3</f>
        <v>43466</v>
      </c>
      <c r="C8" s="1609" t="s">
        <v>771</v>
      </c>
      <c r="D8" s="1610"/>
      <c r="E8" s="1611"/>
      <c r="F8" s="1425">
        <v>43390</v>
      </c>
      <c r="G8" s="1429"/>
      <c r="H8" s="1"/>
    </row>
    <row r="9" spans="1:12" ht="21" customHeight="1" thickBot="1" x14ac:dyDescent="0.3">
      <c r="B9" s="1444"/>
      <c r="C9" s="1609" t="s">
        <v>772</v>
      </c>
      <c r="D9" s="1610"/>
      <c r="E9" s="1611"/>
      <c r="F9" s="1425">
        <v>43390</v>
      </c>
      <c r="G9" s="1429"/>
      <c r="H9" s="1"/>
    </row>
    <row r="10" spans="1:12" ht="21" customHeight="1" thickBot="1" x14ac:dyDescent="0.3">
      <c r="C10" s="1609" t="s">
        <v>773</v>
      </c>
      <c r="D10" s="1610"/>
      <c r="E10" s="1611"/>
      <c r="F10" s="1425">
        <v>43390</v>
      </c>
      <c r="G10" s="1429"/>
      <c r="H10" s="1"/>
      <c r="I10" s="36"/>
      <c r="J10" s="36"/>
    </row>
    <row r="11" spans="1:12" ht="21" customHeight="1" x14ac:dyDescent="0.25">
      <c r="C11" s="1609" t="s">
        <v>774</v>
      </c>
      <c r="D11" s="1610"/>
      <c r="E11" s="1611"/>
      <c r="F11" s="1425">
        <v>43390</v>
      </c>
      <c r="G11" s="1429"/>
      <c r="H11" s="1"/>
    </row>
    <row r="12" spans="1:12" ht="21" customHeight="1" x14ac:dyDescent="0.25">
      <c r="C12" s="1609" t="s">
        <v>792</v>
      </c>
      <c r="D12" s="1610"/>
      <c r="E12" s="1611"/>
      <c r="F12" s="1426">
        <v>43403</v>
      </c>
      <c r="G12" s="1429"/>
      <c r="H12" s="1"/>
      <c r="I12" s="36"/>
      <c r="J12" s="36"/>
      <c r="K12" s="529" t="s">
        <v>378</v>
      </c>
      <c r="L12" s="36" t="s">
        <v>766</v>
      </c>
    </row>
    <row r="13" spans="1:12" ht="21" customHeight="1" x14ac:dyDescent="0.25">
      <c r="C13" s="1609" t="s">
        <v>793</v>
      </c>
      <c r="D13" s="1610"/>
      <c r="E13" s="1611"/>
      <c r="F13" s="1426">
        <v>43403</v>
      </c>
      <c r="G13" s="1430"/>
      <c r="H13" s="1"/>
    </row>
    <row r="14" spans="1:12" ht="21" customHeight="1" x14ac:dyDescent="0.25">
      <c r="C14" s="1609" t="s">
        <v>797</v>
      </c>
      <c r="D14" s="1610"/>
      <c r="E14" s="1611"/>
      <c r="F14" s="1427">
        <v>43446</v>
      </c>
      <c r="G14" s="1431"/>
      <c r="H14" s="1"/>
      <c r="K14" s="529" t="s">
        <v>762</v>
      </c>
      <c r="L14" s="36" t="s">
        <v>765</v>
      </c>
    </row>
    <row r="15" spans="1:12" ht="21" customHeight="1" x14ac:dyDescent="0.25">
      <c r="C15" s="1609" t="s">
        <v>768</v>
      </c>
      <c r="D15" s="1610"/>
      <c r="E15" s="1611"/>
      <c r="F15" s="1427">
        <v>43447</v>
      </c>
      <c r="G15" s="1431"/>
      <c r="H15" s="1"/>
      <c r="K15" s="529" t="s">
        <v>760</v>
      </c>
      <c r="L15" s="36" t="s">
        <v>764</v>
      </c>
    </row>
    <row r="16" spans="1:12" ht="21" customHeight="1" x14ac:dyDescent="0.25">
      <c r="C16" s="1609" t="s">
        <v>775</v>
      </c>
      <c r="D16" s="1610"/>
      <c r="E16" s="1611"/>
      <c r="F16" s="1427">
        <v>43447</v>
      </c>
      <c r="G16" s="1431"/>
      <c r="H16" s="1"/>
    </row>
    <row r="17" spans="1:18" ht="21" customHeight="1" x14ac:dyDescent="0.25">
      <c r="C17" s="1609" t="s">
        <v>776</v>
      </c>
      <c r="D17" s="1610"/>
      <c r="E17" s="1611"/>
      <c r="F17" s="1427">
        <v>43447</v>
      </c>
      <c r="G17" s="1431"/>
      <c r="H17" s="1"/>
    </row>
    <row r="18" spans="1:18" ht="21" customHeight="1" x14ac:dyDescent="0.25">
      <c r="C18" s="1609" t="s">
        <v>777</v>
      </c>
      <c r="D18" s="1610"/>
      <c r="E18" s="1611"/>
      <c r="F18" s="1427">
        <v>43447</v>
      </c>
      <c r="G18" s="1431"/>
      <c r="H18" s="1"/>
    </row>
    <row r="19" spans="1:18" ht="21" customHeight="1" x14ac:dyDescent="0.25">
      <c r="C19" s="1609" t="s">
        <v>794</v>
      </c>
      <c r="D19" s="1610"/>
      <c r="E19" s="1611"/>
      <c r="F19" s="1427">
        <v>43452</v>
      </c>
      <c r="G19" s="1431"/>
      <c r="H19" s="1"/>
      <c r="K19" s="529" t="s">
        <v>761</v>
      </c>
      <c r="L19" s="36" t="s">
        <v>763</v>
      </c>
    </row>
    <row r="20" spans="1:18" ht="21" customHeight="1" x14ac:dyDescent="0.25">
      <c r="C20" s="1609" t="s">
        <v>795</v>
      </c>
      <c r="D20" s="1610"/>
      <c r="E20" s="1611"/>
      <c r="F20" s="1427">
        <v>43452</v>
      </c>
      <c r="G20" s="1431"/>
      <c r="H20" s="1"/>
    </row>
    <row r="21" spans="1:18" ht="21" customHeight="1" thickBot="1" x14ac:dyDescent="0.3">
      <c r="C21" s="1618" t="s">
        <v>796</v>
      </c>
      <c r="D21" s="1619"/>
      <c r="E21" s="1620"/>
      <c r="F21" s="1526">
        <v>43390</v>
      </c>
      <c r="G21" s="1527"/>
      <c r="H21" s="1"/>
      <c r="K21" s="529" t="s">
        <v>379</v>
      </c>
      <c r="L21" s="36" t="s">
        <v>781</v>
      </c>
      <c r="Q21" s="131"/>
      <c r="R21" s="36"/>
    </row>
    <row r="22" spans="1:18" ht="30" customHeight="1" thickBot="1" x14ac:dyDescent="0.25">
      <c r="A22" s="1607"/>
      <c r="B22" s="1607"/>
      <c r="C22" s="1509"/>
      <c r="D22" s="1509"/>
      <c r="E22" s="1509"/>
      <c r="F22" s="1608" t="s">
        <v>800</v>
      </c>
      <c r="G22" s="1608"/>
      <c r="H22" s="1608"/>
      <c r="Q22" s="131"/>
      <c r="R22" s="36"/>
    </row>
    <row r="23" spans="1:18" ht="21" customHeight="1" x14ac:dyDescent="0.2">
      <c r="A23" s="1575" t="s">
        <v>782</v>
      </c>
      <c r="B23" s="1575"/>
      <c r="C23" s="1575"/>
      <c r="D23" s="1575"/>
      <c r="E23" s="7"/>
      <c r="F23" s="1597" t="s">
        <v>810</v>
      </c>
      <c r="G23" s="1597"/>
      <c r="H23" s="1597"/>
      <c r="I23" s="1597"/>
      <c r="J23" s="1597"/>
    </row>
    <row r="24" spans="1:18" ht="21" customHeight="1" x14ac:dyDescent="0.2">
      <c r="A24" s="1576"/>
      <c r="B24" s="1576"/>
      <c r="C24" s="1576"/>
      <c r="D24" s="1576"/>
      <c r="E24" s="7"/>
      <c r="F24" s="1597" t="s">
        <v>811</v>
      </c>
      <c r="G24" s="1597"/>
      <c r="H24" s="1597"/>
      <c r="I24" s="1597"/>
      <c r="J24" s="1597"/>
    </row>
    <row r="25" spans="1:18" ht="21" customHeight="1" x14ac:dyDescent="0.2">
      <c r="A25" s="1576"/>
      <c r="B25" s="1576"/>
      <c r="C25" s="1576"/>
      <c r="D25" s="1576"/>
      <c r="E25" s="7"/>
      <c r="F25" s="1597" t="s">
        <v>784</v>
      </c>
      <c r="G25" s="1597"/>
      <c r="H25" s="1597"/>
      <c r="I25" s="1393"/>
      <c r="J25" s="1394"/>
    </row>
    <row r="26" spans="1:18" ht="21" customHeight="1" x14ac:dyDescent="0.2">
      <c r="A26" s="1576"/>
      <c r="B26" s="1576"/>
      <c r="C26" s="1576"/>
      <c r="D26" s="1576"/>
      <c r="E26" s="7"/>
      <c r="F26" s="11"/>
      <c r="G26" s="7"/>
    </row>
    <row r="27" spans="1:18" ht="21" customHeight="1" x14ac:dyDescent="0.2">
      <c r="A27" s="1576"/>
      <c r="B27" s="1576"/>
      <c r="C27" s="1576"/>
      <c r="D27" s="1576"/>
      <c r="F27" s="249"/>
    </row>
    <row r="28" spans="1:18" s="8" customFormat="1" ht="21" customHeight="1" x14ac:dyDescent="0.2">
      <c r="B28" s="1440"/>
      <c r="C28" s="1440"/>
      <c r="D28" s="1440"/>
      <c r="E28"/>
      <c r="F28"/>
      <c r="G28"/>
      <c r="H28"/>
      <c r="I28" s="7"/>
      <c r="J28" s="7"/>
      <c r="K28" s="207"/>
      <c r="L28" s="31"/>
    </row>
    <row r="29" spans="1:18" ht="21" customHeight="1" x14ac:dyDescent="0.2">
      <c r="B29" s="251"/>
      <c r="C29" s="7"/>
      <c r="D29" s="7"/>
      <c r="E29" s="7"/>
      <c r="F29" s="11"/>
      <c r="G29" s="7"/>
      <c r="I29" s="12"/>
      <c r="J29" s="12"/>
    </row>
    <row r="30" spans="1:18" ht="21" customHeight="1" x14ac:dyDescent="0.2">
      <c r="B30" s="251"/>
      <c r="C30" s="7"/>
      <c r="D30" s="7"/>
      <c r="E30" s="7"/>
      <c r="F30" s="11"/>
      <c r="G30" s="7"/>
      <c r="I30" s="12"/>
      <c r="J30" s="12"/>
    </row>
    <row r="31" spans="1:18" ht="21" customHeight="1" x14ac:dyDescent="0.2">
      <c r="B31" s="251"/>
      <c r="C31" s="7"/>
      <c r="D31" s="7"/>
      <c r="E31" s="7"/>
      <c r="F31" s="11"/>
      <c r="G31" s="7"/>
      <c r="I31" s="12"/>
      <c r="J31" s="12"/>
      <c r="K31" s="371"/>
    </row>
    <row r="32" spans="1:18" ht="21" customHeight="1" x14ac:dyDescent="0.2">
      <c r="B32" s="1421"/>
      <c r="C32" s="1"/>
      <c r="D32" s="1"/>
      <c r="E32" s="1"/>
      <c r="F32" s="249"/>
      <c r="G32" s="1"/>
      <c r="I32" s="12"/>
      <c r="J32" s="12"/>
    </row>
    <row r="33" spans="2:11" ht="21" customHeight="1" x14ac:dyDescent="0.2">
      <c r="B33" s="1421"/>
      <c r="C33" s="1"/>
      <c r="D33" s="1"/>
      <c r="E33" s="1"/>
      <c r="F33" s="1"/>
      <c r="G33" s="1"/>
      <c r="K33" s="371"/>
    </row>
    <row r="34" spans="2:11" ht="21" customHeight="1" x14ac:dyDescent="0.2">
      <c r="B34" s="1443"/>
      <c r="C34" s="1"/>
      <c r="D34" s="1"/>
      <c r="E34" s="1"/>
      <c r="F34" s="1"/>
      <c r="G34" s="1"/>
      <c r="K34" s="1248"/>
    </row>
    <row r="35" spans="2:11" ht="21" customHeight="1" x14ac:dyDescent="0.2">
      <c r="K35" s="1248"/>
    </row>
  </sheetData>
  <mergeCells count="27">
    <mergeCell ref="C9:E9"/>
    <mergeCell ref="C21:E21"/>
    <mergeCell ref="C20:E20"/>
    <mergeCell ref="C10:E10"/>
    <mergeCell ref="C11:E11"/>
    <mergeCell ref="C12:E12"/>
    <mergeCell ref="C15:E15"/>
    <mergeCell ref="C16:E16"/>
    <mergeCell ref="C17:E17"/>
    <mergeCell ref="C18:E18"/>
    <mergeCell ref="C19:E19"/>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topLeftCell="B1" zoomScale="65" zoomScaleNormal="65" workbookViewId="0">
      <selection activeCell="AD34" sqref="AD34"/>
    </sheetView>
  </sheetViews>
  <sheetFormatPr defaultColWidth="8.85546875" defaultRowHeight="12.75" x14ac:dyDescent="0.2"/>
  <cols>
    <col min="1" max="1" width="7.28515625" style="1249" customWidth="1"/>
    <col min="2" max="2" width="12.28515625" style="1249" customWidth="1"/>
    <col min="3" max="3" width="9.140625" style="1254"/>
    <col min="4" max="4" width="12.85546875" style="1249" bestFit="1" customWidth="1"/>
    <col min="5" max="5" width="12" style="1249" customWidth="1"/>
    <col min="6" max="6" width="12.5703125" style="1249" customWidth="1"/>
    <col min="7" max="7" width="15.28515625" style="1249" customWidth="1"/>
    <col min="8" max="8" width="9.7109375" style="1249" customWidth="1"/>
    <col min="9" max="9" width="12.7109375" style="1249" customWidth="1"/>
    <col min="10" max="10" width="8.85546875" style="1249"/>
    <col min="11" max="11" width="11.5703125" style="1249" customWidth="1"/>
    <col min="12" max="12" width="9.7109375" style="1249" customWidth="1"/>
    <col min="13" max="13" width="12.7109375" style="1249" customWidth="1"/>
    <col min="14" max="14" width="8.85546875" style="1249"/>
    <col min="15" max="15" width="11.5703125" style="1249" customWidth="1"/>
    <col min="16" max="16" width="9.5703125" style="1249" customWidth="1"/>
    <col min="17" max="17" width="8.85546875" style="1249"/>
    <col min="18" max="18" width="9.28515625" style="1249" bestFit="1" customWidth="1"/>
    <col min="19" max="19" width="12.5703125" style="1249" customWidth="1"/>
    <col min="20" max="20" width="11" style="1249" bestFit="1" customWidth="1"/>
    <col min="21" max="21" width="13.42578125" style="1249" customWidth="1"/>
    <col min="22" max="22" width="9.28515625" style="1249" bestFit="1" customWidth="1"/>
    <col min="23" max="23" width="11.85546875" style="1249" customWidth="1"/>
    <col min="24" max="24" width="9.28515625" style="1249" bestFit="1" customWidth="1"/>
    <col min="25" max="25" width="10.7109375" style="1249" customWidth="1"/>
    <col min="26" max="26" width="9.7109375" style="1249" bestFit="1" customWidth="1"/>
    <col min="27" max="27" width="13" style="1249" customWidth="1"/>
    <col min="28" max="28" width="10.85546875" style="1249" bestFit="1" customWidth="1"/>
    <col min="29" max="29" width="11.28515625" style="1249" customWidth="1"/>
    <col min="30" max="30" width="9.85546875" style="1249" bestFit="1" customWidth="1"/>
    <col min="31" max="31" width="11.28515625" style="1249" customWidth="1"/>
    <col min="32" max="32" width="10.5703125" style="1249" customWidth="1"/>
    <col min="33" max="33" width="10.42578125" style="1249" customWidth="1"/>
    <col min="34" max="34" width="14.42578125" style="1250" customWidth="1"/>
    <col min="35" max="35" width="15" style="1250" customWidth="1"/>
    <col min="36" max="36" width="16.28515625" style="1250" customWidth="1"/>
    <col min="37" max="37" width="17.7109375" style="1250" customWidth="1"/>
    <col min="38" max="43" width="9.140625" style="1249" customWidth="1"/>
    <col min="44" max="16384" width="8.85546875" style="1249"/>
  </cols>
  <sheetData>
    <row r="1" spans="2:38" ht="24" customHeight="1" thickBot="1" x14ac:dyDescent="0.25"/>
    <row r="2" spans="2:38" s="1262" customFormat="1" ht="27" customHeight="1" thickBot="1" x14ac:dyDescent="0.25">
      <c r="B2" s="1627">
        <f>IF(date!B6="","",date!B6)</f>
        <v>43466</v>
      </c>
      <c r="C2" s="1628"/>
      <c r="D2" s="1640" t="s">
        <v>632</v>
      </c>
      <c r="E2" s="1641"/>
      <c r="F2" s="1641"/>
      <c r="G2" s="1642"/>
      <c r="H2" s="1643" t="s">
        <v>630</v>
      </c>
      <c r="I2" s="1641"/>
      <c r="J2" s="1641"/>
      <c r="K2" s="1641"/>
      <c r="L2" s="1641"/>
      <c r="M2" s="1641"/>
      <c r="N2" s="1641"/>
      <c r="O2" s="1641"/>
      <c r="P2" s="1641"/>
      <c r="Q2" s="1644"/>
      <c r="R2" s="1640" t="s">
        <v>631</v>
      </c>
      <c r="S2" s="1641"/>
      <c r="T2" s="1641"/>
      <c r="U2" s="1641"/>
      <c r="V2" s="1641"/>
      <c r="W2" s="1641"/>
      <c r="X2" s="1641"/>
      <c r="Y2" s="1642"/>
      <c r="Z2" s="1643" t="s">
        <v>634</v>
      </c>
      <c r="AA2" s="1641"/>
      <c r="AB2" s="1641"/>
      <c r="AC2" s="1641"/>
      <c r="AD2" s="1641"/>
      <c r="AE2" s="1641"/>
      <c r="AF2" s="1641"/>
      <c r="AG2" s="1644"/>
      <c r="AH2" s="1635" t="s">
        <v>750</v>
      </c>
      <c r="AI2" s="1636"/>
      <c r="AJ2" s="1636"/>
      <c r="AK2" s="1637"/>
    </row>
    <row r="3" spans="2:38" s="1251" customFormat="1" ht="15.75" thickBot="1" x14ac:dyDescent="0.3">
      <c r="B3" s="1638">
        <f>IF(date!B6="","",date!B6)</f>
        <v>43466</v>
      </c>
      <c r="C3" s="1639"/>
      <c r="D3" s="1645" t="s">
        <v>569</v>
      </c>
      <c r="E3" s="1646"/>
      <c r="F3" s="1646" t="s">
        <v>633</v>
      </c>
      <c r="G3" s="1647"/>
      <c r="H3" s="1632" t="s">
        <v>93</v>
      </c>
      <c r="I3" s="1632"/>
      <c r="J3" s="1632"/>
      <c r="K3" s="1648"/>
      <c r="L3" s="1631" t="s">
        <v>94</v>
      </c>
      <c r="M3" s="1632"/>
      <c r="N3" s="1632"/>
      <c r="O3" s="1648"/>
      <c r="P3" s="1363" t="s">
        <v>548</v>
      </c>
      <c r="Q3" s="1364"/>
      <c r="R3" s="1649" t="s">
        <v>93</v>
      </c>
      <c r="S3" s="1632"/>
      <c r="T3" s="1632"/>
      <c r="U3" s="1648"/>
      <c r="V3" s="1631" t="s">
        <v>94</v>
      </c>
      <c r="W3" s="1632"/>
      <c r="X3" s="1632"/>
      <c r="Y3" s="1650"/>
      <c r="Z3" s="1632" t="s">
        <v>93</v>
      </c>
      <c r="AA3" s="1632"/>
      <c r="AB3" s="1632"/>
      <c r="AC3" s="1648"/>
      <c r="AD3" s="1631" t="s">
        <v>94</v>
      </c>
      <c r="AE3" s="1632"/>
      <c r="AF3" s="1632"/>
      <c r="AG3" s="1632"/>
      <c r="AH3" s="1633" t="s">
        <v>747</v>
      </c>
      <c r="AI3" s="1634"/>
      <c r="AJ3" s="1365" t="s">
        <v>748</v>
      </c>
      <c r="AK3" s="1366" t="s">
        <v>749</v>
      </c>
    </row>
    <row r="4" spans="2:38" ht="13.5" thickBot="1" x14ac:dyDescent="0.25">
      <c r="B4" s="1629" t="s">
        <v>479</v>
      </c>
      <c r="C4" s="1630"/>
      <c r="D4" s="1268" t="s">
        <v>523</v>
      </c>
      <c r="E4" s="1258" t="s">
        <v>552</v>
      </c>
      <c r="F4" s="1258" t="s">
        <v>521</v>
      </c>
      <c r="G4" s="1269" t="s">
        <v>522</v>
      </c>
      <c r="H4" s="1265" t="s">
        <v>544</v>
      </c>
      <c r="I4" s="1259" t="s">
        <v>545</v>
      </c>
      <c r="J4" s="1259" t="s">
        <v>546</v>
      </c>
      <c r="K4" s="1259" t="s">
        <v>547</v>
      </c>
      <c r="L4" s="1259" t="s">
        <v>540</v>
      </c>
      <c r="M4" s="1259" t="s">
        <v>541</v>
      </c>
      <c r="N4" s="1259" t="s">
        <v>542</v>
      </c>
      <c r="O4" s="1259" t="s">
        <v>543</v>
      </c>
      <c r="P4" s="1259" t="s">
        <v>549</v>
      </c>
      <c r="Q4" s="1263" t="s">
        <v>496</v>
      </c>
      <c r="R4" s="1266" t="s">
        <v>544</v>
      </c>
      <c r="S4" s="1259" t="s">
        <v>545</v>
      </c>
      <c r="T4" s="1259" t="s">
        <v>546</v>
      </c>
      <c r="U4" s="1259" t="s">
        <v>547</v>
      </c>
      <c r="V4" s="1259" t="s">
        <v>540</v>
      </c>
      <c r="W4" s="1259" t="s">
        <v>541</v>
      </c>
      <c r="X4" s="1259" t="s">
        <v>542</v>
      </c>
      <c r="Y4" s="1267" t="s">
        <v>543</v>
      </c>
      <c r="Z4" s="1265" t="s">
        <v>544</v>
      </c>
      <c r="AA4" s="1259" t="s">
        <v>545</v>
      </c>
      <c r="AB4" s="1259" t="s">
        <v>546</v>
      </c>
      <c r="AC4" s="1259" t="s">
        <v>547</v>
      </c>
      <c r="AD4" s="1259" t="s">
        <v>540</v>
      </c>
      <c r="AE4" s="1259" t="s">
        <v>541</v>
      </c>
      <c r="AF4" s="1259" t="s">
        <v>542</v>
      </c>
      <c r="AG4" s="1263" t="s">
        <v>543</v>
      </c>
      <c r="AH4" s="1264" t="s">
        <v>173</v>
      </c>
      <c r="AI4" s="1260" t="s">
        <v>174</v>
      </c>
      <c r="AJ4" s="1260" t="s">
        <v>55</v>
      </c>
      <c r="AK4" s="1261" t="s">
        <v>174</v>
      </c>
    </row>
    <row r="5" spans="2:38" ht="13.15" customHeight="1" x14ac:dyDescent="0.2">
      <c r="B5" s="1389">
        <f>B12-7</f>
        <v>43459</v>
      </c>
      <c r="C5" s="1390" t="str">
        <f t="shared" ref="C5:C41" si="0">IF((WEEKDAY(B5)=7),"Sat","")</f>
        <v/>
      </c>
      <c r="D5" s="1328">
        <v>94377.629232509018</v>
      </c>
      <c r="E5" s="1282">
        <v>98403.215313516528</v>
      </c>
      <c r="F5" s="1282" t="s">
        <v>815</v>
      </c>
      <c r="G5" s="1329" t="s">
        <v>815</v>
      </c>
      <c r="H5" s="1284">
        <v>7</v>
      </c>
      <c r="I5" s="1282" t="s">
        <v>815</v>
      </c>
      <c r="J5" s="1282">
        <v>3624.8971156139532</v>
      </c>
      <c r="K5" s="1282" t="s">
        <v>815</v>
      </c>
      <c r="L5" s="1285">
        <v>8</v>
      </c>
      <c r="M5" s="1282" t="s">
        <v>815</v>
      </c>
      <c r="N5" s="1282">
        <v>4142.7395607016615</v>
      </c>
      <c r="O5" s="1282" t="s">
        <v>815</v>
      </c>
      <c r="P5" s="1330">
        <v>2</v>
      </c>
      <c r="Q5" s="1286" t="s">
        <v>815</v>
      </c>
      <c r="R5" s="1287" t="s">
        <v>815</v>
      </c>
      <c r="S5" s="1330" t="s">
        <v>815</v>
      </c>
      <c r="T5" s="1282" t="s">
        <v>815</v>
      </c>
      <c r="U5" s="1330" t="s">
        <v>815</v>
      </c>
      <c r="V5" s="1285" t="s">
        <v>815</v>
      </c>
      <c r="W5" s="1330" t="s">
        <v>815</v>
      </c>
      <c r="X5" s="1282" t="s">
        <v>815</v>
      </c>
      <c r="Y5" s="1331" t="s">
        <v>815</v>
      </c>
      <c r="Z5" s="1284">
        <v>7</v>
      </c>
      <c r="AA5" s="1282" t="s">
        <v>815</v>
      </c>
      <c r="AB5" s="1282">
        <v>3624.8971156139532</v>
      </c>
      <c r="AC5" s="1282" t="s">
        <v>815</v>
      </c>
      <c r="AD5" s="1285">
        <v>8</v>
      </c>
      <c r="AE5" s="1282" t="s">
        <v>815</v>
      </c>
      <c r="AF5" s="1282">
        <v>4142.7395607016615</v>
      </c>
      <c r="AG5" s="1286" t="s">
        <v>815</v>
      </c>
      <c r="AH5" s="1288">
        <v>59.774999999999999</v>
      </c>
      <c r="AI5" s="1289" t="s">
        <v>815</v>
      </c>
      <c r="AJ5" s="1290">
        <v>53.631575819444365</v>
      </c>
      <c r="AK5" s="1283" t="s">
        <v>815</v>
      </c>
      <c r="AL5" s="1252"/>
    </row>
    <row r="6" spans="2:38" x14ac:dyDescent="0.2">
      <c r="B6" s="1257">
        <f>B12-6</f>
        <v>43460</v>
      </c>
      <c r="C6" s="1326" t="str">
        <f t="shared" si="0"/>
        <v/>
      </c>
      <c r="D6" s="1332">
        <v>151490.96182442937</v>
      </c>
      <c r="E6" s="1291">
        <v>260351.30122590374</v>
      </c>
      <c r="F6" s="1291" t="s">
        <v>815</v>
      </c>
      <c r="G6" s="1333" t="s">
        <v>815</v>
      </c>
      <c r="H6" s="1293">
        <v>6</v>
      </c>
      <c r="I6" s="1291" t="s">
        <v>815</v>
      </c>
      <c r="J6" s="1291">
        <v>4430.6055681474973</v>
      </c>
      <c r="K6" s="1291" t="s">
        <v>815</v>
      </c>
      <c r="L6" s="1294">
        <v>11</v>
      </c>
      <c r="M6" s="1291" t="s">
        <v>815</v>
      </c>
      <c r="N6" s="1291">
        <v>8122.7768749370771</v>
      </c>
      <c r="O6" s="1291" t="s">
        <v>815</v>
      </c>
      <c r="P6" s="1334">
        <v>3</v>
      </c>
      <c r="Q6" s="1295" t="s">
        <v>815</v>
      </c>
      <c r="R6" s="1296" t="s">
        <v>815</v>
      </c>
      <c r="S6" s="1291" t="s">
        <v>815</v>
      </c>
      <c r="T6" s="1291" t="s">
        <v>815</v>
      </c>
      <c r="U6" s="1291" t="s">
        <v>815</v>
      </c>
      <c r="V6" s="1294" t="s">
        <v>815</v>
      </c>
      <c r="W6" s="1291" t="s">
        <v>815</v>
      </c>
      <c r="X6" s="1291" t="s">
        <v>815</v>
      </c>
      <c r="Y6" s="1292" t="s">
        <v>815</v>
      </c>
      <c r="Z6" s="1293">
        <v>6</v>
      </c>
      <c r="AA6" s="1291" t="s">
        <v>815</v>
      </c>
      <c r="AB6" s="1291">
        <v>4430.6055681474973</v>
      </c>
      <c r="AC6" s="1291" t="s">
        <v>815</v>
      </c>
      <c r="AD6" s="1294">
        <v>11</v>
      </c>
      <c r="AE6" s="1291" t="s">
        <v>815</v>
      </c>
      <c r="AF6" s="1291">
        <v>8122.7768749370771</v>
      </c>
      <c r="AG6" s="1295" t="s">
        <v>815</v>
      </c>
      <c r="AH6" s="1297">
        <v>60.313859999999998</v>
      </c>
      <c r="AI6" s="1298" t="s">
        <v>815</v>
      </c>
      <c r="AJ6" s="1299">
        <v>91.278311114583332</v>
      </c>
      <c r="AK6" s="1292" t="s">
        <v>815</v>
      </c>
      <c r="AL6" s="1252"/>
    </row>
    <row r="7" spans="2:38" x14ac:dyDescent="0.2">
      <c r="B7" s="1257">
        <f>B12-5</f>
        <v>43461</v>
      </c>
      <c r="C7" s="1326" t="str">
        <f t="shared" si="0"/>
        <v/>
      </c>
      <c r="D7" s="1332">
        <v>106619.67559691468</v>
      </c>
      <c r="E7" s="1291">
        <v>107597.83775835426</v>
      </c>
      <c r="F7" s="1291" t="s">
        <v>815</v>
      </c>
      <c r="G7" s="1333" t="s">
        <v>815</v>
      </c>
      <c r="H7" s="1293">
        <v>10</v>
      </c>
      <c r="I7" s="1291" t="s">
        <v>815</v>
      </c>
      <c r="J7" s="1291">
        <v>5728.1458874812588</v>
      </c>
      <c r="K7" s="1291" t="s">
        <v>815</v>
      </c>
      <c r="L7" s="1294">
        <v>15</v>
      </c>
      <c r="M7" s="1291" t="s">
        <v>815</v>
      </c>
      <c r="N7" s="1291">
        <v>8592.2188312218859</v>
      </c>
      <c r="O7" s="1291" t="s">
        <v>815</v>
      </c>
      <c r="P7" s="1334">
        <v>4</v>
      </c>
      <c r="Q7" s="1295" t="s">
        <v>815</v>
      </c>
      <c r="R7" s="1296" t="s">
        <v>815</v>
      </c>
      <c r="S7" s="1294" t="s">
        <v>815</v>
      </c>
      <c r="T7" s="1294" t="s">
        <v>815</v>
      </c>
      <c r="U7" s="1294" t="s">
        <v>815</v>
      </c>
      <c r="V7" s="1294" t="s">
        <v>815</v>
      </c>
      <c r="W7" s="1334" t="s">
        <v>815</v>
      </c>
      <c r="X7" s="1291" t="s">
        <v>815</v>
      </c>
      <c r="Y7" s="1335" t="s">
        <v>815</v>
      </c>
      <c r="Z7" s="1293">
        <v>10</v>
      </c>
      <c r="AA7" s="1291" t="s">
        <v>815</v>
      </c>
      <c r="AB7" s="1291">
        <v>5728.1458874812588</v>
      </c>
      <c r="AC7" s="1291" t="s">
        <v>815</v>
      </c>
      <c r="AD7" s="1294">
        <v>15</v>
      </c>
      <c r="AE7" s="1291" t="s">
        <v>815</v>
      </c>
      <c r="AF7" s="1291">
        <v>8592.2188312218859</v>
      </c>
      <c r="AG7" s="1295" t="s">
        <v>815</v>
      </c>
      <c r="AH7" s="1297">
        <v>60.503770000000003</v>
      </c>
      <c r="AI7" s="1298" t="s">
        <v>815</v>
      </c>
      <c r="AJ7" s="1299">
        <v>58.642815434027831</v>
      </c>
      <c r="AK7" s="1292" t="s">
        <v>815</v>
      </c>
      <c r="AL7" s="1252"/>
    </row>
    <row r="8" spans="2:38" x14ac:dyDescent="0.2">
      <c r="B8" s="1257">
        <f>B12-4</f>
        <v>43462</v>
      </c>
      <c r="C8" s="1326" t="str">
        <f t="shared" si="0"/>
        <v/>
      </c>
      <c r="D8" s="1332">
        <v>138283.77763307394</v>
      </c>
      <c r="E8" s="1291">
        <v>143760.36288586893</v>
      </c>
      <c r="F8" s="1291" t="s">
        <v>815</v>
      </c>
      <c r="G8" s="1333" t="s">
        <v>815</v>
      </c>
      <c r="H8" s="1293">
        <v>12</v>
      </c>
      <c r="I8" s="1291" t="s">
        <v>815</v>
      </c>
      <c r="J8" s="1291">
        <v>8420.6303565425023</v>
      </c>
      <c r="K8" s="1291" t="s">
        <v>815</v>
      </c>
      <c r="L8" s="1294">
        <v>13</v>
      </c>
      <c r="M8" s="1291" t="s">
        <v>815</v>
      </c>
      <c r="N8" s="1291">
        <v>9122.349552921045</v>
      </c>
      <c r="O8" s="1291" t="s">
        <v>815</v>
      </c>
      <c r="P8" s="1291">
        <v>6</v>
      </c>
      <c r="Q8" s="1295" t="s">
        <v>815</v>
      </c>
      <c r="R8" s="1296" t="s">
        <v>815</v>
      </c>
      <c r="S8" s="1294" t="s">
        <v>815</v>
      </c>
      <c r="T8" s="1294" t="s">
        <v>815</v>
      </c>
      <c r="U8" s="1294" t="s">
        <v>815</v>
      </c>
      <c r="V8" s="1294" t="s">
        <v>815</v>
      </c>
      <c r="W8" s="1291" t="s">
        <v>815</v>
      </c>
      <c r="X8" s="1291" t="s">
        <v>815</v>
      </c>
      <c r="Y8" s="1292" t="s">
        <v>815</v>
      </c>
      <c r="Z8" s="1293">
        <v>12</v>
      </c>
      <c r="AA8" s="1291" t="s">
        <v>815</v>
      </c>
      <c r="AB8" s="1291">
        <v>8420.6303565425023</v>
      </c>
      <c r="AC8" s="1291" t="s">
        <v>815</v>
      </c>
      <c r="AD8" s="1294">
        <v>13</v>
      </c>
      <c r="AE8" s="1291" t="s">
        <v>815</v>
      </c>
      <c r="AF8" s="1291">
        <v>9122.349552921045</v>
      </c>
      <c r="AG8" s="1295" t="s">
        <v>815</v>
      </c>
      <c r="AH8" s="1297">
        <v>61.52778</v>
      </c>
      <c r="AI8" s="1298" t="s">
        <v>815</v>
      </c>
      <c r="AJ8" s="1299">
        <v>82.08311230208345</v>
      </c>
      <c r="AK8" s="1292" t="s">
        <v>815</v>
      </c>
      <c r="AL8" s="1252"/>
    </row>
    <row r="9" spans="2:38" x14ac:dyDescent="0.2">
      <c r="B9" s="1257">
        <f>B12-3</f>
        <v>43463</v>
      </c>
      <c r="C9" s="1326" t="str">
        <f t="shared" si="0"/>
        <v>Sat</v>
      </c>
      <c r="D9" s="1332">
        <v>56327.454133177525</v>
      </c>
      <c r="E9" s="1291">
        <v>75997.358751112537</v>
      </c>
      <c r="F9" s="1291">
        <v>116621.80442979776</v>
      </c>
      <c r="G9" s="1333">
        <v>145242.16132635856</v>
      </c>
      <c r="H9" s="1293">
        <v>18</v>
      </c>
      <c r="I9" s="1291">
        <v>10.428571428571429</v>
      </c>
      <c r="J9" s="1291">
        <v>12396.940036830003</v>
      </c>
      <c r="K9" s="1291">
        <v>7688.0447146464085</v>
      </c>
      <c r="L9" s="1294">
        <v>19</v>
      </c>
      <c r="M9" s="1291">
        <v>14.857142857142858</v>
      </c>
      <c r="N9" s="1291">
        <v>13085.658927765004</v>
      </c>
      <c r="O9" s="1291">
        <v>11372.543883071025</v>
      </c>
      <c r="P9" s="1334">
        <v>20</v>
      </c>
      <c r="Q9" s="1295">
        <v>4.0305414442136156</v>
      </c>
      <c r="R9" s="1296"/>
      <c r="S9" s="1294">
        <v>18.5</v>
      </c>
      <c r="T9" s="1294">
        <v>7649.7531643964357</v>
      </c>
      <c r="U9" s="1294">
        <v>7082.3555664298083</v>
      </c>
      <c r="V9" s="1294"/>
      <c r="W9" s="1334">
        <v>22.5</v>
      </c>
      <c r="X9" s="1291">
        <v>6226.5432733459365</v>
      </c>
      <c r="Y9" s="1335">
        <v>6908.8748035850513</v>
      </c>
      <c r="Z9" s="1293">
        <v>15.012818405937647</v>
      </c>
      <c r="AA9" s="1291">
        <v>10.499149215771961</v>
      </c>
      <c r="AB9" s="1291">
        <v>20046.693201226437</v>
      </c>
      <c r="AC9" s="1291">
        <v>10723.339957402042</v>
      </c>
      <c r="AD9" s="1294">
        <v>15.846863872934184</v>
      </c>
      <c r="AE9" s="1291">
        <v>14.60695887416243</v>
      </c>
      <c r="AF9" s="1291">
        <v>19312.20220111094</v>
      </c>
      <c r="AG9" s="1295">
        <v>14333.490227464617</v>
      </c>
      <c r="AH9" s="1297">
        <v>60.619669999999999</v>
      </c>
      <c r="AI9" s="1298">
        <v>60.056661428571431</v>
      </c>
      <c r="AJ9" s="1299">
        <v>107.20462512500005</v>
      </c>
      <c r="AK9" s="1292">
        <v>100.28589265773805</v>
      </c>
      <c r="AL9" s="1252"/>
    </row>
    <row r="10" spans="2:38" x14ac:dyDescent="0.2">
      <c r="B10" s="1257">
        <f>B12-2</f>
        <v>43464</v>
      </c>
      <c r="C10" s="1326" t="str">
        <f t="shared" si="0"/>
        <v/>
      </c>
      <c r="D10" s="1332">
        <v>84050.970644081142</v>
      </c>
      <c r="E10" s="1291">
        <v>134896.61955222898</v>
      </c>
      <c r="F10" s="1291" t="s">
        <v>815</v>
      </c>
      <c r="G10" s="1333" t="s">
        <v>815</v>
      </c>
      <c r="H10" s="1293">
        <v>9</v>
      </c>
      <c r="I10" s="1291" t="s">
        <v>815</v>
      </c>
      <c r="J10" s="1291">
        <v>7650.6477606037388</v>
      </c>
      <c r="K10" s="1291" t="s">
        <v>815</v>
      </c>
      <c r="L10" s="1294">
        <v>16</v>
      </c>
      <c r="M10" s="1291" t="s">
        <v>815</v>
      </c>
      <c r="N10" s="1291">
        <v>13601.151574406647</v>
      </c>
      <c r="O10" s="1291" t="s">
        <v>815</v>
      </c>
      <c r="P10" s="1291">
        <v>8</v>
      </c>
      <c r="Q10" s="1295" t="s">
        <v>815</v>
      </c>
      <c r="R10" s="1296">
        <v>18</v>
      </c>
      <c r="S10" s="1294" t="s">
        <v>815</v>
      </c>
      <c r="T10" s="1294">
        <v>4776.3621696824957</v>
      </c>
      <c r="U10" s="1294" t="s">
        <v>815</v>
      </c>
      <c r="V10" s="1294">
        <v>14</v>
      </c>
      <c r="W10" s="1291" t="s">
        <v>815</v>
      </c>
      <c r="X10" s="1291">
        <v>3714.9483541974964</v>
      </c>
      <c r="Y10" s="1292" t="s">
        <v>815</v>
      </c>
      <c r="Z10" s="1293">
        <v>10.832804967047048</v>
      </c>
      <c r="AA10" s="1291" t="s">
        <v>815</v>
      </c>
      <c r="AB10" s="1291">
        <v>12427.009930286235</v>
      </c>
      <c r="AC10" s="1291" t="s">
        <v>815</v>
      </c>
      <c r="AD10" s="1294">
        <v>15.592710007322879</v>
      </c>
      <c r="AE10" s="1291" t="s">
        <v>815</v>
      </c>
      <c r="AF10" s="1291">
        <v>17316.099928604144</v>
      </c>
      <c r="AG10" s="1295" t="s">
        <v>815</v>
      </c>
      <c r="AH10" s="1297">
        <v>58.913440000000001</v>
      </c>
      <c r="AI10" s="1298" t="s">
        <v>815</v>
      </c>
      <c r="AJ10" s="1299">
        <v>124.42042017361094</v>
      </c>
      <c r="AK10" s="1292" t="s">
        <v>815</v>
      </c>
      <c r="AL10" s="1252"/>
    </row>
    <row r="11" spans="2:38" ht="13.5" thickBot="1" x14ac:dyDescent="0.25">
      <c r="B11" s="1391">
        <f>B12-1</f>
        <v>43465</v>
      </c>
      <c r="C11" s="1392" t="str">
        <f t="shared" si="0"/>
        <v/>
      </c>
      <c r="D11" s="1336">
        <v>146788.74127366749</v>
      </c>
      <c r="E11" s="1300">
        <v>224834.86779593438</v>
      </c>
      <c r="F11" s="1300"/>
      <c r="G11" s="1337"/>
      <c r="H11" s="1338">
        <v>12</v>
      </c>
      <c r="I11" s="1300" t="s">
        <v>815</v>
      </c>
      <c r="J11" s="1300">
        <v>6733.6806349249964</v>
      </c>
      <c r="K11" s="1300" t="s">
        <v>815</v>
      </c>
      <c r="L11" s="1339">
        <v>16</v>
      </c>
      <c r="M11" s="1300" t="s">
        <v>815</v>
      </c>
      <c r="N11" s="1300">
        <v>8978.2408465666631</v>
      </c>
      <c r="O11" s="1300" t="s">
        <v>815</v>
      </c>
      <c r="P11" s="1340">
        <v>5</v>
      </c>
      <c r="Q11" s="1341" t="s">
        <v>815</v>
      </c>
      <c r="R11" s="1342"/>
      <c r="S11" s="1339"/>
      <c r="T11" s="1339"/>
      <c r="U11" s="1339"/>
      <c r="V11" s="1339"/>
      <c r="W11" s="1300"/>
      <c r="X11" s="1300"/>
      <c r="Y11" s="1301"/>
      <c r="Z11" s="1338">
        <v>12</v>
      </c>
      <c r="AA11" s="1300" t="s">
        <v>815</v>
      </c>
      <c r="AB11" s="1300">
        <v>6733.6806349249964</v>
      </c>
      <c r="AC11" s="1300" t="s">
        <v>815</v>
      </c>
      <c r="AD11" s="1339">
        <v>16</v>
      </c>
      <c r="AE11" s="1300" t="s">
        <v>815</v>
      </c>
      <c r="AF11" s="1300">
        <v>8978.2408465666631</v>
      </c>
      <c r="AG11" s="1341" t="s">
        <v>815</v>
      </c>
      <c r="AH11" s="1343">
        <v>60.505490000000002</v>
      </c>
      <c r="AI11" s="1344" t="s">
        <v>815</v>
      </c>
      <c r="AJ11" s="1345">
        <v>61.973832739583337</v>
      </c>
      <c r="AK11" s="1301" t="s">
        <v>815</v>
      </c>
      <c r="AL11" s="1252"/>
    </row>
    <row r="12" spans="2:38" x14ac:dyDescent="0.2">
      <c r="B12" s="1327">
        <f>$B3</f>
        <v>43466</v>
      </c>
      <c r="C12" s="1325" t="str">
        <f t="shared" si="0"/>
        <v/>
      </c>
      <c r="D12" s="1270">
        <f>IF(OR('dmr 1'!B10="",[2]BOD!H4="",ISTEXT('dmr 1'!B10)=TRUE,ISTEXT([2]BOD!H4)=TRUE),"",'dmr 1'!B10*[2]BOD!H4*8.34)</f>
        <v>134265.72923034008</v>
      </c>
      <c r="E12" s="1271">
        <f>IF(OR('dmr 1'!B10="",[2]TSS!H4="",ISTEXT('dmr 1'!B10)=TRUE,ISTEXT([2]TSS!H4)=TRUE),"",'dmr 1'!B10*[2]TSS!H4*8.34)</f>
        <v>232167.82346079638</v>
      </c>
      <c r="F12" s="1271" t="str">
        <f t="shared" ref="F12" si="1">IF(SUM(D6:D12)&lt;1,"",IF(WEEKDAY(B12)=7,AVERAGE(D6:D12),""))</f>
        <v/>
      </c>
      <c r="G12" s="1272" t="str">
        <f t="shared" ref="G12" si="2">IF(SUM(E6:E12)&lt;1,"",IF(WEEKDAY(B12)=7,AVERAGE(E6:E12),""))</f>
        <v/>
      </c>
      <c r="H12" s="1273">
        <f>IF([2]BOD!K4="","",IF(ISTEXT([2]BOD!K4),"",[2]BOD!K4))</f>
        <v>13</v>
      </c>
      <c r="I12" s="1274" t="str">
        <f t="shared" ref="I12" si="3">IF(SUM(H6:H12)&lt;1,"",IF(WEEKDAY(B12)=7,AVERAGE(H6:H12),""))</f>
        <v/>
      </c>
      <c r="J12" s="1274">
        <f>'dmr 1'!Q10</f>
        <v>6370.1636368933259</v>
      </c>
      <c r="K12" s="1274" t="str">
        <f t="shared" ref="K12" si="4">IF(SUM(J6:J12)&lt;1,"",IF(WEEKDAY(B12)=7,AVERAGE(J6:J12),""))</f>
        <v/>
      </c>
      <c r="L12" s="1275">
        <f>IF([2]TSS!K4="","",IF(ISTEXT([2]TSS!K4),"",[2]TSS!K4))</f>
        <v>13</v>
      </c>
      <c r="M12" s="1274" t="str">
        <f t="shared" ref="M12" si="5">IF(SUM(L6:L12)&lt;1,"",IF(WEEKDAY(B12)=7,AVERAGE(L6:L12),""))</f>
        <v/>
      </c>
      <c r="N12" s="1274">
        <f>'dmr 1'!V10</f>
        <v>6370.1636368933259</v>
      </c>
      <c r="O12" s="1274" t="str">
        <f t="shared" ref="O12" si="6">IF(SUM(N6:N12)&lt;1,"",IF(WEEKDAY(B12)=7,AVERAGE(N6:N12),""))</f>
        <v/>
      </c>
      <c r="P12" s="1274">
        <f>IF([2]alk_pH_Cl2!N4="","",[2]alk_pH_Cl2!N4)</f>
        <v>9</v>
      </c>
      <c r="Q12" s="1276" t="str">
        <f t="shared" ref="Q12" si="7">IF(SUM(P6:P12)&lt;1,"",IF(WEEKDAY(B12)=7,GEOMEAN(P6:P12),""))</f>
        <v/>
      </c>
      <c r="R12" s="1277" t="str">
        <f>IF([2]BOD!L4="","",IF(ISTEXT([2]BOD!L4),"",[2]BOD!L4))</f>
        <v/>
      </c>
      <c r="S12" s="1274" t="str">
        <f t="shared" ref="S12" si="8">IF(SUM(R6:R12)&lt;1,"",IF(WEEKDAY(B12)=7,AVERAGE(R6:R12),""))</f>
        <v/>
      </c>
      <c r="T12" s="1274" t="str">
        <f>IF('dmr 2'!E10="","",'dmr 2'!E10)</f>
        <v/>
      </c>
      <c r="U12" s="1274" t="str">
        <f t="shared" ref="U12" si="9">IF(SUM(T6:T12)&lt;1,"",IF(WEEKDAY(B12)=7,AVERAGE(T6:T12),""))</f>
        <v/>
      </c>
      <c r="V12" s="1275" t="str">
        <f>IF([2]TSS!L4="","",IF(ISTEXT([2]TSS!L4),"",[2]TSS!L4))</f>
        <v/>
      </c>
      <c r="W12" s="1274" t="str">
        <f t="shared" ref="W12" si="10">IF(SUM(V6:V12)&lt;1,"",IF(WEEKDAY(B12)=7,AVERAGE(V6:V12),""))</f>
        <v/>
      </c>
      <c r="X12" s="1274" t="str">
        <f>IF('dmr 2'!J10="","",'dmr 2'!J10)</f>
        <v/>
      </c>
      <c r="Y12" s="1278" t="str">
        <f t="shared" ref="Y12" si="11">IF(SUM(X6:X12)&lt;1,"",IF(WEEKDAY(B12)=7,AVERAGE(X6:X12),""))</f>
        <v/>
      </c>
      <c r="Z12" s="1273">
        <f>IF((H12=""),"",IF(('dmr 1'!E10=""),H12,(('dmr 1'!B10*H12)+('dmr 1'!E10*R12))/('dmr 1'!B10+'dmr 1'!E10)))</f>
        <v>13</v>
      </c>
      <c r="AA12" s="1274" t="str">
        <f t="shared" ref="AA12" si="12">IF(SUM(Z6:Z12)&lt;1,"",IF(WEEKDAY(B12)=7,AVERAGE(Z6:Z12),""))</f>
        <v/>
      </c>
      <c r="AB12" s="1274">
        <f t="shared" ref="AB12" si="13">IF(J12="",T12,IF(T12="",J12,J12+T12))</f>
        <v>6370.1636368933259</v>
      </c>
      <c r="AC12" s="1274" t="str">
        <f t="shared" ref="AC12" si="14">IF(SUM(AB6:AB12)&lt;1,"",IF(WEEKDAY(B12)=7,AVERAGE(AB6:AB12),""))</f>
        <v/>
      </c>
      <c r="AD12" s="1275">
        <f>IF((L12=""),"",IF(('dmr 1'!E10=""),L12,(('dmr 1'!B10*L12)+('dmr 1'!E10*V12))/('dmr 1'!B10+'dmr 1'!E10)))</f>
        <v>13</v>
      </c>
      <c r="AE12" s="1274" t="str">
        <f t="shared" ref="AE12" si="15">IF(SUM(AD6:AD12)&lt;1,"",IF(WEEKDAY(B12)=7,AVERAGE(AD6:AD12),""))</f>
        <v/>
      </c>
      <c r="AF12" s="1274">
        <f t="shared" ref="AF12" si="16">IF(N12="",X12,IF(X12="",N12,N12+X12))</f>
        <v>6370.1636368933259</v>
      </c>
      <c r="AG12" s="1276" t="str">
        <f t="shared" ref="AG12" si="17">IF(SUM(AF6:AF12)&lt;1,"",IF(WEEKDAY(B12)=7,AVERAGE(AF6:AF12),""))</f>
        <v/>
      </c>
      <c r="AH12" s="1279">
        <f>IF('[1]Plant Data'!$Q4="","",'[1]Plant Data'!$Q4)</f>
        <v>60.807810000000003</v>
      </c>
      <c r="AI12" s="1274" t="str">
        <f t="shared" ref="AI12" si="18">IF(SUM(AH6:AH12)&lt;1,"",IF(WEEKDAY(B12)=7,AVERAGE(AH6:AH12),""))</f>
        <v/>
      </c>
      <c r="AJ12" s="1280">
        <f>'dmr 1'!B10</f>
        <v>55.899334378472254</v>
      </c>
      <c r="AK12" s="1281" t="str">
        <f t="shared" ref="AK12" si="19">IF(SUM(AJ6:AJ12)&lt;1,"",IF(WEEKDAY(B12)=7,AVERAGE(AJ6:AJ12),""))</f>
        <v/>
      </c>
    </row>
    <row r="13" spans="2:38" x14ac:dyDescent="0.2">
      <c r="B13" s="1257">
        <f t="shared" ref="B13:B39" si="20">B12+1</f>
        <v>43467</v>
      </c>
      <c r="C13" s="1326" t="str">
        <f t="shared" si="0"/>
        <v/>
      </c>
      <c r="D13" s="1270">
        <f>IF(OR('dmr 1'!B11="",[2]BOD!H5="",ISTEXT('dmr 1'!B11)=TRUE,ISTEXT([2]BOD!H5)=TRUE),"",'dmr 1'!B11*[2]BOD!H5*8.34)</f>
        <v>132529.33314720626</v>
      </c>
      <c r="E13" s="1271">
        <f>IF(OR('dmr 1'!B11="",[2]TSS!H5="",ISTEXT('dmr 1'!B11)=TRUE,ISTEXT([2]TSS!H5)=TRUE),"",'dmr 1'!B11*[2]TSS!H5*8.34)</f>
        <v>137717.31416008624</v>
      </c>
      <c r="F13" s="1271" t="str">
        <f t="shared" ref="F13:F41" si="21">IF(SUM(D7:D13)&lt;1,"",IF(WEEKDAY(B13)=7,AVERAGE(D7:D13),""))</f>
        <v/>
      </c>
      <c r="G13" s="1272" t="str">
        <f t="shared" ref="G13:G41" si="22">IF(SUM(E7:E13)&lt;1,"",IF(WEEKDAY(B13)=7,AVERAGE(E7:E13),""))</f>
        <v/>
      </c>
      <c r="H13" s="1273">
        <f>IF([2]BOD!K5="","",IF(ISTEXT([2]BOD!K5),"",[2]BOD!K5))</f>
        <v>9</v>
      </c>
      <c r="I13" s="1274" t="str">
        <f t="shared" ref="I13:I42" si="23">IF(SUM(H7:H13)&lt;1,"",IF(WEEKDAY(B13)=7,AVERAGE(H7:H13),""))</f>
        <v/>
      </c>
      <c r="J13" s="1274">
        <f>'dmr 1'!Q11</f>
        <v>4529.6972384456376</v>
      </c>
      <c r="K13" s="1274" t="str">
        <f t="shared" ref="K13:K42" si="24">IF(SUM(J7:J13)&lt;1,"",IF(WEEKDAY(B13)=7,AVERAGE(J7:J13),""))</f>
        <v/>
      </c>
      <c r="L13" s="1275">
        <f>IF([2]TSS!K5="","",IF(ISTEXT([2]TSS!K5),"",[2]TSS!K5))</f>
        <v>12</v>
      </c>
      <c r="M13" s="1274" t="str">
        <f t="shared" ref="M13:M42" si="25">IF(SUM(L7:L13)&lt;1,"",IF(WEEKDAY(B13)=7,AVERAGE(L7:L13),""))</f>
        <v/>
      </c>
      <c r="N13" s="1274">
        <f>'dmr 1'!V11</f>
        <v>6039.5963179275168</v>
      </c>
      <c r="O13" s="1274" t="str">
        <f t="shared" ref="O13:O42" si="26">IF(SUM(N7:N13)&lt;1,"",IF(WEEKDAY(B13)=7,AVERAGE(N7:N13),""))</f>
        <v/>
      </c>
      <c r="P13" s="1274">
        <f>IF([2]alk_pH_Cl2!N5="","",[2]alk_pH_Cl2!N5)</f>
        <v>28</v>
      </c>
      <c r="Q13" s="1276" t="str">
        <f t="shared" ref="Q13:Q42" si="27">IF(SUM(P7:P13)&lt;1,"",IF(WEEKDAY(B13)=7,GEOMEAN(P7:P13),""))</f>
        <v/>
      </c>
      <c r="R13" s="1277" t="str">
        <f>IF([2]BOD!L5="","",IF(ISTEXT([2]BOD!L5),"",[2]BOD!L5))</f>
        <v/>
      </c>
      <c r="S13" s="1274" t="str">
        <f t="shared" ref="S13:S41" si="28">IF(SUM(R7:R13)&lt;1,"",IF(WEEKDAY(B13)=7,AVERAGE(R7:R13),""))</f>
        <v/>
      </c>
      <c r="T13" s="1274" t="str">
        <f>IF('dmr 2'!E11="","",'dmr 2'!E11)</f>
        <v/>
      </c>
      <c r="U13" s="1274" t="str">
        <f t="shared" ref="U13:U41" si="29">IF(SUM(T7:T13)&lt;1,"",IF(WEEKDAY(B13)=7,AVERAGE(T7:T13),""))</f>
        <v/>
      </c>
      <c r="V13" s="1275" t="str">
        <f>IF([2]TSS!L5="","",IF(ISTEXT([2]TSS!L5),"",[2]TSS!L5))</f>
        <v/>
      </c>
      <c r="W13" s="1274" t="str">
        <f t="shared" ref="W13:W41" si="30">IF(SUM(V7:V13)&lt;1,"",IF(WEEKDAY(B13)=7,AVERAGE(V7:V13),""))</f>
        <v/>
      </c>
      <c r="X13" s="1274" t="str">
        <f>IF('dmr 2'!J11="","",'dmr 2'!J11)</f>
        <v/>
      </c>
      <c r="Y13" s="1278" t="str">
        <f t="shared" ref="Y13:Y41" si="31">IF(SUM(X7:X13)&lt;1,"",IF(WEEKDAY(B13)=7,AVERAGE(X7:X13),""))</f>
        <v/>
      </c>
      <c r="Z13" s="1273">
        <f>IF((H13=""),"",IF(('dmr 1'!E11=""),H13,(('dmr 1'!B11*H13)+('dmr 1'!E11*R13))/('dmr 1'!B11+'dmr 1'!E11)))</f>
        <v>9</v>
      </c>
      <c r="AA13" s="1274" t="str">
        <f t="shared" ref="AA13:AA42" si="32">IF(SUM(Z7:Z13)&lt;1,"",IF(WEEKDAY(B13)=7,AVERAGE(Z7:Z13),""))</f>
        <v/>
      </c>
      <c r="AB13" s="1274">
        <f t="shared" ref="AB13:AB42" si="33">IF(J13="",T13,IF(T13="",J13,J13+T13))</f>
        <v>4529.6972384456376</v>
      </c>
      <c r="AC13" s="1274" t="str">
        <f t="shared" ref="AC13:AC42" si="34">IF(SUM(AB7:AB13)&lt;1,"",IF(WEEKDAY(B13)=7,AVERAGE(AB7:AB13),""))</f>
        <v/>
      </c>
      <c r="AD13" s="1275">
        <f>IF((L13=""),"",IF(('dmr 1'!E11=""),L13,(('dmr 1'!B11*L13)+('dmr 1'!E11*V13))/('dmr 1'!B11+'dmr 1'!E11)))</f>
        <v>12</v>
      </c>
      <c r="AE13" s="1274" t="str">
        <f t="shared" ref="AE13:AE42" si="35">IF(SUM(AD7:AD13)&lt;1,"",IF(WEEKDAY(B13)=7,AVERAGE(AD7:AD13),""))</f>
        <v/>
      </c>
      <c r="AF13" s="1274">
        <f t="shared" ref="AF13:AF42" si="36">IF(N13="",X13,IF(X13="",N13,N13+X13))</f>
        <v>6039.5963179275168</v>
      </c>
      <c r="AG13" s="1276" t="str">
        <f t="shared" ref="AG13:AG42" si="37">IF(SUM(AF7:AF13)&lt;1,"",IF(WEEKDAY(B13)=7,AVERAGE(AF7:AF13),""))</f>
        <v/>
      </c>
      <c r="AH13" s="1279">
        <f>IF('[1]Plant Data'!$Q5="","",'[1]Plant Data'!$Q5)</f>
        <v>61.091009999999997</v>
      </c>
      <c r="AI13" s="1274" t="str">
        <f t="shared" ref="AI13:AI42" si="38">IF(SUM(AH7:AH13)&lt;1,"",IF(WEEKDAY(B13)=7,AVERAGE(AH7:AH13),""))</f>
        <v/>
      </c>
      <c r="AJ13" s="1280">
        <f>'dmr 1'!B11</f>
        <v>56.550915771527805</v>
      </c>
      <c r="AK13" s="1281" t="str">
        <f t="shared" ref="AK13:AK42" si="39">IF(SUM(AJ7:AJ13)&lt;1,"",IF(WEEKDAY(B13)=7,AVERAGE(AJ7:AJ13),""))</f>
        <v/>
      </c>
    </row>
    <row r="14" spans="2:38" x14ac:dyDescent="0.2">
      <c r="B14" s="1257">
        <f t="shared" si="20"/>
        <v>43468</v>
      </c>
      <c r="C14" s="1326" t="str">
        <f t="shared" si="0"/>
        <v/>
      </c>
      <c r="D14" s="1270">
        <f>IF(OR('dmr 1'!B12="",[2]BOD!H6="",ISTEXT('dmr 1'!B12)=TRUE,ISTEXT([2]BOD!H6)=TRUE),"",'dmr 1'!B12*[2]BOD!H6*8.34)</f>
        <v>132960.64038349266</v>
      </c>
      <c r="E14" s="1271">
        <f>IF(OR('dmr 1'!B12="",[2]TSS!H6="",ISTEXT('dmr 1'!B12)=TRUE,ISTEXT([2]TSS!H6)=TRUE),"",'dmr 1'!B12*[2]TSS!H6*8.34)</f>
        <v>144329.02227501807</v>
      </c>
      <c r="F14" s="1271" t="str">
        <f t="shared" si="21"/>
        <v/>
      </c>
      <c r="G14" s="1272" t="str">
        <f t="shared" si="22"/>
        <v/>
      </c>
      <c r="H14" s="1273">
        <f>IF([2]BOD!K6="","",IF(ISTEXT([2]BOD!K6),"",[2]BOD!K6))</f>
        <v>8</v>
      </c>
      <c r="I14" s="1274" t="str">
        <f t="shared" si="23"/>
        <v/>
      </c>
      <c r="J14" s="1274">
        <f>'dmr 1'!Q12</f>
        <v>4223.2934059683384</v>
      </c>
      <c r="K14" s="1274" t="str">
        <f t="shared" si="24"/>
        <v/>
      </c>
      <c r="L14" s="1275">
        <f>IF([2]TSS!K6="","",IF(ISTEXT([2]TSS!K6),"",[2]TSS!K6))</f>
        <v>11</v>
      </c>
      <c r="M14" s="1274" t="str">
        <f t="shared" si="25"/>
        <v/>
      </c>
      <c r="N14" s="1274">
        <f>'dmr 1'!V12</f>
        <v>5807.0284332064657</v>
      </c>
      <c r="O14" s="1274" t="str">
        <f t="shared" si="26"/>
        <v/>
      </c>
      <c r="P14" s="1274">
        <f>IF([2]alk_pH_Cl2!N6="","",[2]alk_pH_Cl2!N6)</f>
        <v>3</v>
      </c>
      <c r="Q14" s="1276" t="str">
        <f t="shared" si="27"/>
        <v/>
      </c>
      <c r="R14" s="1277" t="str">
        <f>IF([2]BOD!L6="","",IF(ISTEXT([2]BOD!L6),"",[2]BOD!L6))</f>
        <v/>
      </c>
      <c r="S14" s="1274" t="str">
        <f t="shared" si="28"/>
        <v/>
      </c>
      <c r="T14" s="1274" t="str">
        <f>IF('dmr 2'!E12="","",'dmr 2'!E12)</f>
        <v/>
      </c>
      <c r="U14" s="1274" t="str">
        <f t="shared" si="29"/>
        <v/>
      </c>
      <c r="V14" s="1275" t="str">
        <f>IF([2]TSS!L6="","",IF(ISTEXT([2]TSS!L6),"",[2]TSS!L6))</f>
        <v/>
      </c>
      <c r="W14" s="1274" t="str">
        <f t="shared" si="30"/>
        <v/>
      </c>
      <c r="X14" s="1274" t="str">
        <f>IF('dmr 2'!J12="","",'dmr 2'!J12)</f>
        <v/>
      </c>
      <c r="Y14" s="1278" t="str">
        <f t="shared" si="31"/>
        <v/>
      </c>
      <c r="Z14" s="1273">
        <f>IF((H14=""),"",IF(('dmr 1'!E12=""),H14,(('dmr 1'!B12*H14)+('dmr 1'!E12*R14))/('dmr 1'!B12+'dmr 1'!E12)))</f>
        <v>8</v>
      </c>
      <c r="AA14" s="1274" t="str">
        <f t="shared" si="32"/>
        <v/>
      </c>
      <c r="AB14" s="1274">
        <f t="shared" si="33"/>
        <v>4223.2934059683384</v>
      </c>
      <c r="AC14" s="1274" t="str">
        <f t="shared" si="34"/>
        <v/>
      </c>
      <c r="AD14" s="1275">
        <f>IF((L14=""),"",IF(('dmr 1'!E12=""),L14,(('dmr 1'!B12*L14)+('dmr 1'!E12*V14))/('dmr 1'!B12+'dmr 1'!E12)))</f>
        <v>11</v>
      </c>
      <c r="AE14" s="1274" t="str">
        <f t="shared" si="35"/>
        <v/>
      </c>
      <c r="AF14" s="1274">
        <f t="shared" si="36"/>
        <v>5807.0284332064657</v>
      </c>
      <c r="AG14" s="1276" t="str">
        <f t="shared" si="37"/>
        <v/>
      </c>
      <c r="AH14" s="1279">
        <f>IF('[1]Plant Data'!$Q6="","",'[1]Plant Data'!$Q6)</f>
        <v>61.65616</v>
      </c>
      <c r="AI14" s="1274" t="str">
        <f t="shared" si="38"/>
        <v/>
      </c>
      <c r="AJ14" s="1280">
        <f>'dmr 1'!B12</f>
        <v>59.265884118055446</v>
      </c>
      <c r="AK14" s="1281" t="str">
        <f t="shared" si="39"/>
        <v/>
      </c>
    </row>
    <row r="15" spans="2:38" x14ac:dyDescent="0.2">
      <c r="B15" s="1257">
        <f t="shared" si="20"/>
        <v>43469</v>
      </c>
      <c r="C15" s="1326" t="str">
        <f t="shared" si="0"/>
        <v/>
      </c>
      <c r="D15" s="1270">
        <f>IF(OR('dmr 1'!B13="",[2]BOD!H7="",ISTEXT('dmr 1'!B13)=TRUE,ISTEXT([2]BOD!H7)=TRUE),"",'dmr 1'!B13*[2]BOD!H7*8.34)</f>
        <v>153698.93001505034</v>
      </c>
      <c r="E15" s="1271">
        <f>IF(OR('dmr 1'!B13="",[2]TSS!H7="",ISTEXT('dmr 1'!B13)=TRUE,ISTEXT([2]TSS!H7)=TRUE),"",'dmr 1'!B13*[2]TSS!H7*8.34)</f>
        <v>200357.53376961919</v>
      </c>
      <c r="F15" s="1271" t="str">
        <f t="shared" si="21"/>
        <v/>
      </c>
      <c r="G15" s="1272" t="str">
        <f t="shared" si="22"/>
        <v/>
      </c>
      <c r="H15" s="1273">
        <f>IF([2]BOD!K7="","",IF(ISTEXT([2]BOD!K7),"",[2]BOD!K7))</f>
        <v>12</v>
      </c>
      <c r="I15" s="1274" t="str">
        <f t="shared" si="23"/>
        <v/>
      </c>
      <c r="J15" s="1274">
        <f>'dmr 1'!Q13</f>
        <v>6816.6687584650053</v>
      </c>
      <c r="K15" s="1274" t="str">
        <f t="shared" si="24"/>
        <v/>
      </c>
      <c r="L15" s="1275">
        <f>IF([2]TSS!K7="","",IF(ISTEXT([2]TSS!K7),"",[2]TSS!K7))</f>
        <v>12</v>
      </c>
      <c r="M15" s="1274" t="str">
        <f t="shared" si="25"/>
        <v/>
      </c>
      <c r="N15" s="1274">
        <f>'dmr 1'!V13</f>
        <v>6816.6687584650053</v>
      </c>
      <c r="O15" s="1274" t="str">
        <f t="shared" si="26"/>
        <v/>
      </c>
      <c r="P15" s="1274">
        <f>IF([2]alk_pH_Cl2!N7="","",[2]alk_pH_Cl2!N7)</f>
        <v>14</v>
      </c>
      <c r="Q15" s="1276" t="str">
        <f t="shared" si="27"/>
        <v/>
      </c>
      <c r="R15" s="1277" t="str">
        <f>IF([2]BOD!L7="","",IF(ISTEXT([2]BOD!L7),"",[2]BOD!L7))</f>
        <v/>
      </c>
      <c r="S15" s="1274" t="str">
        <f t="shared" si="28"/>
        <v/>
      </c>
      <c r="T15" s="1274" t="str">
        <f>IF('dmr 2'!E13="","",'dmr 2'!E13)</f>
        <v/>
      </c>
      <c r="U15" s="1274" t="str">
        <f t="shared" si="29"/>
        <v/>
      </c>
      <c r="V15" s="1275" t="str">
        <f>IF([2]TSS!L7="","",IF(ISTEXT([2]TSS!L7),"",[2]TSS!L7))</f>
        <v/>
      </c>
      <c r="W15" s="1274" t="str">
        <f t="shared" si="30"/>
        <v/>
      </c>
      <c r="X15" s="1274" t="str">
        <f>IF('dmr 2'!J13="","",'dmr 2'!J13)</f>
        <v/>
      </c>
      <c r="Y15" s="1278" t="str">
        <f t="shared" si="31"/>
        <v/>
      </c>
      <c r="Z15" s="1273">
        <f>IF((H15=""),"",IF(('dmr 1'!E13=""),H15,(('dmr 1'!B13*H15)+('dmr 1'!E13*R15))/('dmr 1'!B13+'dmr 1'!E13)))</f>
        <v>12</v>
      </c>
      <c r="AA15" s="1274" t="str">
        <f t="shared" si="32"/>
        <v/>
      </c>
      <c r="AB15" s="1274">
        <f t="shared" si="33"/>
        <v>6816.6687584650053</v>
      </c>
      <c r="AC15" s="1274" t="str">
        <f t="shared" si="34"/>
        <v/>
      </c>
      <c r="AD15" s="1275">
        <f>IF((L15=""),"",IF(('dmr 1'!E13=""),L15,(('dmr 1'!B13*L15)+('dmr 1'!E13*V15))/('dmr 1'!B13+'dmr 1'!E13)))</f>
        <v>12</v>
      </c>
      <c r="AE15" s="1274" t="str">
        <f t="shared" si="35"/>
        <v/>
      </c>
      <c r="AF15" s="1274">
        <f t="shared" si="36"/>
        <v>6816.6687584650053</v>
      </c>
      <c r="AG15" s="1276" t="str">
        <f t="shared" si="37"/>
        <v/>
      </c>
      <c r="AH15" s="1279">
        <f>IF('[1]Plant Data'!$Q7="","",'[1]Plant Data'!$Q7)</f>
        <v>61.899639999999998</v>
      </c>
      <c r="AI15" s="1274" t="str">
        <f t="shared" si="38"/>
        <v/>
      </c>
      <c r="AJ15" s="1280">
        <f>'dmr 1'!B13</f>
        <v>65.818315354166813</v>
      </c>
      <c r="AK15" s="1281" t="str">
        <f t="shared" si="39"/>
        <v/>
      </c>
    </row>
    <row r="16" spans="2:38" x14ac:dyDescent="0.2">
      <c r="B16" s="1257">
        <f t="shared" si="20"/>
        <v>43470</v>
      </c>
      <c r="C16" s="1326" t="str">
        <f t="shared" si="0"/>
        <v>Sat</v>
      </c>
      <c r="D16" s="1270">
        <f>IF(OR('dmr 1'!B14="",[2]BOD!H8="",ISTEXT('dmr 1'!B14)=TRUE,ISTEXT([2]BOD!H8)=TRUE),"",'dmr 1'!B14*[2]BOD!H8*8.34)</f>
        <v>132477.85854950894</v>
      </c>
      <c r="E16" s="1271">
        <f>IF(OR('dmr 1'!B14="",[2]TSS!H8="",ISTEXT('dmr 1'!B14)=TRUE,ISTEXT([2]TSS!H8)=TRUE),"",'dmr 1'!B14*[2]TSS!H8*8.34)</f>
        <v>118384.46934211436</v>
      </c>
      <c r="F16" s="1271">
        <f t="shared" si="21"/>
        <v>130967.45760619242</v>
      </c>
      <c r="G16" s="1272">
        <f t="shared" si="22"/>
        <v>170383.95005082825</v>
      </c>
      <c r="H16" s="1273">
        <f>IF([2]BOD!K8="","",IF(ISTEXT([2]BOD!K8),"",[2]BOD!K8))</f>
        <v>10</v>
      </c>
      <c r="I16" s="1274">
        <f t="shared" si="23"/>
        <v>10.428571428571429</v>
      </c>
      <c r="J16" s="1274">
        <f>'dmr 1'!Q14</f>
        <v>4899.2710920062473</v>
      </c>
      <c r="K16" s="1274">
        <f t="shared" si="24"/>
        <v>5889.0603610438984</v>
      </c>
      <c r="L16" s="1275">
        <f>IF([2]TSS!K8="","",IF(ISTEXT([2]TSS!K8),"",[2]TSS!K8))</f>
        <v>8</v>
      </c>
      <c r="M16" s="1274">
        <f t="shared" si="25"/>
        <v>12.571428571428571</v>
      </c>
      <c r="N16" s="1274">
        <f>'dmr 1'!V14</f>
        <v>3919.4168736049974</v>
      </c>
      <c r="O16" s="1274">
        <f t="shared" si="26"/>
        <v>7361.7523487243734</v>
      </c>
      <c r="P16" s="1274">
        <f>IF([2]alk_pH_Cl2!N8="","",[2]alk_pH_Cl2!N8)</f>
        <v>3</v>
      </c>
      <c r="Q16" s="1276">
        <f t="shared" si="27"/>
        <v>7.4469059359171146</v>
      </c>
      <c r="R16" s="1277" t="str">
        <f>IF([2]BOD!L8="","",IF(ISTEXT([2]BOD!L8),"",[2]BOD!L8))</f>
        <v/>
      </c>
      <c r="S16" s="1274">
        <f t="shared" si="28"/>
        <v>18</v>
      </c>
      <c r="T16" s="1274" t="str">
        <f>IF('dmr 2'!E14="","",'dmr 2'!E14)</f>
        <v/>
      </c>
      <c r="U16" s="1274">
        <f t="shared" si="29"/>
        <v>4776.3621696824957</v>
      </c>
      <c r="V16" s="1275" t="str">
        <f>IF([2]TSS!L8="","",IF(ISTEXT([2]TSS!L8),"",[2]TSS!L8))</f>
        <v/>
      </c>
      <c r="W16" s="1274">
        <f t="shared" si="30"/>
        <v>14</v>
      </c>
      <c r="X16" s="1274" t="str">
        <f>IF('dmr 2'!J14="","",'dmr 2'!J14)</f>
        <v/>
      </c>
      <c r="Y16" s="1278">
        <f t="shared" si="31"/>
        <v>3714.9483541974964</v>
      </c>
      <c r="Z16" s="1273">
        <f>IF((H16=""),"",IF(('dmr 1'!E14=""),H16,(('dmr 1'!B14*H16)+('dmr 1'!E14*R16))/('dmr 1'!B14+'dmr 1'!E14)))</f>
        <v>10</v>
      </c>
      <c r="AA16" s="1274">
        <f t="shared" si="32"/>
        <v>10.690400709578151</v>
      </c>
      <c r="AB16" s="1274">
        <f t="shared" si="33"/>
        <v>4899.2710920062473</v>
      </c>
      <c r="AC16" s="1274">
        <f t="shared" si="34"/>
        <v>6571.397813855684</v>
      </c>
      <c r="AD16" s="1275">
        <f>IF((L16=""),"",IF(('dmr 1'!E14=""),L16,(('dmr 1'!B14*L16)+('dmr 1'!E14*V16))/('dmr 1'!B14+'dmr 1'!E14)))</f>
        <v>8</v>
      </c>
      <c r="AE16" s="1274">
        <f t="shared" si="35"/>
        <v>12.513244286760411</v>
      </c>
      <c r="AF16" s="1274">
        <f t="shared" si="36"/>
        <v>3919.4168736049974</v>
      </c>
      <c r="AG16" s="1276">
        <f t="shared" si="37"/>
        <v>7892.4592564668737</v>
      </c>
      <c r="AH16" s="1279">
        <f>IF('[1]Plant Data'!$Q8="","",'[1]Plant Data'!$Q8)</f>
        <v>62.016570000000002</v>
      </c>
      <c r="AI16" s="1274">
        <f t="shared" si="38"/>
        <v>60.98430285714285</v>
      </c>
      <c r="AJ16" s="1280">
        <f>'dmr 1'!B14</f>
        <v>56.328494034350783</v>
      </c>
      <c r="AK16" s="1281">
        <f t="shared" si="39"/>
        <v>68.608170938538208</v>
      </c>
    </row>
    <row r="17" spans="1:37" x14ac:dyDescent="0.2">
      <c r="B17" s="1257">
        <f t="shared" si="20"/>
        <v>43471</v>
      </c>
      <c r="C17" s="1326" t="str">
        <f t="shared" si="0"/>
        <v/>
      </c>
      <c r="D17" s="1270">
        <f>IF(OR('dmr 1'!B15="",[2]BOD!H9="",ISTEXT('dmr 1'!B15)=TRUE,ISTEXT([2]BOD!H9)=TRUE),"",'dmr 1'!B15*[2]BOD!H9*8.34)</f>
        <v>163410.32999849401</v>
      </c>
      <c r="E17" s="1271">
        <f>IF(OR('dmr 1'!B15="",[2]TSS!H9="",ISTEXT('dmr 1'!B15)=TRUE,ISTEXT([2]TSS!H9)=TRUE),"",'dmr 1'!B15*[2]TSS!H9*8.34)</f>
        <v>206413.04841915035</v>
      </c>
      <c r="F17" s="1271" t="str">
        <f t="shared" si="21"/>
        <v/>
      </c>
      <c r="G17" s="1272" t="str">
        <f t="shared" si="22"/>
        <v/>
      </c>
      <c r="H17" s="1273">
        <f>IF([2]BOD!K9="","",IF(ISTEXT([2]BOD!K9),"",[2]BOD!K9))</f>
        <v>13</v>
      </c>
      <c r="I17" s="1274" t="str">
        <f t="shared" si="23"/>
        <v/>
      </c>
      <c r="J17" s="1274">
        <f>'dmr 1'!Q15</f>
        <v>9881.8430076573022</v>
      </c>
      <c r="K17" s="1274" t="str">
        <f t="shared" si="24"/>
        <v/>
      </c>
      <c r="L17" s="1275">
        <f>IF([2]TSS!K9="","",IF(ISTEXT([2]TSS!K9),"",[2]TSS!K9))</f>
        <v>14</v>
      </c>
      <c r="M17" s="1274" t="str">
        <f t="shared" si="25"/>
        <v/>
      </c>
      <c r="N17" s="1274">
        <f>'dmr 1'!V15</f>
        <v>10641.984777477095</v>
      </c>
      <c r="O17" s="1274" t="str">
        <f t="shared" si="26"/>
        <v/>
      </c>
      <c r="P17" s="1274">
        <f>IF([2]alk_pH_Cl2!N9="","",[2]alk_pH_Cl2!N9)</f>
        <v>19</v>
      </c>
      <c r="Q17" s="1276" t="str">
        <f t="shared" si="27"/>
        <v/>
      </c>
      <c r="R17" s="1277">
        <f>IF([2]BOD!L9="","",IF(ISTEXT([2]BOD!L9),"",[2]BOD!L9))</f>
        <v>63</v>
      </c>
      <c r="S17" s="1274" t="str">
        <f t="shared" si="28"/>
        <v/>
      </c>
      <c r="T17" s="1274">
        <f>IF('dmr 2'!E15="","",'dmr 2'!E15)</f>
        <v>4516.4240398331267</v>
      </c>
      <c r="U17" s="1274" t="str">
        <f t="shared" si="29"/>
        <v/>
      </c>
      <c r="V17" s="1275">
        <f>IF([2]TSS!L9="","",IF(ISTEXT([2]TSS!L9),"",[2]TSS!L9))</f>
        <v>40</v>
      </c>
      <c r="W17" s="1274" t="str">
        <f t="shared" si="30"/>
        <v/>
      </c>
      <c r="X17" s="1274">
        <f>IF('dmr 2'!J15="","",'dmr 2'!J15)</f>
        <v>2867.5708189416678</v>
      </c>
      <c r="Y17" s="1278" t="str">
        <f t="shared" si="31"/>
        <v/>
      </c>
      <c r="Z17" s="1273">
        <f>IF((H17=""),"",IF(('dmr 1'!E15=""),H17,(('dmr 1'!B15*H17)+('dmr 1'!E15*R17))/('dmr 1'!B15+'dmr 1'!E15)))</f>
        <v>16.847049095993967</v>
      </c>
      <c r="AA17" s="1274" t="str">
        <f t="shared" si="32"/>
        <v/>
      </c>
      <c r="AB17" s="1274">
        <f t="shared" si="33"/>
        <v>14398.26704749043</v>
      </c>
      <c r="AC17" s="1274" t="str">
        <f t="shared" si="34"/>
        <v/>
      </c>
      <c r="AD17" s="1275">
        <f>IF((L17=""),"",IF(('dmr 1'!E15=""),L17,(('dmr 1'!B15*L17)+('dmr 1'!E15*V17))/('dmr 1'!B15+'dmr 1'!E15)))</f>
        <v>16.000465529916863</v>
      </c>
      <c r="AE17" s="1274" t="str">
        <f t="shared" si="35"/>
        <v/>
      </c>
      <c r="AF17" s="1274">
        <f t="shared" si="36"/>
        <v>13509.555596418762</v>
      </c>
      <c r="AG17" s="1276" t="str">
        <f t="shared" si="37"/>
        <v/>
      </c>
      <c r="AH17" s="1279">
        <f>IF('[1]Plant Data'!$Q9="","",'[1]Plant Data'!$Q9)</f>
        <v>61.748420000000003</v>
      </c>
      <c r="AI17" s="1274" t="str">
        <f t="shared" si="38"/>
        <v/>
      </c>
      <c r="AJ17" s="1280">
        <f>'dmr 1'!B15</f>
        <v>103.1240249895835</v>
      </c>
      <c r="AK17" s="1281" t="str">
        <f t="shared" si="39"/>
        <v/>
      </c>
    </row>
    <row r="18" spans="1:37" x14ac:dyDescent="0.2">
      <c r="B18" s="1257">
        <f t="shared" si="20"/>
        <v>43472</v>
      </c>
      <c r="C18" s="1326" t="str">
        <f t="shared" si="0"/>
        <v/>
      </c>
      <c r="D18" s="1270">
        <f>IF(OR('dmr 1'!B16="",[2]BOD!H10="",ISTEXT('dmr 1'!B16)=TRUE,ISTEXT([2]BOD!H10)=TRUE),"",'dmr 1'!B16*[2]BOD!H10*8.34)</f>
        <v>110926.11741815311</v>
      </c>
      <c r="E18" s="1271">
        <f>IF(OR('dmr 1'!B16="",[2]TSS!H10="",ISTEXT('dmr 1'!B16)=TRUE,ISTEXT([2]TSS!H10)=TRUE),"",'dmr 1'!B16*[2]TSS!H10*8.34)</f>
        <v>110926.11741815311</v>
      </c>
      <c r="F18" s="1271" t="str">
        <f t="shared" si="21"/>
        <v/>
      </c>
      <c r="G18" s="1272" t="str">
        <f t="shared" si="22"/>
        <v/>
      </c>
      <c r="H18" s="1273">
        <f>IF([2]BOD!K10="","",IF(ISTEXT([2]BOD!K10),"",[2]BOD!K10))</f>
        <v>15</v>
      </c>
      <c r="I18" s="1274" t="str">
        <f t="shared" si="23"/>
        <v/>
      </c>
      <c r="J18" s="1274">
        <f>'dmr 1'!Q16</f>
        <v>8659.0736494937501</v>
      </c>
      <c r="K18" s="1274" t="str">
        <f t="shared" si="24"/>
        <v/>
      </c>
      <c r="L18" s="1275">
        <f>IF([2]TSS!K10="","",IF(ISTEXT([2]TSS!K10),"",[2]TSS!K10))</f>
        <v>19</v>
      </c>
      <c r="M18" s="1274" t="str">
        <f t="shared" si="25"/>
        <v/>
      </c>
      <c r="N18" s="1274">
        <f>'dmr 1'!V16</f>
        <v>10968.159956025414</v>
      </c>
      <c r="O18" s="1274" t="str">
        <f t="shared" si="26"/>
        <v/>
      </c>
      <c r="P18" s="1274">
        <f>IF([2]alk_pH_Cl2!N10="","",[2]alk_pH_Cl2!N10)</f>
        <v>6</v>
      </c>
      <c r="Q18" s="1276" t="str">
        <f t="shared" si="27"/>
        <v/>
      </c>
      <c r="R18" s="1277" t="str">
        <f>IF([2]BOD!L10="","",IF(ISTEXT([2]BOD!L10),"",[2]BOD!L10))</f>
        <v/>
      </c>
      <c r="S18" s="1274" t="str">
        <f t="shared" si="28"/>
        <v/>
      </c>
      <c r="T18" s="1274" t="str">
        <f>IF('dmr 2'!E16="","",'dmr 2'!E16)</f>
        <v/>
      </c>
      <c r="U18" s="1274" t="str">
        <f t="shared" si="29"/>
        <v/>
      </c>
      <c r="V18" s="1275" t="str">
        <f>IF([2]TSS!L10="","",IF(ISTEXT([2]TSS!L10),"",[2]TSS!L10))</f>
        <v/>
      </c>
      <c r="W18" s="1274" t="str">
        <f t="shared" si="30"/>
        <v/>
      </c>
      <c r="X18" s="1274" t="str">
        <f>IF('dmr 2'!J16="","",'dmr 2'!J16)</f>
        <v/>
      </c>
      <c r="Y18" s="1278" t="str">
        <f t="shared" si="31"/>
        <v/>
      </c>
      <c r="Z18" s="1273">
        <f>IF((H18=""),"",IF(('dmr 1'!E16=""),H18,(('dmr 1'!B16*H18)+('dmr 1'!E16*R18))/('dmr 1'!B16+'dmr 1'!E16)))</f>
        <v>15</v>
      </c>
      <c r="AA18" s="1274" t="str">
        <f t="shared" si="32"/>
        <v/>
      </c>
      <c r="AB18" s="1274">
        <f t="shared" si="33"/>
        <v>8659.0736494937501</v>
      </c>
      <c r="AC18" s="1274" t="str">
        <f t="shared" si="34"/>
        <v/>
      </c>
      <c r="AD18" s="1275">
        <f>IF((L18=""),"",IF(('dmr 1'!E16=""),L18,(('dmr 1'!B16*L18)+('dmr 1'!E16*V18))/('dmr 1'!B16+'dmr 1'!E16)))</f>
        <v>19</v>
      </c>
      <c r="AE18" s="1274" t="str">
        <f t="shared" si="35"/>
        <v/>
      </c>
      <c r="AF18" s="1274">
        <f t="shared" si="36"/>
        <v>10968.159956025414</v>
      </c>
      <c r="AG18" s="1276" t="str">
        <f t="shared" si="37"/>
        <v/>
      </c>
      <c r="AH18" s="1279">
        <f>IF('[1]Plant Data'!$Q10="","",'[1]Plant Data'!$Q10)</f>
        <v>60.140459999999997</v>
      </c>
      <c r="AI18" s="1274" t="str">
        <f t="shared" si="38"/>
        <v/>
      </c>
      <c r="AJ18" s="1280">
        <f>'dmr 1'!B16</f>
        <v>59.377203996527662</v>
      </c>
      <c r="AK18" s="1281" t="str">
        <f t="shared" si="39"/>
        <v/>
      </c>
    </row>
    <row r="19" spans="1:37" x14ac:dyDescent="0.2">
      <c r="B19" s="1257">
        <f t="shared" si="20"/>
        <v>43473</v>
      </c>
      <c r="C19" s="1326" t="str">
        <f t="shared" si="0"/>
        <v/>
      </c>
      <c r="D19" s="1270">
        <f>IF(OR('dmr 1'!B17="",[2]BOD!H11="",ISTEXT('dmr 1'!B17)=TRUE,ISTEXT([2]BOD!H11)=TRUE),"",'dmr 1'!B17*[2]BOD!H11*8.34)</f>
        <v>132032.21371151009</v>
      </c>
      <c r="E19" s="1271">
        <f>IF(OR('dmr 1'!B17="",[2]TSS!H11="",ISTEXT('dmr 1'!B17)=TRUE,ISTEXT([2]TSS!H11)=TRUE),"",'dmr 1'!B17*[2]TSS!H11*8.34)</f>
        <v>172899.32747935847</v>
      </c>
      <c r="F19" s="1271" t="str">
        <f t="shared" si="21"/>
        <v/>
      </c>
      <c r="G19" s="1272" t="str">
        <f t="shared" si="22"/>
        <v/>
      </c>
      <c r="H19" s="1273">
        <f>IF([2]BOD!K11="","",IF(ISTEXT([2]BOD!K11),"",[2]BOD!K11))</f>
        <v>11</v>
      </c>
      <c r="I19" s="1274" t="str">
        <f t="shared" si="23"/>
        <v/>
      </c>
      <c r="J19" s="1274">
        <f>'dmr 1'!Q17</f>
        <v>8407.4441703083303</v>
      </c>
      <c r="K19" s="1274" t="str">
        <f t="shared" si="24"/>
        <v/>
      </c>
      <c r="L19" s="1275">
        <f>IF([2]TSS!K11="","",IF(ISTEXT([2]TSS!K11),"",[2]TSS!K11))</f>
        <v>16</v>
      </c>
      <c r="M19" s="1274" t="str">
        <f t="shared" si="25"/>
        <v/>
      </c>
      <c r="N19" s="1274">
        <f>'dmr 1'!V17</f>
        <v>12229.009702266661</v>
      </c>
      <c r="O19" s="1274" t="str">
        <f t="shared" si="26"/>
        <v/>
      </c>
      <c r="P19" s="1274">
        <f>IF([2]alk_pH_Cl2!N11="","",[2]alk_pH_Cl2!N11)</f>
        <v>66</v>
      </c>
      <c r="Q19" s="1276" t="str">
        <f t="shared" si="27"/>
        <v/>
      </c>
      <c r="R19" s="1277">
        <f>IF([2]BOD!L11="","",IF(ISTEXT([2]BOD!L11),"",[2]BOD!L11))</f>
        <v>35</v>
      </c>
      <c r="S19" s="1274" t="str">
        <f t="shared" si="28"/>
        <v/>
      </c>
      <c r="T19" s="1274">
        <f>IF('dmr 2'!E17="","",'dmr 2'!E17)</f>
        <v>714.1612690187502</v>
      </c>
      <c r="U19" s="1274" t="str">
        <f t="shared" si="29"/>
        <v/>
      </c>
      <c r="V19" s="1275">
        <f>IF([2]TSS!L11="","",IF(ISTEXT([2]TSS!L11),"",[2]TSS!L11))</f>
        <v>14</v>
      </c>
      <c r="W19" s="1274" t="str">
        <f t="shared" si="30"/>
        <v/>
      </c>
      <c r="X19" s="1274">
        <f>IF('dmr 2'!J17="","",'dmr 2'!J17)</f>
        <v>285.66450760750007</v>
      </c>
      <c r="Y19" s="1278" t="str">
        <f t="shared" si="31"/>
        <v/>
      </c>
      <c r="Z19" s="1273">
        <f>IF((H19=""),"",IF(('dmr 1'!E17=""),H19,(('dmr 1'!B17*H19)+('dmr 1'!E17*R19))/('dmr 1'!B17+'dmr 1'!E17)))</f>
        <v>11.60734729166867</v>
      </c>
      <c r="AA19" s="1274" t="str">
        <f t="shared" si="32"/>
        <v/>
      </c>
      <c r="AB19" s="1274">
        <f t="shared" si="33"/>
        <v>9121.6054393270806</v>
      </c>
      <c r="AC19" s="1274" t="str">
        <f t="shared" si="34"/>
        <v/>
      </c>
      <c r="AD19" s="1275">
        <f>IF((L19=""),"",IF(('dmr 1'!E17=""),L19,(('dmr 1'!B17*L19)+('dmr 1'!E17*V19))/('dmr 1'!B17+'dmr 1'!E17)))</f>
        <v>15.949387725694276</v>
      </c>
      <c r="AE19" s="1274" t="str">
        <f t="shared" si="35"/>
        <v/>
      </c>
      <c r="AF19" s="1274">
        <f t="shared" si="36"/>
        <v>12514.674209874162</v>
      </c>
      <c r="AG19" s="1276" t="str">
        <f t="shared" si="37"/>
        <v/>
      </c>
      <c r="AH19" s="1279">
        <f>IF('[1]Plant Data'!$Q11="","",'[1]Plant Data'!$Q11)</f>
        <v>61.006709999999998</v>
      </c>
      <c r="AI19" s="1274" t="str">
        <f t="shared" si="38"/>
        <v/>
      </c>
      <c r="AJ19" s="1280">
        <f>'dmr 1'!B17</f>
        <v>94.233337409722296</v>
      </c>
      <c r="AK19" s="1281" t="str">
        <f t="shared" si="39"/>
        <v/>
      </c>
    </row>
    <row r="20" spans="1:37" x14ac:dyDescent="0.2">
      <c r="B20" s="1257">
        <f t="shared" si="20"/>
        <v>43474</v>
      </c>
      <c r="C20" s="1326" t="str">
        <f t="shared" si="0"/>
        <v/>
      </c>
      <c r="D20" s="1270">
        <f>IF(OR('dmr 1'!B18="",[2]BOD!H12="",ISTEXT('dmr 1'!B18)=TRUE,ISTEXT([2]BOD!H12)=TRUE),"",'dmr 1'!B18*[2]BOD!H12*8.34)</f>
        <v>137814.00715984506</v>
      </c>
      <c r="E20" s="1271">
        <f>IF(OR('dmr 1'!B18="",[2]TSS!H12="",ISTEXT('dmr 1'!B18)=TRUE,ISTEXT([2]TSS!H12)=TRUE),"",'dmr 1'!B18*[2]TSS!H12*8.34)</f>
        <v>190281.26876892312</v>
      </c>
      <c r="F20" s="1271" t="str">
        <f t="shared" si="21"/>
        <v/>
      </c>
      <c r="G20" s="1272" t="str">
        <f t="shared" si="22"/>
        <v/>
      </c>
      <c r="H20" s="1273">
        <f>IF([2]BOD!K12="","",IF(ISTEXT([2]BOD!K12),"",[2]BOD!K12))</f>
        <v>13</v>
      </c>
      <c r="I20" s="1274" t="str">
        <f t="shared" si="23"/>
        <v/>
      </c>
      <c r="J20" s="1274">
        <f>'dmr 1'!Q18</f>
        <v>9584.6206105216479</v>
      </c>
      <c r="K20" s="1274" t="str">
        <f t="shared" si="24"/>
        <v/>
      </c>
      <c r="L20" s="1275">
        <f>IF([2]TSS!K12="","",IF(ISTEXT([2]TSS!K12),"",[2]TSS!K12))</f>
        <v>22</v>
      </c>
      <c r="M20" s="1274" t="str">
        <f t="shared" si="25"/>
        <v/>
      </c>
      <c r="N20" s="1274">
        <f>'dmr 1'!V18</f>
        <v>16220.127187036636</v>
      </c>
      <c r="O20" s="1274" t="str">
        <f t="shared" si="26"/>
        <v/>
      </c>
      <c r="P20" s="1274">
        <f>IF([2]alk_pH_Cl2!N12="","",[2]alk_pH_Cl2!N12)</f>
        <v>4</v>
      </c>
      <c r="Q20" s="1276" t="str">
        <f t="shared" si="27"/>
        <v/>
      </c>
      <c r="R20" s="1277" t="str">
        <f>IF([2]BOD!L12="","",IF(ISTEXT([2]BOD!L12),"",[2]BOD!L12))</f>
        <v/>
      </c>
      <c r="S20" s="1274" t="str">
        <f t="shared" si="28"/>
        <v/>
      </c>
      <c r="T20" s="1274" t="str">
        <f>IF('dmr 2'!E18="","",'dmr 2'!E18)</f>
        <v/>
      </c>
      <c r="U20" s="1274" t="str">
        <f t="shared" si="29"/>
        <v/>
      </c>
      <c r="V20" s="1275" t="str">
        <f>IF([2]TSS!L12="","",IF(ISTEXT([2]TSS!L12),"",[2]TSS!L12))</f>
        <v/>
      </c>
      <c r="W20" s="1274" t="str">
        <f t="shared" si="30"/>
        <v/>
      </c>
      <c r="X20" s="1274" t="str">
        <f>IF('dmr 2'!J18="","",'dmr 2'!J18)</f>
        <v/>
      </c>
      <c r="Y20" s="1278" t="str">
        <f t="shared" si="31"/>
        <v/>
      </c>
      <c r="Z20" s="1273">
        <f>IF((H20=""),"",IF(('dmr 1'!E18=""),H20,(('dmr 1'!B18*H20)+('dmr 1'!E18*R20))/('dmr 1'!B18+'dmr 1'!E18)))</f>
        <v>13</v>
      </c>
      <c r="AA20" s="1274" t="str">
        <f t="shared" si="32"/>
        <v/>
      </c>
      <c r="AB20" s="1274">
        <f t="shared" si="33"/>
        <v>9584.6206105216479</v>
      </c>
      <c r="AC20" s="1274" t="str">
        <f t="shared" si="34"/>
        <v/>
      </c>
      <c r="AD20" s="1275">
        <f>IF((L20=""),"",IF(('dmr 1'!E18=""),L20,(('dmr 1'!B18*L20)+('dmr 1'!E18*V20))/('dmr 1'!B18+'dmr 1'!E18)))</f>
        <v>22</v>
      </c>
      <c r="AE20" s="1274" t="str">
        <f t="shared" si="35"/>
        <v/>
      </c>
      <c r="AF20" s="1274">
        <f t="shared" si="36"/>
        <v>16220.127187036636</v>
      </c>
      <c r="AG20" s="1276" t="str">
        <f t="shared" si="37"/>
        <v/>
      </c>
      <c r="AH20" s="1279">
        <f>IF('[1]Plant Data'!$Q12="","",'[1]Plant Data'!$Q12)</f>
        <v>59.060940000000002</v>
      </c>
      <c r="AI20" s="1274" t="str">
        <f t="shared" si="38"/>
        <v/>
      </c>
      <c r="AJ20" s="1280">
        <f>'dmr 1'!B18</f>
        <v>83.880514163194348</v>
      </c>
      <c r="AK20" s="1281" t="str">
        <f t="shared" si="39"/>
        <v/>
      </c>
    </row>
    <row r="21" spans="1:37" x14ac:dyDescent="0.2">
      <c r="B21" s="1257">
        <f t="shared" si="20"/>
        <v>43475</v>
      </c>
      <c r="C21" s="1326" t="str">
        <f t="shared" si="0"/>
        <v/>
      </c>
      <c r="D21" s="1270">
        <f>IF(OR('dmr 1'!B19="",[2]BOD!H13="",ISTEXT('dmr 1'!B19)=TRUE,ISTEXT([2]BOD!H13)=TRUE),"",'dmr 1'!B19*[2]BOD!H13*8.34)</f>
        <v>105134.16751998996</v>
      </c>
      <c r="E21" s="1271">
        <f>IF(OR('dmr 1'!B19="",[2]TSS!H13="",ISTEXT('dmr 1'!B19)=TRUE,ISTEXT([2]TSS!H13)=TRUE),"",'dmr 1'!B19*[2]TSS!H13*8.34)</f>
        <v>140536.48923590494</v>
      </c>
      <c r="F21" s="1271" t="str">
        <f t="shared" si="21"/>
        <v/>
      </c>
      <c r="G21" s="1272" t="str">
        <f t="shared" si="22"/>
        <v/>
      </c>
      <c r="H21" s="1273">
        <f>IF([2]BOD!K13="","",IF(ISTEXT([2]BOD!K13),"",[2]BOD!K13))</f>
        <v>8</v>
      </c>
      <c r="I21" s="1274" t="str">
        <f t="shared" si="23"/>
        <v/>
      </c>
      <c r="J21" s="1274">
        <f>'dmr 1'!Q19</f>
        <v>4705.2870634983374</v>
      </c>
      <c r="K21" s="1274" t="str">
        <f t="shared" si="24"/>
        <v/>
      </c>
      <c r="L21" s="1275">
        <f>IF([2]TSS!K13="","",IF(ISTEXT([2]TSS!K13),"",[2]TSS!K13))</f>
        <v>12</v>
      </c>
      <c r="M21" s="1274" t="str">
        <f t="shared" si="25"/>
        <v/>
      </c>
      <c r="N21" s="1274">
        <f>'dmr 1'!V19</f>
        <v>7057.9305952475052</v>
      </c>
      <c r="O21" s="1274" t="str">
        <f t="shared" si="26"/>
        <v/>
      </c>
      <c r="P21" s="1274">
        <f>IF([2]alk_pH_Cl2!N13="","",[2]alk_pH_Cl2!N13)</f>
        <v>1</v>
      </c>
      <c r="Q21" s="1276" t="str">
        <f t="shared" si="27"/>
        <v/>
      </c>
      <c r="R21" s="1277" t="str">
        <f>IF([2]BOD!L13="","",IF(ISTEXT([2]BOD!L13),"",[2]BOD!L13))</f>
        <v/>
      </c>
      <c r="S21" s="1274" t="str">
        <f t="shared" si="28"/>
        <v/>
      </c>
      <c r="T21" s="1274" t="str">
        <f>IF('dmr 2'!E19="","",'dmr 2'!E19)</f>
        <v/>
      </c>
      <c r="U21" s="1274" t="str">
        <f t="shared" si="29"/>
        <v/>
      </c>
      <c r="V21" s="1275" t="str">
        <f>IF([2]TSS!L13="","",IF(ISTEXT([2]TSS!L13),"",[2]TSS!L13))</f>
        <v/>
      </c>
      <c r="W21" s="1274" t="str">
        <f t="shared" si="30"/>
        <v/>
      </c>
      <c r="X21" s="1274" t="str">
        <f>IF('dmr 2'!J19="","",'dmr 2'!J19)</f>
        <v/>
      </c>
      <c r="Y21" s="1278" t="str">
        <f t="shared" si="31"/>
        <v/>
      </c>
      <c r="Z21" s="1273">
        <f>IF((H21=""),"",IF(('dmr 1'!E19=""),H21,(('dmr 1'!B19*H21)+('dmr 1'!E19*R21))/('dmr 1'!B19+'dmr 1'!E19)))</f>
        <v>8</v>
      </c>
      <c r="AA21" s="1274" t="str">
        <f t="shared" si="32"/>
        <v/>
      </c>
      <c r="AB21" s="1274">
        <f t="shared" si="33"/>
        <v>4705.2870634983374</v>
      </c>
      <c r="AC21" s="1274" t="str">
        <f t="shared" si="34"/>
        <v/>
      </c>
      <c r="AD21" s="1275">
        <f>IF((L21=""),"",IF(('dmr 1'!E19=""),L21,(('dmr 1'!B19*L21)+('dmr 1'!E19*V21))/('dmr 1'!B19+'dmr 1'!E19)))</f>
        <v>12</v>
      </c>
      <c r="AE21" s="1274" t="str">
        <f t="shared" si="35"/>
        <v/>
      </c>
      <c r="AF21" s="1274">
        <f t="shared" si="36"/>
        <v>7057.9305952475052</v>
      </c>
      <c r="AG21" s="1276" t="str">
        <f t="shared" si="37"/>
        <v/>
      </c>
      <c r="AH21" s="1279">
        <f>IF('[1]Plant Data'!$Q13="","",'[1]Plant Data'!$Q13)</f>
        <v>60.241019999999999</v>
      </c>
      <c r="AI21" s="1274" t="str">
        <f t="shared" si="38"/>
        <v/>
      </c>
      <c r="AJ21" s="1280">
        <f>'dmr 1'!B19</f>
        <v>64.316404541666643</v>
      </c>
      <c r="AK21" s="1281" t="str">
        <f t="shared" si="39"/>
        <v/>
      </c>
    </row>
    <row r="22" spans="1:37" x14ac:dyDescent="0.2">
      <c r="A22" s="1253"/>
      <c r="B22" s="1257">
        <f t="shared" si="20"/>
        <v>43476</v>
      </c>
      <c r="C22" s="1326" t="str">
        <f t="shared" si="0"/>
        <v/>
      </c>
      <c r="D22" s="1270">
        <f>IF(OR('dmr 1'!B20="",[2]BOD!H14="",ISTEXT('dmr 1'!B20)=TRUE,ISTEXT([2]BOD!H14)=TRUE),"",'dmr 1'!B20*[2]BOD!H14*8.34)</f>
        <v>140678.44887470643</v>
      </c>
      <c r="E22" s="1271">
        <f>IF(OR('dmr 1'!B20="",[2]TSS!H14="",ISTEXT('dmr 1'!B20)=TRUE,ISTEXT([2]TSS!H14)=TRUE),"",'dmr 1'!B20*[2]TSS!H14*8.34)</f>
        <v>150119.95551059279</v>
      </c>
      <c r="F22" s="1271" t="str">
        <f t="shared" si="21"/>
        <v/>
      </c>
      <c r="G22" s="1272" t="str">
        <f t="shared" si="22"/>
        <v/>
      </c>
      <c r="H22" s="1273">
        <f>IF([2]BOD!K14="","",IF(ISTEXT([2]BOD!K14),"",[2]BOD!K14))</f>
        <v>9</v>
      </c>
      <c r="I22" s="1274" t="str">
        <f t="shared" si="23"/>
        <v/>
      </c>
      <c r="J22" s="1274">
        <f>'dmr 1'!Q20</f>
        <v>4620.5340972393869</v>
      </c>
      <c r="K22" s="1274" t="str">
        <f t="shared" si="24"/>
        <v/>
      </c>
      <c r="L22" s="1275">
        <f>IF([2]TSS!K14="","",IF(ISTEXT([2]TSS!K14),"",[2]TSS!K14))</f>
        <v>13</v>
      </c>
      <c r="M22" s="1274" t="str">
        <f t="shared" si="25"/>
        <v/>
      </c>
      <c r="N22" s="1274">
        <f>'dmr 1'!V20</f>
        <v>6674.1048071235582</v>
      </c>
      <c r="O22" s="1274" t="str">
        <f t="shared" si="26"/>
        <v/>
      </c>
      <c r="P22" s="1274">
        <f>IF([2]alk_pH_Cl2!N14="","",[2]alk_pH_Cl2!N14)</f>
        <v>1</v>
      </c>
      <c r="Q22" s="1276" t="str">
        <f t="shared" si="27"/>
        <v/>
      </c>
      <c r="R22" s="1277" t="str">
        <f>IF([2]BOD!L14="","",IF(ISTEXT([2]BOD!L14),"",[2]BOD!L14))</f>
        <v/>
      </c>
      <c r="S22" s="1274" t="str">
        <f t="shared" si="28"/>
        <v/>
      </c>
      <c r="T22" s="1274" t="str">
        <f>IF('dmr 2'!E20="","",'dmr 2'!E20)</f>
        <v/>
      </c>
      <c r="U22" s="1274" t="str">
        <f t="shared" si="29"/>
        <v/>
      </c>
      <c r="V22" s="1275" t="str">
        <f>IF([2]TSS!L14="","",IF(ISTEXT([2]TSS!L14),"",[2]TSS!L14))</f>
        <v/>
      </c>
      <c r="W22" s="1274" t="str">
        <f t="shared" si="30"/>
        <v/>
      </c>
      <c r="X22" s="1274" t="str">
        <f>IF('dmr 2'!J20="","",'dmr 2'!J20)</f>
        <v/>
      </c>
      <c r="Y22" s="1278" t="str">
        <f t="shared" si="31"/>
        <v/>
      </c>
      <c r="Z22" s="1273">
        <f>IF((H22=""),"",IF(('dmr 1'!E20=""),H22,(('dmr 1'!B20*H22)+('dmr 1'!E20*R22))/('dmr 1'!B20+'dmr 1'!E20)))</f>
        <v>9</v>
      </c>
      <c r="AA22" s="1274" t="str">
        <f t="shared" si="32"/>
        <v/>
      </c>
      <c r="AB22" s="1274">
        <f t="shared" si="33"/>
        <v>4620.5340972393869</v>
      </c>
      <c r="AC22" s="1274" t="str">
        <f t="shared" si="34"/>
        <v/>
      </c>
      <c r="AD22" s="1275">
        <f>IF((L22=""),"",IF(('dmr 1'!E20=""),L22,(('dmr 1'!B20*L22)+('dmr 1'!E20*V22))/('dmr 1'!B20+'dmr 1'!E20)))</f>
        <v>13</v>
      </c>
      <c r="AE22" s="1274" t="str">
        <f t="shared" si="35"/>
        <v/>
      </c>
      <c r="AF22" s="1274">
        <f t="shared" si="36"/>
        <v>6674.1048071235582</v>
      </c>
      <c r="AG22" s="1276" t="str">
        <f t="shared" si="37"/>
        <v/>
      </c>
      <c r="AH22" s="1279">
        <f>IF('[1]Plant Data'!$Q14="","",'[1]Plant Data'!$Q14)</f>
        <v>60.926299999999998</v>
      </c>
      <c r="AI22" s="1274" t="str">
        <f t="shared" si="38"/>
        <v/>
      </c>
      <c r="AJ22" s="1280">
        <f>'dmr 1'!B20</f>
        <v>56.603756809870134</v>
      </c>
      <c r="AK22" s="1281" t="str">
        <f t="shared" si="39"/>
        <v/>
      </c>
    </row>
    <row r="23" spans="1:37" x14ac:dyDescent="0.2">
      <c r="B23" s="1257">
        <f t="shared" si="20"/>
        <v>43477</v>
      </c>
      <c r="C23" s="1326" t="str">
        <f t="shared" si="0"/>
        <v>Sat</v>
      </c>
      <c r="D23" s="1270">
        <f>IF(OR('dmr 1'!B21="",[2]BOD!H15="",ISTEXT('dmr 1'!B21)=TRUE,ISTEXT([2]BOD!H15)=TRUE),"",'dmr 1'!B21*[2]BOD!H15*8.34)</f>
        <v>168100.82924848926</v>
      </c>
      <c r="E23" s="1271">
        <f>IF(OR('dmr 1'!B21="",[2]TSS!H15="",ISTEXT('dmr 1'!B21)=TRUE,ISTEXT([2]TSS!H15)=TRUE),"",'dmr 1'!B21*[2]TSS!H15*8.34)</f>
        <v>130846.05087449975</v>
      </c>
      <c r="F23" s="1271">
        <f t="shared" si="21"/>
        <v>136870.87341874113</v>
      </c>
      <c r="G23" s="1272">
        <f t="shared" si="22"/>
        <v>157431.75110094037</v>
      </c>
      <c r="H23" s="1273">
        <f>IF([2]BOD!K15="","",IF(ISTEXT([2]BOD!K15),"",[2]BOD!K15))</f>
        <v>10</v>
      </c>
      <c r="I23" s="1274">
        <f t="shared" si="23"/>
        <v>11.285714285714286</v>
      </c>
      <c r="J23" s="1274">
        <f>'dmr 1'!Q21</f>
        <v>4842.4768375979247</v>
      </c>
      <c r="K23" s="1274">
        <f t="shared" si="24"/>
        <v>7243.039919473812</v>
      </c>
      <c r="L23" s="1275">
        <f>IF([2]TSS!K15="","",IF(ISTEXT([2]TSS!K15),"",[2]TSS!K15))</f>
        <v>14</v>
      </c>
      <c r="M23" s="1274">
        <f t="shared" si="25"/>
        <v>15.714285714285714</v>
      </c>
      <c r="N23" s="1274">
        <f>'dmr 1'!V21</f>
        <v>6779.4675726370951</v>
      </c>
      <c r="O23" s="1274">
        <f t="shared" si="26"/>
        <v>10081.540656830566</v>
      </c>
      <c r="P23" s="1274">
        <f>IF([2]alk_pH_Cl2!N15="","",[2]alk_pH_Cl2!N15)</f>
        <v>3</v>
      </c>
      <c r="Q23" s="1276">
        <f t="shared" si="27"/>
        <v>5.1044287670685558</v>
      </c>
      <c r="R23" s="1277" t="str">
        <f>IF([2]BOD!L15="","",IF(ISTEXT([2]BOD!L15),"",[2]BOD!L15))</f>
        <v/>
      </c>
      <c r="S23" s="1274">
        <f t="shared" si="28"/>
        <v>49</v>
      </c>
      <c r="T23" s="1274" t="str">
        <f>IF('dmr 2'!E21="","",'dmr 2'!E21)</f>
        <v/>
      </c>
      <c r="U23" s="1274">
        <f t="shared" si="29"/>
        <v>2615.2926544259385</v>
      </c>
      <c r="V23" s="1275" t="str">
        <f>IF([2]TSS!L15="","",IF(ISTEXT([2]TSS!L15),"",[2]TSS!L15))</f>
        <v/>
      </c>
      <c r="W23" s="1274">
        <f t="shared" si="30"/>
        <v>27</v>
      </c>
      <c r="X23" s="1274" t="str">
        <f>IF('dmr 2'!J21="","",'dmr 2'!J21)</f>
        <v/>
      </c>
      <c r="Y23" s="1278">
        <f t="shared" si="31"/>
        <v>1576.6176632745839</v>
      </c>
      <c r="Z23" s="1273">
        <f>IF((H23=""),"",IF(('dmr 1'!E21=""),H23,(('dmr 1'!B21*H23)+('dmr 1'!E21*R23))/('dmr 1'!B21+'dmr 1'!E21)))</f>
        <v>10</v>
      </c>
      <c r="AA23" s="1274">
        <f t="shared" si="32"/>
        <v>11.922056626808949</v>
      </c>
      <c r="AB23" s="1274">
        <f t="shared" si="33"/>
        <v>4842.4768375979247</v>
      </c>
      <c r="AC23" s="1274">
        <f t="shared" si="34"/>
        <v>7990.2663921669373</v>
      </c>
      <c r="AD23" s="1275">
        <f>IF((L23=""),"",IF(('dmr 1'!E21=""),L23,(('dmr 1'!B21*L23)+('dmr 1'!E21*V23))/('dmr 1'!B21+'dmr 1'!E21)))</f>
        <v>14</v>
      </c>
      <c r="AE23" s="1274">
        <f t="shared" si="35"/>
        <v>15.99283617937302</v>
      </c>
      <c r="AF23" s="1274">
        <f t="shared" si="36"/>
        <v>6779.4675726370951</v>
      </c>
      <c r="AG23" s="1276">
        <f t="shared" si="37"/>
        <v>10532.002846337591</v>
      </c>
      <c r="AH23" s="1279">
        <f>IF('[1]Plant Data'!$Q15="","",'[1]Plant Data'!$Q15)</f>
        <v>61.471119999999999</v>
      </c>
      <c r="AI23" s="1274">
        <f t="shared" si="38"/>
        <v>60.656424285714273</v>
      </c>
      <c r="AJ23" s="1280">
        <f>'dmr 1'!B21</f>
        <v>54.47560737847212</v>
      </c>
      <c r="AK23" s="1281">
        <f t="shared" si="39"/>
        <v>73.715835612719516</v>
      </c>
    </row>
    <row r="24" spans="1:37" x14ac:dyDescent="0.2">
      <c r="B24" s="1257">
        <f t="shared" si="20"/>
        <v>43478</v>
      </c>
      <c r="C24" s="1326" t="str">
        <f t="shared" si="0"/>
        <v/>
      </c>
      <c r="D24" s="1270">
        <f>IF(OR('dmr 1'!B22="",[2]BOD!H16="",ISTEXT('dmr 1'!B22)=TRUE,ISTEXT([2]BOD!H16)=TRUE),"",'dmr 1'!B22*[2]BOD!H16*8.34)</f>
        <v>111839.15378275547</v>
      </c>
      <c r="E24" s="1271">
        <f>IF(OR('dmr 1'!B22="",[2]TSS!H16="",ISTEXT('dmr 1'!B22)=TRUE,ISTEXT([2]TSS!H16)=TRUE),"",'dmr 1'!B22*[2]TSS!H16*8.34)</f>
        <v>129216.55217927921</v>
      </c>
      <c r="F24" s="1271" t="str">
        <f t="shared" si="21"/>
        <v/>
      </c>
      <c r="G24" s="1272" t="str">
        <f t="shared" si="22"/>
        <v/>
      </c>
      <c r="H24" s="1273">
        <f>IF([2]BOD!K16="","",IF(ISTEXT([2]BOD!K16),"",[2]BOD!K16))</f>
        <v>8</v>
      </c>
      <c r="I24" s="1274" t="str">
        <f t="shared" si="23"/>
        <v/>
      </c>
      <c r="J24" s="1274">
        <f>'dmr 1'!Q22</f>
        <v>3782.3392049166682</v>
      </c>
      <c r="K24" s="1274" t="str">
        <f t="shared" si="24"/>
        <v/>
      </c>
      <c r="L24" s="1275">
        <f>IF([2]TSS!K16="","",IF(ISTEXT([2]TSS!K16),"",[2]TSS!K16))</f>
        <v>10</v>
      </c>
      <c r="M24" s="1274" t="str">
        <f t="shared" si="25"/>
        <v/>
      </c>
      <c r="N24" s="1274">
        <f>'dmr 1'!V22</f>
        <v>4727.9240061458349</v>
      </c>
      <c r="O24" s="1274" t="str">
        <f t="shared" si="26"/>
        <v/>
      </c>
      <c r="P24" s="1274">
        <f>IF([2]alk_pH_Cl2!N16="","",[2]alk_pH_Cl2!N16)</f>
        <v>5</v>
      </c>
      <c r="Q24" s="1276" t="str">
        <f t="shared" si="27"/>
        <v/>
      </c>
      <c r="R24" s="1277" t="str">
        <f>IF([2]BOD!L16="","",IF(ISTEXT([2]BOD!L16),"",[2]BOD!L16))</f>
        <v/>
      </c>
      <c r="S24" s="1274" t="str">
        <f t="shared" si="28"/>
        <v/>
      </c>
      <c r="T24" s="1274" t="str">
        <f>IF('dmr 2'!E22="","",'dmr 2'!E22)</f>
        <v/>
      </c>
      <c r="U24" s="1274" t="str">
        <f t="shared" si="29"/>
        <v/>
      </c>
      <c r="V24" s="1275" t="str">
        <f>IF([2]TSS!L16="","",IF(ISTEXT([2]TSS!L16),"",[2]TSS!L16))</f>
        <v/>
      </c>
      <c r="W24" s="1274" t="str">
        <f t="shared" si="30"/>
        <v/>
      </c>
      <c r="X24" s="1274" t="str">
        <f>IF('dmr 2'!J22="","",'dmr 2'!J22)</f>
        <v/>
      </c>
      <c r="Y24" s="1278" t="str">
        <f t="shared" si="31"/>
        <v/>
      </c>
      <c r="Z24" s="1273">
        <f>IF((H24=""),"",IF(('dmr 1'!E22=""),H24,(('dmr 1'!B22*H24)+('dmr 1'!E22*R24))/('dmr 1'!B22+'dmr 1'!E22)))</f>
        <v>8</v>
      </c>
      <c r="AA24" s="1274" t="str">
        <f t="shared" si="32"/>
        <v/>
      </c>
      <c r="AB24" s="1274">
        <f t="shared" si="33"/>
        <v>3782.3392049166682</v>
      </c>
      <c r="AC24" s="1274" t="str">
        <f t="shared" si="34"/>
        <v/>
      </c>
      <c r="AD24" s="1275">
        <f>IF((L24=""),"",IF(('dmr 1'!E22=""),L24,(('dmr 1'!B22*L24)+('dmr 1'!E22*V24))/('dmr 1'!B22+'dmr 1'!E22)))</f>
        <v>10</v>
      </c>
      <c r="AE24" s="1274" t="str">
        <f t="shared" si="35"/>
        <v/>
      </c>
      <c r="AF24" s="1274">
        <f t="shared" si="36"/>
        <v>4727.9240061458349</v>
      </c>
      <c r="AG24" s="1276" t="str">
        <f t="shared" si="37"/>
        <v/>
      </c>
      <c r="AH24" s="1279">
        <f>IF('[1]Plant Data'!$Q16="","",'[1]Plant Data'!$Q16)</f>
        <v>61.57188</v>
      </c>
      <c r="AI24" s="1274" t="str">
        <f t="shared" si="38"/>
        <v/>
      </c>
      <c r="AJ24" s="1280">
        <f>'dmr 1'!B22</f>
        <v>53.42617720138891</v>
      </c>
      <c r="AK24" s="1281" t="str">
        <f t="shared" si="39"/>
        <v/>
      </c>
    </row>
    <row r="25" spans="1:37" x14ac:dyDescent="0.2">
      <c r="B25" s="1257">
        <f t="shared" si="20"/>
        <v>43479</v>
      </c>
      <c r="C25" s="1326" t="str">
        <f t="shared" si="0"/>
        <v/>
      </c>
      <c r="D25" s="1270">
        <f>IF(OR('dmr 1'!B23="",[2]BOD!H17="",ISTEXT('dmr 1'!B23)=TRUE,ISTEXT([2]BOD!H17)=TRUE),"",'dmr 1'!B23*[2]BOD!H17*8.34)</f>
        <v>121371.7750516517</v>
      </c>
      <c r="E25" s="1271">
        <f>IF(OR('dmr 1'!B23="",[2]TSS!H17="",ISTEXT('dmr 1'!B23)=TRUE,ISTEXT([2]TSS!H17)=TRUE),"",'dmr 1'!B23*[2]TSS!H17*8.34)</f>
        <v>152167.59857222001</v>
      </c>
      <c r="F25" s="1271" t="str">
        <f t="shared" si="21"/>
        <v/>
      </c>
      <c r="G25" s="1272" t="str">
        <f t="shared" si="22"/>
        <v/>
      </c>
      <c r="H25" s="1273">
        <f>IF([2]BOD!K17="","",IF(ISTEXT([2]BOD!K17),"",[2]BOD!K17))</f>
        <v>7</v>
      </c>
      <c r="I25" s="1274" t="str">
        <f t="shared" si="23"/>
        <v/>
      </c>
      <c r="J25" s="1274">
        <f>'dmr 1'!Q23</f>
        <v>3458.3186873477116</v>
      </c>
      <c r="K25" s="1274" t="str">
        <f t="shared" si="24"/>
        <v/>
      </c>
      <c r="L25" s="1275">
        <f>IF([2]TSS!K17="","",IF(ISTEXT([2]TSS!K17),"",[2]TSS!K17))</f>
        <v>14</v>
      </c>
      <c r="M25" s="1274" t="str">
        <f t="shared" si="25"/>
        <v/>
      </c>
      <c r="N25" s="1274">
        <f>'dmr 1'!V23</f>
        <v>6916.6373746954232</v>
      </c>
      <c r="O25" s="1274" t="str">
        <f t="shared" si="26"/>
        <v/>
      </c>
      <c r="P25" s="1274">
        <f>IF([2]alk_pH_Cl2!N17="","",[2]alk_pH_Cl2!N17)</f>
        <v>3</v>
      </c>
      <c r="Q25" s="1276" t="str">
        <f t="shared" si="27"/>
        <v/>
      </c>
      <c r="R25" s="1277" t="str">
        <f>IF([2]BOD!L17="","",IF(ISTEXT([2]BOD!L17),"",[2]BOD!L17))</f>
        <v/>
      </c>
      <c r="S25" s="1274" t="str">
        <f t="shared" si="28"/>
        <v/>
      </c>
      <c r="T25" s="1274" t="str">
        <f>IF('dmr 2'!E23="","",'dmr 2'!E23)</f>
        <v/>
      </c>
      <c r="U25" s="1274" t="str">
        <f t="shared" si="29"/>
        <v/>
      </c>
      <c r="V25" s="1275" t="str">
        <f>IF([2]TSS!L17="","",IF(ISTEXT([2]TSS!L17),"",[2]TSS!L17))</f>
        <v/>
      </c>
      <c r="W25" s="1274" t="str">
        <f t="shared" si="30"/>
        <v/>
      </c>
      <c r="X25" s="1274" t="str">
        <f>IF('dmr 2'!J23="","",'dmr 2'!J23)</f>
        <v/>
      </c>
      <c r="Y25" s="1278" t="str">
        <f t="shared" si="31"/>
        <v/>
      </c>
      <c r="Z25" s="1273">
        <f>IF((H25=""),"",IF(('dmr 1'!E23=""),H25,(('dmr 1'!B23*H25)+('dmr 1'!E23*R25))/('dmr 1'!B23+'dmr 1'!E23)))</f>
        <v>7</v>
      </c>
      <c r="AA25" s="1274" t="str">
        <f t="shared" si="32"/>
        <v/>
      </c>
      <c r="AB25" s="1274">
        <f t="shared" si="33"/>
        <v>3458.3186873477116</v>
      </c>
      <c r="AC25" s="1274" t="str">
        <f t="shared" si="34"/>
        <v/>
      </c>
      <c r="AD25" s="1275">
        <f>IF((L25=""),"",IF(('dmr 1'!E23=""),L25,(('dmr 1'!B23*L25)+('dmr 1'!E23*V25))/('dmr 1'!B23+'dmr 1'!E23)))</f>
        <v>14</v>
      </c>
      <c r="AE25" s="1274" t="str">
        <f t="shared" si="35"/>
        <v/>
      </c>
      <c r="AF25" s="1274">
        <f t="shared" si="36"/>
        <v>6916.6373746954232</v>
      </c>
      <c r="AG25" s="1276" t="str">
        <f t="shared" si="37"/>
        <v/>
      </c>
      <c r="AH25" s="1279">
        <f>IF('[1]Plant Data'!$Q17="","",'[1]Plant Data'!$Q17)</f>
        <v>61.058639999999997</v>
      </c>
      <c r="AI25" s="1274" t="str">
        <f t="shared" si="38"/>
        <v/>
      </c>
      <c r="AJ25" s="1280">
        <f>'dmr 1'!B23</f>
        <v>54.302129215277787</v>
      </c>
      <c r="AK25" s="1281" t="str">
        <f t="shared" si="39"/>
        <v/>
      </c>
    </row>
    <row r="26" spans="1:37" x14ac:dyDescent="0.2">
      <c r="B26" s="1257">
        <f t="shared" si="20"/>
        <v>43480</v>
      </c>
      <c r="C26" s="1326" t="str">
        <f t="shared" si="0"/>
        <v/>
      </c>
      <c r="D26" s="1270">
        <f>IF(OR('dmr 1'!B24="",[2]BOD!H18="",ISTEXT('dmr 1'!B24)=TRUE,ISTEXT([2]BOD!H18)=TRUE),"",'dmr 1'!B24*[2]BOD!H18*8.34)</f>
        <v>87423.796948212286</v>
      </c>
      <c r="E26" s="1271">
        <f>IF(OR('dmr 1'!B24="",[2]TSS!H18="",ISTEXT('dmr 1'!B24)=TRUE,ISTEXT([2]TSS!H18)=TRUE),"",'dmr 1'!B24*[2]TSS!H18*8.34)</f>
        <v>135351.56380306982</v>
      </c>
      <c r="F26" s="1271" t="str">
        <f t="shared" si="21"/>
        <v/>
      </c>
      <c r="G26" s="1272" t="str">
        <f t="shared" si="22"/>
        <v/>
      </c>
      <c r="H26" s="1273">
        <f>IF([2]BOD!K18="","",IF(ISTEXT([2]BOD!K18),"",[2]BOD!K18))</f>
        <v>8</v>
      </c>
      <c r="I26" s="1274" t="str">
        <f t="shared" si="23"/>
        <v/>
      </c>
      <c r="J26" s="1274">
        <f>'dmr 1'!Q24</f>
        <v>3785.3941638283382</v>
      </c>
      <c r="K26" s="1274" t="str">
        <f t="shared" si="24"/>
        <v/>
      </c>
      <c r="L26" s="1275">
        <f>IF([2]TSS!K18="","",IF(ISTEXT([2]TSS!K18),"",[2]TSS!K18))</f>
        <v>27</v>
      </c>
      <c r="M26" s="1274" t="str">
        <f t="shared" si="25"/>
        <v/>
      </c>
      <c r="N26" s="1274">
        <f>'dmr 1'!V24</f>
        <v>12775.705302920642</v>
      </c>
      <c r="O26" s="1274" t="str">
        <f t="shared" si="26"/>
        <v/>
      </c>
      <c r="P26" s="1274">
        <f>IF([2]alk_pH_Cl2!N18="","",[2]alk_pH_Cl2!N18)</f>
        <v>1</v>
      </c>
      <c r="Q26" s="1276" t="str">
        <f t="shared" si="27"/>
        <v/>
      </c>
      <c r="R26" s="1277" t="str">
        <f>IF([2]BOD!L18="","",IF(ISTEXT([2]BOD!L18),"",[2]BOD!L18))</f>
        <v/>
      </c>
      <c r="S26" s="1274" t="str">
        <f t="shared" si="28"/>
        <v/>
      </c>
      <c r="T26" s="1274" t="str">
        <f>IF('dmr 2'!E24="","",'dmr 2'!E24)</f>
        <v/>
      </c>
      <c r="U26" s="1274" t="str">
        <f t="shared" si="29"/>
        <v/>
      </c>
      <c r="V26" s="1275" t="str">
        <f>IF([2]TSS!L18="","",IF(ISTEXT([2]TSS!L18),"",[2]TSS!L18))</f>
        <v/>
      </c>
      <c r="W26" s="1274" t="str">
        <f t="shared" si="30"/>
        <v/>
      </c>
      <c r="X26" s="1274" t="str">
        <f>IF('dmr 2'!J24="","",'dmr 2'!J24)</f>
        <v/>
      </c>
      <c r="Y26" s="1278" t="str">
        <f t="shared" si="31"/>
        <v/>
      </c>
      <c r="Z26" s="1273">
        <f>IF((H26=""),"",IF(('dmr 1'!E24=""),H26,(('dmr 1'!B24*H26)+('dmr 1'!E24*R26))/('dmr 1'!B24+'dmr 1'!E24)))</f>
        <v>8</v>
      </c>
      <c r="AA26" s="1274" t="str">
        <f t="shared" si="32"/>
        <v/>
      </c>
      <c r="AB26" s="1274">
        <f t="shared" si="33"/>
        <v>3785.3941638283382</v>
      </c>
      <c r="AC26" s="1274" t="str">
        <f t="shared" si="34"/>
        <v/>
      </c>
      <c r="AD26" s="1275">
        <f>IF((L26=""),"",IF(('dmr 1'!E24=""),L26,(('dmr 1'!B24*L26)+('dmr 1'!E24*V26))/('dmr 1'!B24+'dmr 1'!E24)))</f>
        <v>27</v>
      </c>
      <c r="AE26" s="1274" t="str">
        <f t="shared" si="35"/>
        <v/>
      </c>
      <c r="AF26" s="1274">
        <f t="shared" si="36"/>
        <v>12775.705302920642</v>
      </c>
      <c r="AG26" s="1276" t="str">
        <f t="shared" si="37"/>
        <v/>
      </c>
      <c r="AH26" s="1279">
        <f>IF('[1]Plant Data'!$Q18="","",'[1]Plant Data'!$Q18)</f>
        <v>61.158499999999997</v>
      </c>
      <c r="AI26" s="1274" t="str">
        <f t="shared" si="38"/>
        <v/>
      </c>
      <c r="AJ26" s="1280">
        <f>'dmr 1'!B24</f>
        <v>53.210505878472226</v>
      </c>
      <c r="AK26" s="1281" t="str">
        <f t="shared" si="39"/>
        <v/>
      </c>
    </row>
    <row r="27" spans="1:37" x14ac:dyDescent="0.2">
      <c r="B27" s="1257">
        <f t="shared" si="20"/>
        <v>43481</v>
      </c>
      <c r="C27" s="1326" t="str">
        <f t="shared" si="0"/>
        <v/>
      </c>
      <c r="D27" s="1270">
        <f>IF(OR('dmr 1'!B25="",[2]BOD!H19="",ISTEXT('dmr 1'!B25)=TRUE,ISTEXT([2]BOD!H19)=TRUE),"",'dmr 1'!B25*[2]BOD!H19*8.34)</f>
        <v>158856.51712256664</v>
      </c>
      <c r="E27" s="1271">
        <f>IF(OR('dmr 1'!B25="",[2]TSS!H19="",ISTEXT('dmr 1'!B25)=TRUE,ISTEXT([2]TSS!H19)=TRUE),"",'dmr 1'!B25*[2]TSS!H19*8.34)</f>
        <v>332570.11858033738</v>
      </c>
      <c r="F27" s="1271" t="str">
        <f t="shared" si="21"/>
        <v/>
      </c>
      <c r="G27" s="1272" t="str">
        <f t="shared" si="22"/>
        <v/>
      </c>
      <c r="H27" s="1273">
        <f>IF([2]BOD!K19="","",IF(ISTEXT([2]BOD!K19),"",[2]BOD!K19))</f>
        <v>9</v>
      </c>
      <c r="I27" s="1274" t="str">
        <f t="shared" si="23"/>
        <v/>
      </c>
      <c r="J27" s="1274">
        <f>'dmr 1'!Q25</f>
        <v>4956.6991265287506</v>
      </c>
      <c r="K27" s="1274" t="str">
        <f t="shared" si="24"/>
        <v/>
      </c>
      <c r="L27" s="1275">
        <f>IF([2]TSS!K19="","",IF(ISTEXT([2]TSS!K19),"",[2]TSS!K19))</f>
        <v>21</v>
      </c>
      <c r="M27" s="1274" t="str">
        <f t="shared" si="25"/>
        <v/>
      </c>
      <c r="N27" s="1274">
        <f>'dmr 1'!V25</f>
        <v>11565.63129523375</v>
      </c>
      <c r="O27" s="1274" t="str">
        <f t="shared" si="26"/>
        <v/>
      </c>
      <c r="P27" s="1274">
        <f>IF([2]alk_pH_Cl2!N19="","",[2]alk_pH_Cl2!N19)</f>
        <v>6</v>
      </c>
      <c r="Q27" s="1276" t="str">
        <f t="shared" si="27"/>
        <v/>
      </c>
      <c r="R27" s="1277" t="str">
        <f>IF([2]BOD!L19="","",IF(ISTEXT([2]BOD!L19),"",[2]BOD!L19))</f>
        <v/>
      </c>
      <c r="S27" s="1274" t="str">
        <f t="shared" si="28"/>
        <v/>
      </c>
      <c r="T27" s="1274" t="str">
        <f>IF('dmr 2'!E25="","",'dmr 2'!E25)</f>
        <v/>
      </c>
      <c r="U27" s="1274" t="str">
        <f t="shared" si="29"/>
        <v/>
      </c>
      <c r="V27" s="1275" t="str">
        <f>IF([2]TSS!L19="","",IF(ISTEXT([2]TSS!L19),"",[2]TSS!L19))</f>
        <v/>
      </c>
      <c r="W27" s="1274" t="str">
        <f t="shared" si="30"/>
        <v/>
      </c>
      <c r="X27" s="1274" t="str">
        <f>IF('dmr 2'!J25="","",'dmr 2'!J25)</f>
        <v/>
      </c>
      <c r="Y27" s="1278" t="str">
        <f t="shared" si="31"/>
        <v/>
      </c>
      <c r="Z27" s="1273">
        <f>IF((H27=""),"",IF(('dmr 1'!E25=""),H27,(('dmr 1'!B25*H27)+('dmr 1'!E25*R27))/('dmr 1'!B25+'dmr 1'!E25)))</f>
        <v>9</v>
      </c>
      <c r="AA27" s="1274" t="str">
        <f t="shared" si="32"/>
        <v/>
      </c>
      <c r="AB27" s="1274">
        <f t="shared" si="33"/>
        <v>4956.6991265287506</v>
      </c>
      <c r="AC27" s="1274" t="str">
        <f t="shared" si="34"/>
        <v/>
      </c>
      <c r="AD27" s="1275">
        <f>IF((L27=""),"",IF(('dmr 1'!E25=""),L27,(('dmr 1'!B25*L27)+('dmr 1'!E25*V27))/('dmr 1'!B25+'dmr 1'!E25)))</f>
        <v>21</v>
      </c>
      <c r="AE27" s="1274" t="str">
        <f t="shared" si="35"/>
        <v/>
      </c>
      <c r="AF27" s="1274">
        <f t="shared" si="36"/>
        <v>11565.63129523375</v>
      </c>
      <c r="AG27" s="1276" t="str">
        <f t="shared" si="37"/>
        <v/>
      </c>
      <c r="AH27" s="1279">
        <f>IF('[1]Plant Data'!$Q19="","",'[1]Plant Data'!$Q19)</f>
        <v>61.398440000000001</v>
      </c>
      <c r="AI27" s="1274" t="str">
        <f t="shared" si="38"/>
        <v/>
      </c>
      <c r="AJ27" s="1280">
        <f>'dmr 1'!B25</f>
        <v>68.516345393857577</v>
      </c>
      <c r="AK27" s="1281" t="str">
        <f t="shared" si="39"/>
        <v/>
      </c>
    </row>
    <row r="28" spans="1:37" x14ac:dyDescent="0.2">
      <c r="B28" s="1257">
        <f t="shared" si="20"/>
        <v>43482</v>
      </c>
      <c r="C28" s="1326" t="str">
        <f t="shared" si="0"/>
        <v/>
      </c>
      <c r="D28" s="1270">
        <f>IF(OR('dmr 1'!B26="",[2]BOD!H20="",ISTEXT('dmr 1'!B26)=TRUE,ISTEXT([2]BOD!H20)=TRUE),"",'dmr 1'!B26*[2]BOD!H20*8.34)</f>
        <v>147360.51965873945</v>
      </c>
      <c r="E28" s="1271">
        <f>IF(OR('dmr 1'!B26="",[2]TSS!H20="",ISTEXT('dmr 1'!B26)=TRUE,ISTEXT([2]TSS!H20)=TRUE),"",'dmr 1'!B26*[2]TSS!H20*8.34)</f>
        <v>185714.62751512372</v>
      </c>
      <c r="F28" s="1271" t="str">
        <f t="shared" si="21"/>
        <v/>
      </c>
      <c r="G28" s="1272" t="str">
        <f t="shared" si="22"/>
        <v/>
      </c>
      <c r="H28" s="1273">
        <f>IF([2]BOD!K20="","",IF(ISTEXT([2]BOD!K20),"",[2]BOD!K20))</f>
        <v>10</v>
      </c>
      <c r="I28" s="1274" t="str">
        <f t="shared" si="23"/>
        <v/>
      </c>
      <c r="J28" s="1274">
        <f>'dmr 1'!Q26</f>
        <v>5897.7572015749993</v>
      </c>
      <c r="K28" s="1274" t="str">
        <f t="shared" si="24"/>
        <v/>
      </c>
      <c r="L28" s="1275">
        <f>IF([2]TSS!K20="","",IF(ISTEXT([2]TSS!K20),"",[2]TSS!K20))</f>
        <v>16</v>
      </c>
      <c r="M28" s="1274" t="str">
        <f t="shared" si="25"/>
        <v/>
      </c>
      <c r="N28" s="1274">
        <f>'dmr 1'!V26</f>
        <v>9436.4115225199985</v>
      </c>
      <c r="O28" s="1274" t="str">
        <f t="shared" si="26"/>
        <v/>
      </c>
      <c r="P28" s="1274">
        <f>IF([2]alk_pH_Cl2!N20="","",[2]alk_pH_Cl2!N20)</f>
        <v>4</v>
      </c>
      <c r="Q28" s="1276" t="str">
        <f t="shared" si="27"/>
        <v/>
      </c>
      <c r="R28" s="1277" t="str">
        <f>IF([2]BOD!L20="","",IF(ISTEXT([2]BOD!L20),"",[2]BOD!L20))</f>
        <v/>
      </c>
      <c r="S28" s="1274" t="str">
        <f t="shared" si="28"/>
        <v/>
      </c>
      <c r="T28" s="1274" t="str">
        <f>IF('dmr 2'!E26="","",'dmr 2'!E26)</f>
        <v/>
      </c>
      <c r="U28" s="1274" t="str">
        <f t="shared" si="29"/>
        <v/>
      </c>
      <c r="V28" s="1275" t="str">
        <f>IF([2]TSS!L20="","",IF(ISTEXT([2]TSS!L20),"",[2]TSS!L20))</f>
        <v/>
      </c>
      <c r="W28" s="1274" t="str">
        <f t="shared" si="30"/>
        <v/>
      </c>
      <c r="X28" s="1274" t="str">
        <f>IF('dmr 2'!J26="","",'dmr 2'!J26)</f>
        <v/>
      </c>
      <c r="Y28" s="1278" t="str">
        <f t="shared" si="31"/>
        <v/>
      </c>
      <c r="Z28" s="1273">
        <f>IF((H28=""),"",IF(('dmr 1'!E26=""),H28,(('dmr 1'!B26*H28)+('dmr 1'!E26*R28))/('dmr 1'!B26+'dmr 1'!E26)))</f>
        <v>10</v>
      </c>
      <c r="AA28" s="1274" t="str">
        <f t="shared" si="32"/>
        <v/>
      </c>
      <c r="AB28" s="1274">
        <f t="shared" si="33"/>
        <v>5897.7572015749993</v>
      </c>
      <c r="AC28" s="1274" t="str">
        <f t="shared" si="34"/>
        <v/>
      </c>
      <c r="AD28" s="1275">
        <f>IF((L28=""),"",IF(('dmr 1'!E26=""),L28,(('dmr 1'!B26*L28)+('dmr 1'!E26*V28))/('dmr 1'!B26+'dmr 1'!E26)))</f>
        <v>16</v>
      </c>
      <c r="AE28" s="1274" t="str">
        <f t="shared" si="35"/>
        <v/>
      </c>
      <c r="AF28" s="1274">
        <f t="shared" si="36"/>
        <v>9436.4115225199985</v>
      </c>
      <c r="AG28" s="1276" t="str">
        <f t="shared" si="37"/>
        <v/>
      </c>
      <c r="AH28" s="1279">
        <f>IF('[1]Plant Data'!$Q20="","",'[1]Plant Data'!$Q20)</f>
        <v>60.767189999999999</v>
      </c>
      <c r="AI28" s="1274" t="str">
        <f t="shared" si="38"/>
        <v/>
      </c>
      <c r="AJ28" s="1280">
        <f>'dmr 1'!B26</f>
        <v>60.510709100694569</v>
      </c>
      <c r="AK28" s="1281" t="str">
        <f t="shared" si="39"/>
        <v/>
      </c>
    </row>
    <row r="29" spans="1:37" x14ac:dyDescent="0.2">
      <c r="B29" s="1257">
        <f t="shared" si="20"/>
        <v>43483</v>
      </c>
      <c r="C29" s="1326" t="str">
        <f t="shared" si="0"/>
        <v/>
      </c>
      <c r="D29" s="1270">
        <f>IF(OR('dmr 1'!B27="",[2]BOD!H21="",ISTEXT('dmr 1'!B27)=TRUE,ISTEXT([2]BOD!H21)=TRUE),"",'dmr 1'!B27*[2]BOD!H21*8.34)</f>
        <v>197054.64732869991</v>
      </c>
      <c r="E29" s="1271">
        <f>IF(OR('dmr 1'!B27="",[2]TSS!H21="",ISTEXT('dmr 1'!B27)=TRUE,ISTEXT([2]TSS!H21)=TRUE),"",'dmr 1'!B27*[2]TSS!H21*8.34)</f>
        <v>291202.97883018991</v>
      </c>
      <c r="F29" s="1271" t="str">
        <f t="shared" si="21"/>
        <v/>
      </c>
      <c r="G29" s="1272" t="str">
        <f t="shared" si="22"/>
        <v/>
      </c>
      <c r="H29" s="1273">
        <f>IF([2]BOD!K21="","",IF(ISTEXT([2]BOD!K21),"",[2]BOD!K21))</f>
        <v>9</v>
      </c>
      <c r="I29" s="1274" t="str">
        <f t="shared" si="23"/>
        <v/>
      </c>
      <c r="J29" s="1274">
        <f>'dmr 1'!Q27</f>
        <v>6441.6182695462439</v>
      </c>
      <c r="K29" s="1274" t="str">
        <f t="shared" si="24"/>
        <v/>
      </c>
      <c r="L29" s="1275">
        <f>IF([2]TSS!K21="","",IF(ISTEXT([2]TSS!K21),"",[2]TSS!K21))</f>
        <v>16</v>
      </c>
      <c r="M29" s="1274" t="str">
        <f t="shared" si="25"/>
        <v/>
      </c>
      <c r="N29" s="1274">
        <f>'dmr 1'!V27</f>
        <v>11451.765812526655</v>
      </c>
      <c r="O29" s="1274" t="str">
        <f t="shared" si="26"/>
        <v/>
      </c>
      <c r="P29" s="1274">
        <f>IF([2]alk_pH_Cl2!N21="","",[2]alk_pH_Cl2!N21)</f>
        <v>6</v>
      </c>
      <c r="Q29" s="1276" t="str">
        <f t="shared" si="27"/>
        <v/>
      </c>
      <c r="R29" s="1277">
        <f>IF([2]BOD!L21="","",IF(ISTEXT([2]BOD!L21),"",[2]BOD!L21))</f>
        <v>39</v>
      </c>
      <c r="S29" s="1274" t="str">
        <f t="shared" si="28"/>
        <v/>
      </c>
      <c r="T29" s="1274">
        <f>IF('dmr 2'!E27="","",'dmr 2'!E27)</f>
        <v>13132.434201144371</v>
      </c>
      <c r="U29" s="1274" t="str">
        <f t="shared" si="29"/>
        <v/>
      </c>
      <c r="V29" s="1275">
        <f>IF([2]TSS!L21="","",IF(ISTEXT([2]TSS!L21),"",[2]TSS!L21))</f>
        <v>26</v>
      </c>
      <c r="W29" s="1274" t="str">
        <f t="shared" si="30"/>
        <v/>
      </c>
      <c r="X29" s="1274">
        <f>IF('dmr 2'!J27="","",'dmr 2'!J27)</f>
        <v>8754.9561340962464</v>
      </c>
      <c r="Y29" s="1278" t="str">
        <f t="shared" si="31"/>
        <v/>
      </c>
      <c r="Z29" s="1273">
        <f>IF((H29=""),"",IF(('dmr 1'!E27=""),H29,(('dmr 1'!B27*H29)+('dmr 1'!E27*R29))/('dmr 1'!B27+'dmr 1'!E27)))</f>
        <v>16.056956972312729</v>
      </c>
      <c r="AA29" s="1274" t="str">
        <f t="shared" si="32"/>
        <v/>
      </c>
      <c r="AB29" s="1274">
        <f t="shared" si="33"/>
        <v>19574.052470690614</v>
      </c>
      <c r="AC29" s="1274" t="str">
        <f t="shared" si="34"/>
        <v/>
      </c>
      <c r="AD29" s="1275">
        <f>IF((L29=""),"",IF(('dmr 1'!E27=""),L29,(('dmr 1'!B27*L29)+('dmr 1'!E27*V29))/('dmr 1'!B27+'dmr 1'!E27)))</f>
        <v>18.352318990770907</v>
      </c>
      <c r="AE29" s="1274" t="str">
        <f t="shared" si="35"/>
        <v/>
      </c>
      <c r="AF29" s="1274">
        <f t="shared" si="36"/>
        <v>20206.7219466229</v>
      </c>
      <c r="AG29" s="1276" t="str">
        <f t="shared" si="37"/>
        <v/>
      </c>
      <c r="AH29" s="1279">
        <f>IF('[1]Plant Data'!$Q21="","",'[1]Plant Data'!$Q21)</f>
        <v>61.021459999999998</v>
      </c>
      <c r="AI29" s="1274" t="str">
        <f t="shared" si="38"/>
        <v/>
      </c>
      <c r="AJ29" s="1280">
        <f>'dmr 1'!B27</f>
        <v>131.26475308333329</v>
      </c>
      <c r="AK29" s="1281" t="str">
        <f t="shared" si="39"/>
        <v/>
      </c>
    </row>
    <row r="30" spans="1:37" x14ac:dyDescent="0.2">
      <c r="B30" s="1257">
        <f t="shared" si="20"/>
        <v>43484</v>
      </c>
      <c r="C30" s="1326" t="str">
        <f t="shared" si="0"/>
        <v>Sat</v>
      </c>
      <c r="D30" s="1270">
        <f>IF(OR('dmr 1'!B28="",[2]BOD!H22="",ISTEXT('dmr 1'!B28)=TRUE,ISTEXT([2]BOD!H22)=TRUE),"",'dmr 1'!B28*[2]BOD!H22*8.34)</f>
        <v>149304.06421563949</v>
      </c>
      <c r="E30" s="1271">
        <f>IF(OR('dmr 1'!B28="",[2]TSS!H22="",ISTEXT('dmr 1'!B28)=TRUE,ISTEXT([2]TSS!H22)=TRUE),"",'dmr 1'!B28*[2]TSS!H22*8.34)</f>
        <v>188594.60743028147</v>
      </c>
      <c r="F30" s="1271">
        <f t="shared" si="21"/>
        <v>139030.06772975213</v>
      </c>
      <c r="G30" s="1272">
        <f t="shared" si="22"/>
        <v>202116.86384435737</v>
      </c>
      <c r="H30" s="1273">
        <f>IF([2]BOD!K22="","",IF(ISTEXT([2]BOD!K22),"",[2]BOD!K22))</f>
        <v>16</v>
      </c>
      <c r="I30" s="1274">
        <f t="shared" si="23"/>
        <v>9.5714285714285712</v>
      </c>
      <c r="J30" s="1274">
        <f>'dmr 1'!Q28</f>
        <v>15464.272597836674</v>
      </c>
      <c r="K30" s="1274">
        <f t="shared" si="24"/>
        <v>6255.1998930827694</v>
      </c>
      <c r="L30" s="1275">
        <f>IF([2]TSS!K22="","",IF(ISTEXT([2]TSS!K22),"",[2]TSS!K22))</f>
        <v>35</v>
      </c>
      <c r="M30" s="1274">
        <f t="shared" si="25"/>
        <v>19.857142857142858</v>
      </c>
      <c r="N30" s="1274">
        <f>'dmr 1'!V28</f>
        <v>33828.096307767722</v>
      </c>
      <c r="O30" s="1274">
        <f t="shared" si="26"/>
        <v>12957.453088830005</v>
      </c>
      <c r="P30" s="1274">
        <f>IF([2]alk_pH_Cl2!N22="","",[2]alk_pH_Cl2!N22)</f>
        <v>10</v>
      </c>
      <c r="Q30" s="1276">
        <f t="shared" si="27"/>
        <v>4.161095456614456</v>
      </c>
      <c r="R30" s="1277">
        <f>IF([2]BOD!L22="","",IF(ISTEXT([2]BOD!L22),"",[2]BOD!L22))</f>
        <v>37</v>
      </c>
      <c r="S30" s="1274">
        <f t="shared" si="28"/>
        <v>38</v>
      </c>
      <c r="T30" s="1274">
        <f>IF('dmr 2'!E28="","",'dmr 2'!E28)</f>
        <v>24078.136644265021</v>
      </c>
      <c r="U30" s="1274">
        <f t="shared" si="29"/>
        <v>18605.285422704696</v>
      </c>
      <c r="V30" s="1275">
        <f>IF([2]TSS!L22="","",IF(ISTEXT([2]TSS!L22),"",[2]TSS!L22))</f>
        <v>37</v>
      </c>
      <c r="W30" s="1274">
        <f t="shared" si="30"/>
        <v>31.5</v>
      </c>
      <c r="X30" s="1274">
        <f>IF('dmr 2'!J28="","",'dmr 2'!J28)</f>
        <v>24078.136644265021</v>
      </c>
      <c r="Y30" s="1278">
        <f t="shared" si="31"/>
        <v>16416.546389180636</v>
      </c>
      <c r="Z30" s="1273">
        <f>IF((H30=""),"",IF(('dmr 1'!E28=""),H30,(('dmr 1'!B28*H30)+('dmr 1'!E28*R30))/('dmr 1'!B28+'dmr 1'!E28)))</f>
        <v>22.149243626672327</v>
      </c>
      <c r="AA30" s="1274">
        <f t="shared" si="32"/>
        <v>11.458028656997866</v>
      </c>
      <c r="AB30" s="1274">
        <f t="shared" si="33"/>
        <v>39542.409242101698</v>
      </c>
      <c r="AC30" s="1274">
        <f t="shared" si="34"/>
        <v>11570.995728141253</v>
      </c>
      <c r="AD30" s="1275">
        <f>IF((L30=""),"",IF(('dmr 1'!E28=""),L30,(('dmr 1'!B28*L30)+('dmr 1'!E28*V30))/('dmr 1'!B28+'dmr 1'!E28)))</f>
        <v>35.585642250159275</v>
      </c>
      <c r="AE30" s="1274">
        <f t="shared" si="35"/>
        <v>20.276851605847167</v>
      </c>
      <c r="AF30" s="1274">
        <f t="shared" si="36"/>
        <v>57906.232952032748</v>
      </c>
      <c r="AG30" s="1276">
        <f t="shared" si="37"/>
        <v>17647.894914310185</v>
      </c>
      <c r="AH30" s="1279">
        <f>IF('[1]Plant Data'!$Q22="","",'[1]Plant Data'!$Q22)</f>
        <v>55.515790000000003</v>
      </c>
      <c r="AI30" s="1274">
        <f t="shared" si="38"/>
        <v>60.355985714285715</v>
      </c>
      <c r="AJ30" s="1280">
        <f>'dmr 1'!B28</f>
        <v>188.44385234840274</v>
      </c>
      <c r="AK30" s="1281">
        <f t="shared" si="39"/>
        <v>87.096353174489579</v>
      </c>
    </row>
    <row r="31" spans="1:37" x14ac:dyDescent="0.2">
      <c r="B31" s="1257">
        <f t="shared" si="20"/>
        <v>43485</v>
      </c>
      <c r="C31" s="1326" t="str">
        <f t="shared" si="0"/>
        <v/>
      </c>
      <c r="D31" s="1270">
        <f>IF(OR('dmr 1'!B29="",[2]BOD!H23="",ISTEXT('dmr 1'!B29)=TRUE,ISTEXT([2]BOD!H23)=TRUE),"",'dmr 1'!B29*[2]BOD!H23*8.34)</f>
        <v>131019.11559789759</v>
      </c>
      <c r="E31" s="1271">
        <f>IF(OR('dmr 1'!B29="",[2]TSS!H23="",ISTEXT('dmr 1'!B29)=TRUE,ISTEXT([2]TSS!H23)=TRUE),"",'dmr 1'!B29*[2]TSS!H23*8.34)</f>
        <v>169839.59429357096</v>
      </c>
      <c r="F31" s="1271" t="str">
        <f t="shared" si="21"/>
        <v/>
      </c>
      <c r="G31" s="1272" t="str">
        <f t="shared" si="22"/>
        <v/>
      </c>
      <c r="H31" s="1273">
        <f>IF([2]BOD!K23="","",IF(ISTEXT([2]BOD!K23),"",[2]BOD!K23))</f>
        <v>8</v>
      </c>
      <c r="I31" s="1274" t="str">
        <f t="shared" si="23"/>
        <v/>
      </c>
      <c r="J31" s="1274">
        <f>'dmr 1'!Q29</f>
        <v>6961.4239195616792</v>
      </c>
      <c r="K31" s="1274" t="str">
        <f t="shared" si="24"/>
        <v/>
      </c>
      <c r="L31" s="1275">
        <f>IF([2]TSS!K23="","",IF(ISTEXT([2]TSS!K23),"",[2]TSS!K23))</f>
        <v>17</v>
      </c>
      <c r="M31" s="1274" t="str">
        <f t="shared" si="25"/>
        <v/>
      </c>
      <c r="N31" s="1274">
        <f>'dmr 1'!V29</f>
        <v>14793.025829068567</v>
      </c>
      <c r="O31" s="1274" t="str">
        <f t="shared" si="26"/>
        <v/>
      </c>
      <c r="P31" s="1274">
        <f>IF([2]alk_pH_Cl2!N23="","",[2]alk_pH_Cl2!N23)</f>
        <v>5</v>
      </c>
      <c r="Q31" s="1276" t="str">
        <f t="shared" si="27"/>
        <v/>
      </c>
      <c r="R31" s="1277">
        <f>IF([2]BOD!L23="","",IF(ISTEXT([2]BOD!L23),"",[2]BOD!L23))</f>
        <v>36</v>
      </c>
      <c r="S31" s="1274" t="str">
        <f t="shared" si="28"/>
        <v/>
      </c>
      <c r="T31" s="1274">
        <f>IF('dmr 2'!E29="","",'dmr 2'!E29)</f>
        <v>13210.132170509993</v>
      </c>
      <c r="U31" s="1274" t="str">
        <f t="shared" si="29"/>
        <v/>
      </c>
      <c r="V31" s="1275">
        <f>IF([2]TSS!L23="","",IF(ISTEXT([2]TSS!L23),"",[2]TSS!L23))</f>
        <v>28</v>
      </c>
      <c r="W31" s="1274" t="str">
        <f t="shared" si="30"/>
        <v/>
      </c>
      <c r="X31" s="1274">
        <f>IF('dmr 2'!J29="","",'dmr 2'!J29)</f>
        <v>10274.547243729994</v>
      </c>
      <c r="Y31" s="1278" t="str">
        <f t="shared" si="31"/>
        <v/>
      </c>
      <c r="Z31" s="1273">
        <f>IF((H31=""),"",IF(('dmr 1'!E29=""),H31,(('dmr 1'!B29*H31)+('dmr 1'!E29*R31))/('dmr 1'!B29+'dmr 1'!E29)))</f>
        <v>14.502515527915982</v>
      </c>
      <c r="AA31" s="1274" t="str">
        <f t="shared" si="32"/>
        <v/>
      </c>
      <c r="AB31" s="1274">
        <f t="shared" si="33"/>
        <v>20171.556090071674</v>
      </c>
      <c r="AC31" s="1274" t="str">
        <f t="shared" si="34"/>
        <v/>
      </c>
      <c r="AD31" s="1275">
        <f>IF((L31=""),"",IF(('dmr 1'!E29=""),L31,(('dmr 1'!B29*L31)+('dmr 1'!E29*V31))/('dmr 1'!B29+'dmr 1'!E29)))</f>
        <v>19.554559671681279</v>
      </c>
      <c r="AE31" s="1274" t="str">
        <f t="shared" si="35"/>
        <v/>
      </c>
      <c r="AF31" s="1274">
        <f t="shared" si="36"/>
        <v>25067.573072798561</v>
      </c>
      <c r="AG31" s="1276" t="str">
        <f t="shared" si="37"/>
        <v/>
      </c>
      <c r="AH31" s="1279">
        <f>IF('[1]Plant Data'!$Q23="","",'[1]Plant Data'!$Q23)</f>
        <v>57.686230000000002</v>
      </c>
      <c r="AI31" s="1274" t="str">
        <f t="shared" si="38"/>
        <v/>
      </c>
      <c r="AJ31" s="1280">
        <f>'dmr 1'!B29</f>
        <v>145.46042676736121</v>
      </c>
      <c r="AK31" s="1281" t="str">
        <f t="shared" si="39"/>
        <v/>
      </c>
    </row>
    <row r="32" spans="1:37" x14ac:dyDescent="0.2">
      <c r="B32" s="1257">
        <f t="shared" si="20"/>
        <v>43486</v>
      </c>
      <c r="C32" s="1326" t="str">
        <f t="shared" si="0"/>
        <v/>
      </c>
      <c r="D32" s="1270">
        <f>IF(OR('dmr 1'!B30="",[2]BOD!H24="",ISTEXT('dmr 1'!B30)=TRUE,ISTEXT([2]BOD!H24)=TRUE),"",'dmr 1'!B30*[2]BOD!H24*8.34)</f>
        <v>90208.719501133251</v>
      </c>
      <c r="E32" s="1271">
        <f>IF(OR('dmr 1'!B30="",[2]TSS!H24="",ISTEXT('dmr 1'!B30)=TRUE,ISTEXT([2]TSS!H24)=TRUE),"",'dmr 1'!B30*[2]TSS!H24*8.34)</f>
        <v>78932.629563491588</v>
      </c>
      <c r="F32" s="1271" t="str">
        <f t="shared" si="21"/>
        <v/>
      </c>
      <c r="G32" s="1272" t="str">
        <f t="shared" si="22"/>
        <v/>
      </c>
      <c r="H32" s="1273">
        <f>IF([2]BOD!K24="","",IF(ISTEXT([2]BOD!K24),"",[2]BOD!K24))</f>
        <v>11</v>
      </c>
      <c r="I32" s="1274" t="str">
        <f t="shared" si="23"/>
        <v/>
      </c>
      <c r="J32" s="1274">
        <f>'dmr 1'!Q30</f>
        <v>7385.204819893549</v>
      </c>
      <c r="K32" s="1274" t="str">
        <f t="shared" si="24"/>
        <v/>
      </c>
      <c r="L32" s="1275">
        <f>IF([2]TSS!K24="","",IF(ISTEXT([2]TSS!K24),"",[2]TSS!K24))</f>
        <v>22</v>
      </c>
      <c r="M32" s="1274" t="str">
        <f t="shared" si="25"/>
        <v/>
      </c>
      <c r="N32" s="1274">
        <f>'dmr 1'!V30</f>
        <v>14770.409639787098</v>
      </c>
      <c r="O32" s="1274" t="str">
        <f t="shared" si="26"/>
        <v/>
      </c>
      <c r="P32" s="1274">
        <f>IF([2]alk_pH_Cl2!N24="","",[2]alk_pH_Cl2!N24)</f>
        <v>12</v>
      </c>
      <c r="Q32" s="1276" t="str">
        <f t="shared" si="27"/>
        <v/>
      </c>
      <c r="R32" s="1277" t="str">
        <f>IF([2]BOD!L24="","",IF(ISTEXT([2]BOD!L24),"",[2]BOD!L24))</f>
        <v/>
      </c>
      <c r="S32" s="1274" t="str">
        <f t="shared" si="28"/>
        <v/>
      </c>
      <c r="T32" s="1274" t="str">
        <f>IF('dmr 2'!E30="","",'dmr 2'!E30)</f>
        <v/>
      </c>
      <c r="U32" s="1274" t="str">
        <f t="shared" si="29"/>
        <v/>
      </c>
      <c r="V32" s="1275" t="str">
        <f>IF([2]TSS!L24="","",IF(ISTEXT([2]TSS!L24),"",[2]TSS!L24))</f>
        <v/>
      </c>
      <c r="W32" s="1274" t="str">
        <f t="shared" si="30"/>
        <v/>
      </c>
      <c r="X32" s="1274" t="str">
        <f>IF('dmr 2'!J30="","",'dmr 2'!J30)</f>
        <v/>
      </c>
      <c r="Y32" s="1278" t="str">
        <f t="shared" si="31"/>
        <v/>
      </c>
      <c r="Z32" s="1273">
        <f>IF((H32=""),"",IF(('dmr 1'!E30=""),H32,(('dmr 1'!B30*H32)+('dmr 1'!E30*R32))/('dmr 1'!B30+'dmr 1'!E30)))</f>
        <v>11</v>
      </c>
      <c r="AA32" s="1274" t="str">
        <f t="shared" si="32"/>
        <v/>
      </c>
      <c r="AB32" s="1274">
        <f t="shared" si="33"/>
        <v>7385.204819893549</v>
      </c>
      <c r="AC32" s="1274" t="str">
        <f t="shared" si="34"/>
        <v/>
      </c>
      <c r="AD32" s="1275">
        <f>IF((L32=""),"",IF(('dmr 1'!E30=""),L32,(('dmr 1'!B30*L32)+('dmr 1'!E30*V32))/('dmr 1'!B30+'dmr 1'!E30)))</f>
        <v>22</v>
      </c>
      <c r="AE32" s="1274" t="str">
        <f t="shared" si="35"/>
        <v/>
      </c>
      <c r="AF32" s="1274">
        <f t="shared" si="36"/>
        <v>14770.409639787098</v>
      </c>
      <c r="AG32" s="1276" t="str">
        <f t="shared" si="37"/>
        <v/>
      </c>
      <c r="AH32" s="1279">
        <f>IF('[1]Plant Data'!$Q24="","",'[1]Plant Data'!$Q24)</f>
        <v>58.594949999999997</v>
      </c>
      <c r="AI32" s="1274" t="str">
        <f t="shared" si="38"/>
        <v/>
      </c>
      <c r="AJ32" s="1280">
        <f>'dmr 1'!B30</f>
        <v>67.602457659722162</v>
      </c>
      <c r="AK32" s="1281" t="str">
        <f t="shared" si="39"/>
        <v/>
      </c>
    </row>
    <row r="33" spans="2:37" x14ac:dyDescent="0.2">
      <c r="B33" s="1257">
        <f t="shared" si="20"/>
        <v>43487</v>
      </c>
      <c r="C33" s="1326" t="str">
        <f t="shared" si="0"/>
        <v/>
      </c>
      <c r="D33" s="1270">
        <f>IF(OR('dmr 1'!B31="",[2]BOD!H25="",ISTEXT('dmr 1'!B31)=TRUE,ISTEXT([2]BOD!H25)=TRUE),"",'dmr 1'!B31*[2]BOD!H25*8.34)</f>
        <v>166595.88641118468</v>
      </c>
      <c r="E33" s="1271">
        <f>IF(OR('dmr 1'!B31="",[2]TSS!H25="",ISTEXT('dmr 1'!B31)=TRUE,ISTEXT([2]TSS!H25)=TRUE),"",'dmr 1'!B31*[2]TSS!H25*8.34)</f>
        <v>234396.53785759702</v>
      </c>
      <c r="F33" s="1271" t="str">
        <f t="shared" si="21"/>
        <v/>
      </c>
      <c r="G33" s="1272" t="str">
        <f t="shared" si="22"/>
        <v/>
      </c>
      <c r="H33" s="1273">
        <f>IF([2]BOD!K25="","",IF(ISTEXT([2]BOD!K25),"",[2]BOD!K25))</f>
        <v>12</v>
      </c>
      <c r="I33" s="1274" t="str">
        <f t="shared" si="23"/>
        <v/>
      </c>
      <c r="J33" s="1274">
        <f>'dmr 1'!Q31</f>
        <v>9030.322759462495</v>
      </c>
      <c r="K33" s="1274" t="str">
        <f t="shared" si="24"/>
        <v/>
      </c>
      <c r="L33" s="1275">
        <f>IF([2]TSS!K25="","",IF(ISTEXT([2]TSS!K25),"",[2]TSS!K25))</f>
        <v>17</v>
      </c>
      <c r="M33" s="1274" t="str">
        <f t="shared" si="25"/>
        <v/>
      </c>
      <c r="N33" s="1274">
        <f>'dmr 1'!V31</f>
        <v>12792.957242571867</v>
      </c>
      <c r="O33" s="1274" t="str">
        <f t="shared" si="26"/>
        <v/>
      </c>
      <c r="P33" s="1274">
        <f>IF([2]alk_pH_Cl2!N25="","",[2]alk_pH_Cl2!N25)</f>
        <v>4</v>
      </c>
      <c r="Q33" s="1276" t="str">
        <f t="shared" si="27"/>
        <v/>
      </c>
      <c r="R33" s="1277">
        <f>IF([2]BOD!L25="","",IF(ISTEXT([2]BOD!L25),"",[2]BOD!L25))</f>
        <v>69</v>
      </c>
      <c r="S33" s="1274" t="str">
        <f t="shared" si="28"/>
        <v/>
      </c>
      <c r="T33" s="1274">
        <f>IF('dmr 2'!E31="","",'dmr 2'!E31)</f>
        <v>13556.094084080014</v>
      </c>
      <c r="U33" s="1274" t="str">
        <f t="shared" si="29"/>
        <v/>
      </c>
      <c r="V33" s="1275">
        <f>IF([2]TSS!L25="","",IF(ISTEXT([2]TSS!L25),"",[2]TSS!L25))</f>
        <v>21</v>
      </c>
      <c r="W33" s="1274" t="str">
        <f t="shared" si="30"/>
        <v/>
      </c>
      <c r="X33" s="1274">
        <f>IF('dmr 2'!J31="","",'dmr 2'!J31)</f>
        <v>4125.7677647200044</v>
      </c>
      <c r="Y33" s="1278" t="str">
        <f t="shared" si="31"/>
        <v/>
      </c>
      <c r="Z33" s="1273">
        <f>IF((H33=""),"",IF(('dmr 1'!E31=""),H33,(('dmr 1'!B31*H33)+('dmr 1'!E31*R33))/('dmr 1'!B31+'dmr 1'!E31)))</f>
        <v>21.612078653092922</v>
      </c>
      <c r="AA33" s="1274" t="str">
        <f t="shared" si="32"/>
        <v/>
      </c>
      <c r="AB33" s="1274">
        <f t="shared" si="33"/>
        <v>22586.416843542509</v>
      </c>
      <c r="AC33" s="1274" t="str">
        <f t="shared" si="34"/>
        <v/>
      </c>
      <c r="AD33" s="1275">
        <f>IF((L33=""),"",IF(('dmr 1'!E31=""),L33,(('dmr 1'!B31*L33)+('dmr 1'!E31*V33))/('dmr 1'!B31+'dmr 1'!E31)))</f>
        <v>17.674531835304769</v>
      </c>
      <c r="AE33" s="1274" t="str">
        <f t="shared" si="35"/>
        <v/>
      </c>
      <c r="AF33" s="1274">
        <f t="shared" si="36"/>
        <v>16918.725007291872</v>
      </c>
      <c r="AG33" s="1276" t="str">
        <f t="shared" si="37"/>
        <v/>
      </c>
      <c r="AH33" s="1279">
        <f>IF('[1]Plant Data'!$Q25="","",'[1]Plant Data'!$Q25)</f>
        <v>59.553040000000003</v>
      </c>
      <c r="AI33" s="1274" t="str">
        <f t="shared" si="38"/>
        <v/>
      </c>
      <c r="AJ33" s="1280">
        <f>'dmr 1'!B31</f>
        <v>116.1367787708331</v>
      </c>
      <c r="AK33" s="1281" t="str">
        <f t="shared" si="39"/>
        <v/>
      </c>
    </row>
    <row r="34" spans="2:37" x14ac:dyDescent="0.2">
      <c r="B34" s="1257">
        <f t="shared" si="20"/>
        <v>43488</v>
      </c>
      <c r="C34" s="1326" t="str">
        <f t="shared" si="0"/>
        <v/>
      </c>
      <c r="D34" s="1270">
        <f>IF(OR('dmr 1'!B32="",[2]BOD!H26="",ISTEXT('dmr 1'!B32)=TRUE,ISTEXT([2]BOD!H26)=TRUE),"",'dmr 1'!B32*[2]BOD!H26*8.34)</f>
        <v>152493.54190334395</v>
      </c>
      <c r="E34" s="1271">
        <f>IF(OR('dmr 1'!B32="",[2]TSS!H26="",ISTEXT('dmr 1'!B32)=TRUE,ISTEXT([2]TSS!H26)=TRUE),"",'dmr 1'!B32*[2]TSS!H26*8.34)</f>
        <v>149059.00267128664</v>
      </c>
      <c r="F34" s="1271" t="str">
        <f t="shared" si="21"/>
        <v/>
      </c>
      <c r="G34" s="1272" t="str">
        <f t="shared" si="22"/>
        <v/>
      </c>
      <c r="H34" s="1273">
        <f>IF([2]BOD!K26="","",IF(ISTEXT([2]BOD!K26),"",[2]BOD!K26))</f>
        <v>10</v>
      </c>
      <c r="I34" s="1274" t="str">
        <f t="shared" si="23"/>
        <v/>
      </c>
      <c r="J34" s="1274">
        <f>'dmr 1'!Q32</f>
        <v>7878.016134845845</v>
      </c>
      <c r="K34" s="1274" t="str">
        <f t="shared" si="24"/>
        <v/>
      </c>
      <c r="L34" s="1275">
        <f>IF([2]TSS!K26="","",IF(ISTEXT([2]TSS!K26),"",[2]TSS!K26))</f>
        <v>16</v>
      </c>
      <c r="M34" s="1274" t="str">
        <f t="shared" si="25"/>
        <v/>
      </c>
      <c r="N34" s="1274">
        <f>'dmr 1'!V32</f>
        <v>12604.825815753353</v>
      </c>
      <c r="O34" s="1274" t="str">
        <f t="shared" si="26"/>
        <v/>
      </c>
      <c r="P34" s="1274">
        <f>IF([2]alk_pH_Cl2!N26="","",[2]alk_pH_Cl2!N26)</f>
        <v>22</v>
      </c>
      <c r="Q34" s="1276" t="str">
        <f t="shared" si="27"/>
        <v/>
      </c>
      <c r="R34" s="1277" t="str">
        <f>IF([2]BOD!L26="","",IF(ISTEXT([2]BOD!L26),"",[2]BOD!L26))</f>
        <v/>
      </c>
      <c r="S34" s="1274" t="str">
        <f t="shared" si="28"/>
        <v/>
      </c>
      <c r="T34" s="1274" t="str">
        <f>IF('dmr 2'!E32="","",'dmr 2'!E32)</f>
        <v/>
      </c>
      <c r="U34" s="1274" t="str">
        <f t="shared" si="29"/>
        <v/>
      </c>
      <c r="V34" s="1275" t="str">
        <f>IF([2]TSS!L26="","",IF(ISTEXT([2]TSS!L26),"",[2]TSS!L26))</f>
        <v/>
      </c>
      <c r="W34" s="1274" t="str">
        <f t="shared" si="30"/>
        <v/>
      </c>
      <c r="X34" s="1274" t="str">
        <f>IF('dmr 2'!J32="","",'dmr 2'!J32)</f>
        <v/>
      </c>
      <c r="Y34" s="1278" t="str">
        <f t="shared" si="31"/>
        <v/>
      </c>
      <c r="Z34" s="1273">
        <f>IF((H34=""),"",IF(('dmr 1'!E32=""),H34,(('dmr 1'!B32*H34)+('dmr 1'!E32*R34))/('dmr 1'!B32+'dmr 1'!E32)))</f>
        <v>10</v>
      </c>
      <c r="AA34" s="1274" t="str">
        <f t="shared" si="32"/>
        <v/>
      </c>
      <c r="AB34" s="1274">
        <f t="shared" si="33"/>
        <v>7878.016134845845</v>
      </c>
      <c r="AC34" s="1274" t="str">
        <f t="shared" si="34"/>
        <v/>
      </c>
      <c r="AD34" s="1275">
        <f>IF((L34=""),"",IF(('dmr 1'!E32=""),L34,(('dmr 1'!B32*L34)+('dmr 1'!E32*V34))/('dmr 1'!B32+'dmr 1'!E32)))</f>
        <v>16</v>
      </c>
      <c r="AE34" s="1274" t="str">
        <f t="shared" si="35"/>
        <v/>
      </c>
      <c r="AF34" s="1274">
        <f t="shared" si="36"/>
        <v>12604.825815753353</v>
      </c>
      <c r="AG34" s="1276" t="str">
        <f t="shared" si="37"/>
        <v/>
      </c>
      <c r="AH34" s="1279">
        <f>IF('[1]Plant Data'!$Q26="","",'[1]Plant Data'!$Q26)</f>
        <v>58.93676</v>
      </c>
      <c r="AI34" s="1274" t="str">
        <f t="shared" si="38"/>
        <v/>
      </c>
      <c r="AJ34" s="1280">
        <f>'dmr 1'!B32</f>
        <v>82.363051128472321</v>
      </c>
      <c r="AK34" s="1281" t="str">
        <f t="shared" si="39"/>
        <v/>
      </c>
    </row>
    <row r="35" spans="2:37" x14ac:dyDescent="0.2">
      <c r="B35" s="1257">
        <f t="shared" si="20"/>
        <v>43489</v>
      </c>
      <c r="C35" s="1326" t="str">
        <f t="shared" si="0"/>
        <v/>
      </c>
      <c r="D35" s="1346">
        <f>IF(OR('dmr 1'!B33="",[2]BOD!H27="",ISTEXT('dmr 1'!B33)=TRUE,ISTEXT([2]BOD!H27)=TRUE),"",'dmr 1'!B33*[2]BOD!H27*8.34)</f>
        <v>141803.67985918419</v>
      </c>
      <c r="E35" s="1347">
        <f>IF(OR('dmr 1'!B33="",[2]TSS!H27="",ISTEXT('dmr 1'!B33)=TRUE,ISTEXT([2]TSS!H27)=TRUE),"",'dmr 1'!B33*[2]TSS!H27*8.34)</f>
        <v>297364.43313754298</v>
      </c>
      <c r="F35" s="1347" t="str">
        <f t="shared" si="21"/>
        <v/>
      </c>
      <c r="G35" s="1348" t="str">
        <f t="shared" si="22"/>
        <v/>
      </c>
      <c r="H35" s="1349">
        <f>IF([2]BOD!K27="","",IF(ISTEXT([2]BOD!K27),"",[2]BOD!K27))</f>
        <v>14</v>
      </c>
      <c r="I35" s="1350" t="str">
        <f t="shared" si="23"/>
        <v/>
      </c>
      <c r="J35" s="1350">
        <f>'dmr 1'!Q33</f>
        <v>7866.6127778437585</v>
      </c>
      <c r="K35" s="1350" t="str">
        <f t="shared" si="24"/>
        <v/>
      </c>
      <c r="L35" s="1351">
        <f>IF([2]TSS!K27="","",IF(ISTEXT([2]TSS!K27),"",[2]TSS!K27))</f>
        <v>19</v>
      </c>
      <c r="M35" s="1350" t="str">
        <f t="shared" si="25"/>
        <v/>
      </c>
      <c r="N35" s="1350">
        <f>'dmr 1'!V33</f>
        <v>10676.117341359386</v>
      </c>
      <c r="O35" s="1350" t="str">
        <f t="shared" si="26"/>
        <v/>
      </c>
      <c r="P35" s="1350">
        <f>IF([2]alk_pH_Cl2!N27="","",[2]alk_pH_Cl2!N27)</f>
        <v>36</v>
      </c>
      <c r="Q35" s="1352" t="str">
        <f t="shared" si="27"/>
        <v/>
      </c>
      <c r="R35" s="1353" t="str">
        <f>IF([2]BOD!L27="","",IF(ISTEXT([2]BOD!L27),"",[2]BOD!L27))</f>
        <v/>
      </c>
      <c r="S35" s="1350" t="str">
        <f t="shared" si="28"/>
        <v/>
      </c>
      <c r="T35" s="1350" t="str">
        <f>IF('dmr 2'!E33="","",'dmr 2'!E33)</f>
        <v/>
      </c>
      <c r="U35" s="1350" t="str">
        <f t="shared" si="29"/>
        <v/>
      </c>
      <c r="V35" s="1351" t="str">
        <f>IF([2]TSS!L27="","",IF(ISTEXT([2]TSS!L27),"",[2]TSS!L27))</f>
        <v/>
      </c>
      <c r="W35" s="1350" t="str">
        <f t="shared" si="30"/>
        <v/>
      </c>
      <c r="X35" s="1350" t="str">
        <f>IF('dmr 2'!J33="","",'dmr 2'!J33)</f>
        <v/>
      </c>
      <c r="Y35" s="1354" t="str">
        <f t="shared" si="31"/>
        <v/>
      </c>
      <c r="Z35" s="1349">
        <f>IF((H35=""),"",IF(('dmr 1'!E33=""),H35,(('dmr 1'!B33*H35)+('dmr 1'!E33*R35))/('dmr 1'!B33+'dmr 1'!E33)))</f>
        <v>14</v>
      </c>
      <c r="AA35" s="1350" t="str">
        <f t="shared" si="32"/>
        <v/>
      </c>
      <c r="AB35" s="1350">
        <f t="shared" si="33"/>
        <v>7866.6127778437585</v>
      </c>
      <c r="AC35" s="1350" t="str">
        <f t="shared" si="34"/>
        <v/>
      </c>
      <c r="AD35" s="1351">
        <f>IF((L35=""),"",IF(('dmr 1'!E33=""),L35,(('dmr 1'!B33*L35)+('dmr 1'!E33*V35))/('dmr 1'!B33+'dmr 1'!E33)))</f>
        <v>19</v>
      </c>
      <c r="AE35" s="1350" t="str">
        <f t="shared" si="35"/>
        <v/>
      </c>
      <c r="AF35" s="1350">
        <f t="shared" si="36"/>
        <v>10676.117341359386</v>
      </c>
      <c r="AG35" s="1352" t="str">
        <f t="shared" si="37"/>
        <v/>
      </c>
      <c r="AH35" s="1355">
        <f>IF('[1]Plant Data'!$Q27="","",'[1]Plant Data'!$Q27)</f>
        <v>60.256439999999998</v>
      </c>
      <c r="AI35" s="1350" t="str">
        <f t="shared" si="38"/>
        <v/>
      </c>
      <c r="AJ35" s="1356">
        <f>'dmr 1'!B33</f>
        <v>63.443430267361116</v>
      </c>
      <c r="AK35" s="1357" t="str">
        <f t="shared" si="39"/>
        <v/>
      </c>
    </row>
    <row r="36" spans="2:37" ht="13.15" customHeight="1" x14ac:dyDescent="0.2">
      <c r="B36" s="1257">
        <f t="shared" si="20"/>
        <v>43490</v>
      </c>
      <c r="C36" s="1326" t="str">
        <f t="shared" si="0"/>
        <v/>
      </c>
      <c r="D36" s="1346">
        <f>IF(OR('dmr 1'!B34="",[2]BOD!H28="",ISTEXT('dmr 1'!B34)=TRUE,ISTEXT([2]BOD!H28)=TRUE),"",'dmr 1'!B34*[2]BOD!H28*8.34)</f>
        <v>115658.97217520833</v>
      </c>
      <c r="E36" s="1347">
        <f>IF(OR('dmr 1'!B34="",[2]TSS!H28="",ISTEXT('dmr 1'!B34)=TRUE,ISTEXT([2]TSS!H28)=TRUE),"",'dmr 1'!B34*[2]TSS!H28*8.34)</f>
        <v>183664.46225247675</v>
      </c>
      <c r="F36" s="1347" t="str">
        <f t="shared" si="21"/>
        <v/>
      </c>
      <c r="G36" s="1348" t="str">
        <f t="shared" si="22"/>
        <v/>
      </c>
      <c r="H36" s="1349">
        <f>IF([2]BOD!K28="","",IF(ISTEXT([2]BOD!K28),"",[2]BOD!K28))</f>
        <v>12</v>
      </c>
      <c r="I36" s="1350" t="str">
        <f t="shared" si="23"/>
        <v/>
      </c>
      <c r="J36" s="1350">
        <f>'dmr 1'!Q34</f>
        <v>6446.397712092501</v>
      </c>
      <c r="K36" s="1350" t="str">
        <f t="shared" si="24"/>
        <v/>
      </c>
      <c r="L36" s="1351">
        <f>IF([2]TSS!K28="","",IF(ISTEXT([2]TSS!K28),"",[2]TSS!K28))</f>
        <v>17</v>
      </c>
      <c r="M36" s="1350" t="str">
        <f t="shared" si="25"/>
        <v/>
      </c>
      <c r="N36" s="1350">
        <f>'dmr 1'!V34</f>
        <v>9132.3967587977095</v>
      </c>
      <c r="O36" s="1350" t="str">
        <f t="shared" si="26"/>
        <v/>
      </c>
      <c r="P36" s="1350">
        <f>IF([2]alk_pH_Cl2!N28="","",[2]alk_pH_Cl2!N28)</f>
        <v>3</v>
      </c>
      <c r="Q36" s="1352" t="str">
        <f t="shared" si="27"/>
        <v/>
      </c>
      <c r="R36" s="1353" t="str">
        <f>IF([2]BOD!L28="","",IF(ISTEXT([2]BOD!L28),"",[2]BOD!L28))</f>
        <v/>
      </c>
      <c r="S36" s="1350" t="str">
        <f t="shared" si="28"/>
        <v/>
      </c>
      <c r="T36" s="1350" t="str">
        <f>IF('dmr 2'!E34="","",'dmr 2'!E34)</f>
        <v/>
      </c>
      <c r="U36" s="1350" t="str">
        <f t="shared" si="29"/>
        <v/>
      </c>
      <c r="V36" s="1351" t="str">
        <f>IF([2]TSS!L28="","",IF(ISTEXT([2]TSS!L28),"",[2]TSS!L28))</f>
        <v/>
      </c>
      <c r="W36" s="1350" t="str">
        <f t="shared" si="30"/>
        <v/>
      </c>
      <c r="X36" s="1350" t="str">
        <f>IF('dmr 2'!J34="","",'dmr 2'!J34)</f>
        <v/>
      </c>
      <c r="Y36" s="1354" t="str">
        <f t="shared" si="31"/>
        <v/>
      </c>
      <c r="Z36" s="1349">
        <f>IF((H36=""),"",IF(('dmr 1'!E34=""),H36,(('dmr 1'!B34*H36)+('dmr 1'!E34*R36))/('dmr 1'!B34+'dmr 1'!E34)))</f>
        <v>12</v>
      </c>
      <c r="AA36" s="1350" t="str">
        <f t="shared" si="32"/>
        <v/>
      </c>
      <c r="AB36" s="1350">
        <f t="shared" si="33"/>
        <v>6446.397712092501</v>
      </c>
      <c r="AC36" s="1350" t="str">
        <f t="shared" si="34"/>
        <v/>
      </c>
      <c r="AD36" s="1351">
        <f>IF((L36=""),"",IF(('dmr 1'!E34=""),L36,(('dmr 1'!B34*L36)+('dmr 1'!E34*V36))/('dmr 1'!B34+'dmr 1'!E34)))</f>
        <v>17</v>
      </c>
      <c r="AE36" s="1350" t="str">
        <f t="shared" si="35"/>
        <v/>
      </c>
      <c r="AF36" s="1350">
        <f t="shared" si="36"/>
        <v>9132.3967587977095</v>
      </c>
      <c r="AG36" s="1352" t="str">
        <f t="shared" si="37"/>
        <v/>
      </c>
      <c r="AH36" s="1355">
        <f>IF('[1]Plant Data'!$Q28="","",'[1]Plant Data'!$Q28)</f>
        <v>60.620980000000003</v>
      </c>
      <c r="AI36" s="1350" t="str">
        <f t="shared" si="38"/>
        <v/>
      </c>
      <c r="AJ36" s="1356">
        <f>'dmr 1'!B34</f>
        <v>59.51923723263878</v>
      </c>
      <c r="AK36" s="1357" t="str">
        <f t="shared" si="39"/>
        <v/>
      </c>
    </row>
    <row r="37" spans="2:37" ht="13.15" customHeight="1" x14ac:dyDescent="0.2">
      <c r="B37" s="1257">
        <f t="shared" si="20"/>
        <v>43491</v>
      </c>
      <c r="C37" s="1326" t="str">
        <f t="shared" si="0"/>
        <v>Sat</v>
      </c>
      <c r="D37" s="1346">
        <f>IF(OR('dmr 1'!B35="",[2]BOD!H29="",ISTEXT('dmr 1'!B35)=TRUE,ISTEXT([2]BOD!H29)=TRUE),"",'dmr 1'!B35*[2]BOD!H29*8.34)</f>
        <v>105121.2426776175</v>
      </c>
      <c r="E37" s="1347">
        <f>IF(OR('dmr 1'!B35="",[2]TSS!H29="",ISTEXT('dmr 1'!B35)=TRUE,ISTEXT([2]TSS!H29)=TRUE),"",'dmr 1'!B35*[2]TSS!H29*8.34)</f>
        <v>59937.550649518751</v>
      </c>
      <c r="F37" s="1347">
        <f t="shared" si="21"/>
        <v>128985.8797322242</v>
      </c>
      <c r="G37" s="1348">
        <f t="shared" si="22"/>
        <v>167599.17291792639</v>
      </c>
      <c r="H37" s="1349">
        <f>IF([2]BOD!K29="","",IF(ISTEXT([2]BOD!K29),"",[2]BOD!K29))</f>
        <v>15</v>
      </c>
      <c r="I37" s="1350">
        <f t="shared" si="23"/>
        <v>11.714285714285714</v>
      </c>
      <c r="J37" s="1350">
        <f>'dmr 1'!Q35</f>
        <v>7577.8287391062368</v>
      </c>
      <c r="K37" s="1350">
        <f t="shared" si="24"/>
        <v>7592.2581232580078</v>
      </c>
      <c r="L37" s="1351">
        <f>IF([2]TSS!K29="","",IF(ISTEXT([2]TSS!K29),"",[2]TSS!K29))</f>
        <v>17</v>
      </c>
      <c r="M37" s="1350">
        <f t="shared" si="25"/>
        <v>17.857142857142858</v>
      </c>
      <c r="N37" s="1350">
        <f>'dmr 1'!V35</f>
        <v>8588.2059043204008</v>
      </c>
      <c r="O37" s="1350">
        <f t="shared" si="26"/>
        <v>11908.276933094055</v>
      </c>
      <c r="P37" s="1350">
        <f>IF([2]alk_pH_Cl2!N29="","",[2]alk_pH_Cl2!N29)</f>
        <v>14</v>
      </c>
      <c r="Q37" s="1352">
        <f t="shared" si="27"/>
        <v>9.6833700899961332</v>
      </c>
      <c r="R37" s="1353" t="str">
        <f>IF([2]BOD!L29="","",IF(ISTEXT([2]BOD!L29),"",[2]BOD!L29))</f>
        <v/>
      </c>
      <c r="S37" s="1350">
        <f t="shared" si="28"/>
        <v>52.5</v>
      </c>
      <c r="T37" s="1350" t="str">
        <f>IF('dmr 2'!E35="","",'dmr 2'!E35)</f>
        <v/>
      </c>
      <c r="U37" s="1350">
        <f t="shared" si="29"/>
        <v>13383.113127295004</v>
      </c>
      <c r="V37" s="1351" t="str">
        <f>IF([2]TSS!L29="","",IF(ISTEXT([2]TSS!L29),"",[2]TSS!L29))</f>
        <v/>
      </c>
      <c r="W37" s="1350">
        <f t="shared" si="30"/>
        <v>24.5</v>
      </c>
      <c r="X37" s="1350" t="str">
        <f>IF('dmr 2'!J35="","",'dmr 2'!J35)</f>
        <v/>
      </c>
      <c r="Y37" s="1354">
        <f t="shared" si="31"/>
        <v>7200.1575042249988</v>
      </c>
      <c r="Z37" s="1349">
        <f>IF((H37=""),"",IF(('dmr 1'!E35=""),H37,(('dmr 1'!B35*H37)+('dmr 1'!E35*R37))/('dmr 1'!B35+'dmr 1'!E35)))</f>
        <v>15</v>
      </c>
      <c r="AA37" s="1350">
        <f t="shared" si="32"/>
        <v>14.016370597286985</v>
      </c>
      <c r="AB37" s="1350">
        <f t="shared" si="33"/>
        <v>7577.8287391062368</v>
      </c>
      <c r="AC37" s="1350">
        <f t="shared" si="34"/>
        <v>11416.004731056581</v>
      </c>
      <c r="AD37" s="1351">
        <f>IF((L37=""),"",IF(('dmr 1'!E35=""),L37,(('dmr 1'!B35*L37)+('dmr 1'!E35*V37))/('dmr 1'!B35+'dmr 1'!E35)))</f>
        <v>17</v>
      </c>
      <c r="AE37" s="1350">
        <f t="shared" si="35"/>
        <v>18.318441643855149</v>
      </c>
      <c r="AF37" s="1350">
        <f t="shared" si="36"/>
        <v>8588.2059043204008</v>
      </c>
      <c r="AG37" s="1352">
        <f t="shared" si="37"/>
        <v>13965.464791444057</v>
      </c>
      <c r="AH37" s="1355">
        <f>IF('[1]Plant Data'!$Q29="","",'[1]Plant Data'!$Q29)</f>
        <v>60.666400000000003</v>
      </c>
      <c r="AI37" s="1350">
        <f t="shared" si="38"/>
        <v>59.473542857142867</v>
      </c>
      <c r="AJ37" s="1356">
        <f>'dmr 1'!B35</f>
        <v>55.282743635416665</v>
      </c>
      <c r="AK37" s="1357">
        <f t="shared" si="39"/>
        <v>84.258303637400772</v>
      </c>
    </row>
    <row r="38" spans="2:37" ht="13.15" customHeight="1" x14ac:dyDescent="0.2">
      <c r="B38" s="1257">
        <f t="shared" si="20"/>
        <v>43492</v>
      </c>
      <c r="C38" s="1326" t="str">
        <f t="shared" si="0"/>
        <v/>
      </c>
      <c r="D38" s="1346">
        <f>IF(OR('dmr 1'!B36="",[2]BOD!H30="",ISTEXT('dmr 1'!B36)=TRUE,ISTEXT([2]BOD!H30)=TRUE),"",'dmr 1'!B36*[2]BOD!H30*8.34)</f>
        <v>130202.48361891053</v>
      </c>
      <c r="E38" s="1347">
        <f>IF(OR('dmr 1'!B36="",[2]TSS!H30="",ISTEXT('dmr 1'!B36)=TRUE,ISTEXT([2]TSS!H30)=TRUE),"",'dmr 1'!B36*[2]TSS!H30*8.34)</f>
        <v>281273.65799207153</v>
      </c>
      <c r="F38" s="1347" t="str">
        <f t="shared" si="21"/>
        <v/>
      </c>
      <c r="G38" s="1348" t="str">
        <f t="shared" si="22"/>
        <v/>
      </c>
      <c r="H38" s="1349">
        <f>IF([2]BOD!K30="","",IF(ISTEXT([2]BOD!K30),"",[2]BOD!K30))</f>
        <v>8</v>
      </c>
      <c r="I38" s="1350" t="str">
        <f t="shared" si="23"/>
        <v/>
      </c>
      <c r="J38" s="1350">
        <f>'dmr 1'!Q36</f>
        <v>3890.5259110233255</v>
      </c>
      <c r="K38" s="1350" t="str">
        <f t="shared" si="24"/>
        <v/>
      </c>
      <c r="L38" s="1351">
        <f>IF([2]TSS!K30="","",IF(ISTEXT([2]TSS!K30),"",[2]TSS!K30))</f>
        <v>12</v>
      </c>
      <c r="M38" s="1350" t="str">
        <f t="shared" si="25"/>
        <v/>
      </c>
      <c r="N38" s="1350">
        <f>'dmr 1'!V36</f>
        <v>5835.7888665349883</v>
      </c>
      <c r="O38" s="1350" t="str">
        <f t="shared" si="26"/>
        <v/>
      </c>
      <c r="P38" s="1350">
        <f>IF([2]alk_pH_Cl2!N30="","",[2]alk_pH_Cl2!N30)</f>
        <v>2</v>
      </c>
      <c r="Q38" s="1352" t="str">
        <f t="shared" si="27"/>
        <v/>
      </c>
      <c r="R38" s="1353" t="str">
        <f>IF([2]BOD!L30="","",IF(ISTEXT([2]BOD!L30),"",[2]BOD!L30))</f>
        <v/>
      </c>
      <c r="S38" s="1350" t="str">
        <f t="shared" si="28"/>
        <v/>
      </c>
      <c r="T38" s="1350" t="str">
        <f>IF('dmr 2'!E36="","",'dmr 2'!E36)</f>
        <v/>
      </c>
      <c r="U38" s="1350" t="str">
        <f t="shared" si="29"/>
        <v/>
      </c>
      <c r="V38" s="1351" t="str">
        <f>IF([2]TSS!L30="","",IF(ISTEXT([2]TSS!L30),"",[2]TSS!L30))</f>
        <v/>
      </c>
      <c r="W38" s="1350" t="str">
        <f t="shared" si="30"/>
        <v/>
      </c>
      <c r="X38" s="1350" t="str">
        <f>IF('dmr 2'!J36="","",'dmr 2'!J36)</f>
        <v/>
      </c>
      <c r="Y38" s="1354" t="str">
        <f t="shared" si="31"/>
        <v/>
      </c>
      <c r="Z38" s="1349">
        <f>IF((H38=""),"",IF(('dmr 1'!E36=""),H38,(('dmr 1'!B36*H38)+('dmr 1'!E36*R38))/('dmr 1'!B36+'dmr 1'!E36)))</f>
        <v>8</v>
      </c>
      <c r="AA38" s="1350" t="str">
        <f t="shared" si="32"/>
        <v/>
      </c>
      <c r="AB38" s="1350">
        <f t="shared" si="33"/>
        <v>3890.5259110233255</v>
      </c>
      <c r="AC38" s="1350" t="str">
        <f t="shared" si="34"/>
        <v/>
      </c>
      <c r="AD38" s="1351">
        <f>IF((L38=""),"",IF(('dmr 1'!E36=""),L38,(('dmr 1'!B36*L38)+('dmr 1'!E36*V38))/('dmr 1'!B36+'dmr 1'!E36)))</f>
        <v>12</v>
      </c>
      <c r="AE38" s="1350" t="str">
        <f t="shared" si="35"/>
        <v/>
      </c>
      <c r="AF38" s="1350">
        <f t="shared" si="36"/>
        <v>5835.7888665349883</v>
      </c>
      <c r="AG38" s="1352" t="str">
        <f t="shared" si="37"/>
        <v/>
      </c>
      <c r="AH38" s="1355">
        <f>IF('[1]Plant Data'!$Q30="","",'[1]Plant Data'!$Q30)</f>
        <v>60.758150000000001</v>
      </c>
      <c r="AI38" s="1350" t="str">
        <f t="shared" si="38"/>
        <v/>
      </c>
      <c r="AJ38" s="1356">
        <f>'dmr 1'!B36</f>
        <v>54.39654560069458</v>
      </c>
      <c r="AK38" s="1357" t="str">
        <f t="shared" si="39"/>
        <v/>
      </c>
    </row>
    <row r="39" spans="2:37" ht="13.15" customHeight="1" x14ac:dyDescent="0.2">
      <c r="B39" s="1257">
        <f t="shared" si="20"/>
        <v>43493</v>
      </c>
      <c r="C39" s="1326" t="str">
        <f t="shared" si="0"/>
        <v/>
      </c>
      <c r="D39" s="1346">
        <f>IF(OR('dmr 1'!B37="",[2]BOD!H31="",ISTEXT('dmr 1'!B37)=TRUE,ISTEXT([2]BOD!H31)=TRUE),"",'dmr 1'!B37*[2]BOD!H31*8.34)</f>
        <v>135148.90613254326</v>
      </c>
      <c r="E39" s="1347">
        <f>IF(OR('dmr 1'!B37="",[2]TSS!H31="",ISTEXT('dmr 1'!B37)=TRUE,ISTEXT([2]TSS!H31)=TRUE),"",'dmr 1'!B37*[2]TSS!H31*8.34)</f>
        <v>157990.97477466325</v>
      </c>
      <c r="F39" s="1347" t="str">
        <f t="shared" si="21"/>
        <v/>
      </c>
      <c r="G39" s="1348" t="str">
        <f t="shared" si="22"/>
        <v/>
      </c>
      <c r="H39" s="1349">
        <f>IF([2]BOD!K31="","",IF(ISTEXT([2]BOD!K31),"",[2]BOD!K31))</f>
        <v>8</v>
      </c>
      <c r="I39" s="1350" t="str">
        <f t="shared" si="23"/>
        <v/>
      </c>
      <c r="J39" s="1350">
        <f>'dmr 1'!Q37</f>
        <v>3993.3217212866721</v>
      </c>
      <c r="K39" s="1350" t="str">
        <f t="shared" si="24"/>
        <v/>
      </c>
      <c r="L39" s="1351">
        <f>IF([2]TSS!K31="","",IF(ISTEXT([2]TSS!K31),"",[2]TSS!K31))</f>
        <v>16</v>
      </c>
      <c r="M39" s="1350" t="str">
        <f t="shared" si="25"/>
        <v/>
      </c>
      <c r="N39" s="1350">
        <f>'dmr 1'!V37</f>
        <v>7986.6434425733441</v>
      </c>
      <c r="O39" s="1350" t="str">
        <f t="shared" si="26"/>
        <v/>
      </c>
      <c r="P39" s="1350">
        <f>IF([2]alk_pH_Cl2!N31="","",[2]alk_pH_Cl2!N31)</f>
        <v>3</v>
      </c>
      <c r="Q39" s="1352" t="str">
        <f t="shared" si="27"/>
        <v/>
      </c>
      <c r="R39" s="1353" t="str">
        <f>IF([2]BOD!L31="","",IF(ISTEXT([2]BOD!L31),"",[2]BOD!L31))</f>
        <v/>
      </c>
      <c r="S39" s="1350" t="str">
        <f t="shared" si="28"/>
        <v/>
      </c>
      <c r="T39" s="1350" t="str">
        <f>IF('dmr 2'!E37="","",'dmr 2'!E37)</f>
        <v/>
      </c>
      <c r="U39" s="1350" t="str">
        <f t="shared" si="29"/>
        <v/>
      </c>
      <c r="V39" s="1351" t="str">
        <f>IF([2]TSS!L31="","",IF(ISTEXT([2]TSS!L31),"",[2]TSS!L31))</f>
        <v/>
      </c>
      <c r="W39" s="1350" t="str">
        <f t="shared" si="30"/>
        <v/>
      </c>
      <c r="X39" s="1350" t="str">
        <f>IF('dmr 2'!J37="","",'dmr 2'!J37)</f>
        <v/>
      </c>
      <c r="Y39" s="1354" t="str">
        <f t="shared" si="31"/>
        <v/>
      </c>
      <c r="Z39" s="1349">
        <f>IF((H39=""),"",IF(('dmr 1'!E37=""),H39,(('dmr 1'!B37*H39)+('dmr 1'!E37*R39))/('dmr 1'!B37+'dmr 1'!E37)))</f>
        <v>8</v>
      </c>
      <c r="AA39" s="1350" t="str">
        <f t="shared" si="32"/>
        <v/>
      </c>
      <c r="AB39" s="1350">
        <f t="shared" si="33"/>
        <v>3993.3217212866721</v>
      </c>
      <c r="AC39" s="1350" t="str">
        <f t="shared" si="34"/>
        <v/>
      </c>
      <c r="AD39" s="1351">
        <f>IF((L39=""),"",IF(('dmr 1'!E37=""),L39,(('dmr 1'!B37*L39)+('dmr 1'!E37*V39))/('dmr 1'!B37+'dmr 1'!E37)))</f>
        <v>16</v>
      </c>
      <c r="AE39" s="1350" t="str">
        <f t="shared" si="35"/>
        <v/>
      </c>
      <c r="AF39" s="1350">
        <f t="shared" si="36"/>
        <v>7986.6434425733441</v>
      </c>
      <c r="AG39" s="1352" t="str">
        <f t="shared" si="37"/>
        <v/>
      </c>
      <c r="AH39" s="1355">
        <f>IF('[1]Plant Data'!$Q31="","",'[1]Plant Data'!$Q31)</f>
        <v>60.772170000000003</v>
      </c>
      <c r="AI39" s="1350" t="str">
        <f t="shared" si="38"/>
        <v/>
      </c>
      <c r="AJ39" s="1356">
        <f>'dmr 1'!B37</f>
        <v>57.059523986111081</v>
      </c>
      <c r="AK39" s="1357" t="str">
        <f t="shared" si="39"/>
        <v/>
      </c>
    </row>
    <row r="40" spans="2:37" ht="13.15" customHeight="1" x14ac:dyDescent="0.2">
      <c r="B40" s="1257">
        <f>B39+1</f>
        <v>43494</v>
      </c>
      <c r="C40" s="1326" t="str">
        <f t="shared" si="0"/>
        <v/>
      </c>
      <c r="D40" s="1346">
        <f>IF(OR('dmr 1'!B38="",[2]BOD!H32="",ISTEXT('dmr 1'!B38)=TRUE,ISTEXT([2]BOD!H32)=TRUE),"",'dmr 1'!B38*[2]BOD!H32*8.34)</f>
        <v>134197.3129553076</v>
      </c>
      <c r="E40" s="1347">
        <f>IF(OR('dmr 1'!B38="",[2]TSS!H32="",ISTEXT('dmr 1'!B38)=TRUE,ISTEXT([2]TSS!H32)=TRUE),"",'dmr 1'!B38*[2]TSS!H32*8.34)</f>
        <v>122776.26504421759</v>
      </c>
      <c r="F40" s="1347" t="str">
        <f t="shared" si="21"/>
        <v/>
      </c>
      <c r="G40" s="1348" t="str">
        <f t="shared" si="22"/>
        <v/>
      </c>
      <c r="H40" s="1349">
        <f>IF([2]BOD!K32="","",IF(ISTEXT([2]BOD!K32),"",[2]BOD!K32))</f>
        <v>13</v>
      </c>
      <c r="I40" s="1274" t="str">
        <f t="shared" si="23"/>
        <v/>
      </c>
      <c r="J40" s="1350">
        <f>'dmr 1'!Q38</f>
        <v>6513.5350028341654</v>
      </c>
      <c r="K40" s="1274" t="str">
        <f t="shared" si="24"/>
        <v/>
      </c>
      <c r="L40" s="1351">
        <f>IF([2]TSS!K32="","",IF(ISTEXT([2]TSS!K32),"",[2]TSS!K32))</f>
        <v>18</v>
      </c>
      <c r="M40" s="1274" t="str">
        <f t="shared" si="25"/>
        <v/>
      </c>
      <c r="N40" s="1350">
        <f>'dmr 1'!V38</f>
        <v>9018.7407731549974</v>
      </c>
      <c r="O40" s="1274" t="str">
        <f t="shared" si="26"/>
        <v/>
      </c>
      <c r="P40" s="1350">
        <f>IF([2]alk_pH_Cl2!N32="","",[2]alk_pH_Cl2!N32)</f>
        <v>5</v>
      </c>
      <c r="Q40" s="1352" t="str">
        <f t="shared" si="27"/>
        <v/>
      </c>
      <c r="R40" s="1353"/>
      <c r="S40" s="1350" t="str">
        <f>IF(SUM(R34:R40)&lt;1,"",IF(WEEKDAY(B40)=7,AVERAGE(R34:R40),""))</f>
        <v/>
      </c>
      <c r="T40" s="1350" t="str">
        <f>IF('dmr 2'!E38="","",'dmr 2'!E38)</f>
        <v/>
      </c>
      <c r="U40" s="1350" t="str">
        <f t="shared" si="29"/>
        <v/>
      </c>
      <c r="V40" s="1351"/>
      <c r="W40" s="1350" t="str">
        <f t="shared" si="30"/>
        <v/>
      </c>
      <c r="X40" s="1350" t="str">
        <f>IF('dmr 2'!J38="","",'dmr 2'!J38)</f>
        <v/>
      </c>
      <c r="Y40" s="1354" t="str">
        <f t="shared" si="31"/>
        <v/>
      </c>
      <c r="Z40" s="1349">
        <f>IF((H40=""),"",IF(('dmr 1'!E38=""),H40,(('dmr 1'!B38*H40)+('dmr 1'!E38*R40))/('dmr 1'!B38+'dmr 1'!E38)))</f>
        <v>13</v>
      </c>
      <c r="AA40" s="1274" t="str">
        <f t="shared" si="32"/>
        <v/>
      </c>
      <c r="AB40" s="1350">
        <f t="shared" si="33"/>
        <v>6513.5350028341654</v>
      </c>
      <c r="AC40" s="1274" t="str">
        <f t="shared" si="34"/>
        <v/>
      </c>
      <c r="AD40" s="1351">
        <f>IF((L40=""),"",IF(('dmr 1'!E38=""),L40,(('dmr 1'!B38*L40)+('dmr 1'!E38*V40))/('dmr 1'!B38+'dmr 1'!E38)))</f>
        <v>18</v>
      </c>
      <c r="AE40" s="1274" t="str">
        <f t="shared" si="35"/>
        <v/>
      </c>
      <c r="AF40" s="1350">
        <f t="shared" si="36"/>
        <v>9018.7407731549974</v>
      </c>
      <c r="AG40" s="1276" t="str">
        <f t="shared" si="37"/>
        <v/>
      </c>
      <c r="AH40" s="1355">
        <f>IF('[1]Plant Data'!$Q32="","",'[1]Plant Data'!$Q32)</f>
        <v>60.797939999999997</v>
      </c>
      <c r="AI40" s="1274" t="str">
        <f t="shared" si="38"/>
        <v/>
      </c>
      <c r="AJ40" s="1356">
        <f>'dmr 1'!B38</f>
        <v>57.059591881944492</v>
      </c>
      <c r="AK40" s="1281" t="str">
        <f t="shared" si="39"/>
        <v/>
      </c>
    </row>
    <row r="41" spans="2:37" ht="13.15" customHeight="1" x14ac:dyDescent="0.2">
      <c r="B41" s="1257">
        <f>B40+1</f>
        <v>43495</v>
      </c>
      <c r="C41" s="1326" t="str">
        <f t="shared" si="0"/>
        <v/>
      </c>
      <c r="D41" s="1346">
        <f>IF(OR('dmr 1'!B39="",[2]BOD!H33="",ISTEXT('dmr 1'!B39)=TRUE,ISTEXT([2]BOD!H33)=TRUE),"",'dmr 1'!B39*[2]BOD!H33*8.34)</f>
        <v>152458.37788037618</v>
      </c>
      <c r="E41" s="1347">
        <f>IF(OR('dmr 1'!B39="",[2]TSS!H33="",ISTEXT('dmr 1'!B39)=TRUE,ISTEXT([2]TSS!H33)=TRUE),"",'dmr 1'!B39*[2]TSS!H33*8.34)</f>
        <v>233643.64412008118</v>
      </c>
      <c r="F41" s="1347" t="str">
        <f t="shared" si="21"/>
        <v/>
      </c>
      <c r="G41" s="1348" t="str">
        <f t="shared" si="22"/>
        <v/>
      </c>
      <c r="H41" s="1349">
        <f>IF([2]BOD!K33="","",IF(ISTEXT([2]BOD!K33),"",[2]BOD!K33))</f>
        <v>14</v>
      </c>
      <c r="I41" s="1274" t="str">
        <f t="shared" si="23"/>
        <v/>
      </c>
      <c r="J41" s="1350">
        <f>'dmr 1'!Q39</f>
        <v>6981.0881171062374</v>
      </c>
      <c r="K41" s="1274" t="str">
        <f t="shared" si="24"/>
        <v/>
      </c>
      <c r="L41" s="1351">
        <f>IF([2]TSS!K33="","",IF(ISTEXT([2]TSS!K33),"",[2]TSS!K33))</f>
        <v>18</v>
      </c>
      <c r="M41" s="1274" t="str">
        <f t="shared" si="25"/>
        <v/>
      </c>
      <c r="N41" s="1350">
        <f>'dmr 1'!V39</f>
        <v>8975.6847219937335</v>
      </c>
      <c r="O41" s="1274" t="str">
        <f t="shared" si="26"/>
        <v/>
      </c>
      <c r="P41" s="1350">
        <f>IF([2]alk_pH_Cl2!N33="","",[2]alk_pH_Cl2!N33)</f>
        <v>7</v>
      </c>
      <c r="Q41" s="1352" t="str">
        <f t="shared" si="27"/>
        <v/>
      </c>
      <c r="R41" s="1353" t="str">
        <f>IF([2]BOD!L33="","",IF(ISTEXT([2]BOD!L33),"",[2]BOD!L33))</f>
        <v/>
      </c>
      <c r="S41" s="1350" t="str">
        <f t="shared" si="28"/>
        <v/>
      </c>
      <c r="T41" s="1350" t="str">
        <f>IF('dmr 2'!E39="","",'dmr 2'!E39)</f>
        <v/>
      </c>
      <c r="U41" s="1350" t="str">
        <f t="shared" si="29"/>
        <v/>
      </c>
      <c r="V41" s="1351" t="str">
        <f>IF([2]TSS!L33="","",IF(ISTEXT([2]TSS!L33),"",[2]TSS!L33))</f>
        <v/>
      </c>
      <c r="W41" s="1350" t="str">
        <f t="shared" si="30"/>
        <v/>
      </c>
      <c r="X41" s="1350" t="str">
        <f>IF('dmr 2'!J39="","",'dmr 2'!J39)</f>
        <v/>
      </c>
      <c r="Y41" s="1354" t="str">
        <f t="shared" si="31"/>
        <v/>
      </c>
      <c r="Z41" s="1349">
        <f>IF((H41=""),"",IF(('dmr 1'!E39=""),H41,(('dmr 1'!B39*H41)+('dmr 1'!E39*R41))/('dmr 1'!B39+'dmr 1'!E39)))</f>
        <v>14</v>
      </c>
      <c r="AA41" s="1274" t="str">
        <f t="shared" si="32"/>
        <v/>
      </c>
      <c r="AB41" s="1350">
        <f t="shared" si="33"/>
        <v>6981.0881171062374</v>
      </c>
      <c r="AC41" s="1274" t="str">
        <f t="shared" si="34"/>
        <v/>
      </c>
      <c r="AD41" s="1351">
        <f>IF((L41=""),"",IF(('dmr 1'!E39=""),L41,(('dmr 1'!B39*L41)+('dmr 1'!E39*V41))/('dmr 1'!B39+'dmr 1'!E39)))</f>
        <v>18</v>
      </c>
      <c r="AE41" s="1274" t="str">
        <f t="shared" si="35"/>
        <v/>
      </c>
      <c r="AF41" s="1350">
        <f t="shared" si="36"/>
        <v>8975.6847219937335</v>
      </c>
      <c r="AG41" s="1276" t="str">
        <f t="shared" si="37"/>
        <v/>
      </c>
      <c r="AH41" s="1355">
        <f>IF('[1]Plant Data'!$Q33="","",'[1]Plant Data'!$Q33)</f>
        <v>60.968539999999997</v>
      </c>
      <c r="AI41" s="1274" t="str">
        <f t="shared" si="38"/>
        <v/>
      </c>
      <c r="AJ41" s="1356">
        <f>'dmr 1'!B39</f>
        <v>56.59560693749998</v>
      </c>
      <c r="AK41" s="1281" t="str">
        <f t="shared" si="39"/>
        <v/>
      </c>
    </row>
    <row r="42" spans="2:37" ht="13.9" customHeight="1" thickBot="1" x14ac:dyDescent="0.25">
      <c r="B42" s="1257">
        <f t="shared" ref="B42" si="40">B41+1</f>
        <v>43496</v>
      </c>
      <c r="C42" s="1388"/>
      <c r="D42" s="1346">
        <f>IF(OR('dmr 1'!B40="",[2]BOD!H34="",ISTEXT('dmr 1'!B40)=TRUE,ISTEXT([2]BOD!H34)=TRUE),"",'dmr 1'!B40*[2]BOD!H34*8.34)</f>
        <v>181662.50999708456</v>
      </c>
      <c r="E42" s="1347">
        <f>IF(OR('dmr 1'!B40="",[2]TSS!H34="",ISTEXT('dmr 1'!B40)=TRUE,ISTEXT([2]TSS!H34)=TRUE),"",'dmr 1'!B40*[2]TSS!H34*8.34)</f>
        <v>124696.73525725803</v>
      </c>
      <c r="F42" s="1347"/>
      <c r="G42" s="1348"/>
      <c r="H42" s="1349">
        <f>IF([2]BOD!K34="","",IF(ISTEXT([2]BOD!K34),"",[2]BOD!K34))</f>
        <v>14</v>
      </c>
      <c r="I42" s="1274" t="str">
        <f t="shared" si="23"/>
        <v/>
      </c>
      <c r="J42" s="1350">
        <f>'dmr 1'!Q40</f>
        <v>6834.4284064466628</v>
      </c>
      <c r="K42" s="1274" t="str">
        <f t="shared" si="24"/>
        <v/>
      </c>
      <c r="L42" s="1351">
        <f>IF([2]TSS!K34="","",IF(ISTEXT([2]TSS!K34),"",[2]TSS!K34))</f>
        <v>18</v>
      </c>
      <c r="M42" s="1274" t="str">
        <f t="shared" si="25"/>
        <v/>
      </c>
      <c r="N42" s="1350">
        <f>'dmr 1'!V40</f>
        <v>8787.1222368599956</v>
      </c>
      <c r="O42" s="1274" t="str">
        <f t="shared" si="26"/>
        <v/>
      </c>
      <c r="P42" s="1350">
        <f>IF([2]alk_pH_Cl2!N34="","",[2]alk_pH_Cl2!N34)</f>
        <v>36</v>
      </c>
      <c r="Q42" s="1276" t="str">
        <f t="shared" si="27"/>
        <v/>
      </c>
      <c r="R42" s="1353"/>
      <c r="S42" s="1350"/>
      <c r="T42" s="1350"/>
      <c r="U42" s="1350"/>
      <c r="V42" s="1351"/>
      <c r="W42" s="1350"/>
      <c r="X42" s="1350"/>
      <c r="Y42" s="1354"/>
      <c r="Z42" s="1349">
        <f>IF((H42=""),"",IF(('dmr 1'!E40=""),H42,(('dmr 1'!B40*H42)+('dmr 1'!E40*R42))/('dmr 1'!B40+'dmr 1'!E40)))</f>
        <v>14</v>
      </c>
      <c r="AA42" s="1274" t="str">
        <f t="shared" si="32"/>
        <v/>
      </c>
      <c r="AB42" s="1350">
        <f t="shared" si="33"/>
        <v>6834.4284064466628</v>
      </c>
      <c r="AC42" s="1274" t="str">
        <f t="shared" si="34"/>
        <v/>
      </c>
      <c r="AD42" s="1351">
        <f>IF((L42=""),"",IF(('dmr 1'!E40=""),L42,(('dmr 1'!B40*L42)+('dmr 1'!E40*V42))/('dmr 1'!B40+'dmr 1'!E40)))</f>
        <v>18</v>
      </c>
      <c r="AE42" s="1274" t="str">
        <f t="shared" si="35"/>
        <v/>
      </c>
      <c r="AF42" s="1350">
        <f t="shared" si="36"/>
        <v>8787.1222368599956</v>
      </c>
      <c r="AG42" s="1276" t="str">
        <f t="shared" si="37"/>
        <v/>
      </c>
      <c r="AH42" s="1355">
        <f>IF('[1]Plant Data'!$Q34="","",'[1]Plant Data'!$Q34)</f>
        <v>61.159030000000001</v>
      </c>
      <c r="AI42" s="1274" t="str">
        <f t="shared" si="38"/>
        <v/>
      </c>
      <c r="AJ42" s="1280">
        <f>'dmr 1'!B40</f>
        <v>53.782902565972272</v>
      </c>
      <c r="AK42" s="1281" t="str">
        <f t="shared" si="39"/>
        <v/>
      </c>
    </row>
    <row r="43" spans="2:37" x14ac:dyDescent="0.2">
      <c r="B43" s="1621" t="s">
        <v>539</v>
      </c>
      <c r="C43" s="1622"/>
      <c r="D43" s="1307">
        <f t="shared" ref="D43:G43" si="41">IF(SUM(D12:D42)=0,"",MAX(D12:D42))</f>
        <v>197054.64732869991</v>
      </c>
      <c r="E43" s="1305">
        <f t="shared" si="41"/>
        <v>332570.11858033738</v>
      </c>
      <c r="F43" s="1305">
        <f t="shared" si="41"/>
        <v>139030.06772975213</v>
      </c>
      <c r="G43" s="1367">
        <f t="shared" si="41"/>
        <v>202116.86384435737</v>
      </c>
      <c r="H43" s="1304">
        <f>IF(SUM(H12:H42)=0,"",MAX(H12:H42))</f>
        <v>16</v>
      </c>
      <c r="I43" s="1302">
        <f t="shared" ref="I43:AK43" si="42">IF(SUM(I12:I42)=0,"",MAX(I12:I42))</f>
        <v>11.714285714285714</v>
      </c>
      <c r="J43" s="1302">
        <f t="shared" si="42"/>
        <v>15464.272597836674</v>
      </c>
      <c r="K43" s="1302">
        <f t="shared" si="42"/>
        <v>7592.2581232580078</v>
      </c>
      <c r="L43" s="1305">
        <f t="shared" si="42"/>
        <v>35</v>
      </c>
      <c r="M43" s="1302">
        <f t="shared" si="42"/>
        <v>19.857142857142858</v>
      </c>
      <c r="N43" s="1302">
        <f t="shared" si="42"/>
        <v>33828.096307767722</v>
      </c>
      <c r="O43" s="1302">
        <f t="shared" si="42"/>
        <v>12957.453088830005</v>
      </c>
      <c r="P43" s="1302">
        <f t="shared" si="42"/>
        <v>66</v>
      </c>
      <c r="Q43" s="1306">
        <f t="shared" si="42"/>
        <v>9.6833700899961332</v>
      </c>
      <c r="R43" s="1307">
        <f t="shared" si="42"/>
        <v>69</v>
      </c>
      <c r="S43" s="1302">
        <f t="shared" si="42"/>
        <v>52.5</v>
      </c>
      <c r="T43" s="1302">
        <f t="shared" si="42"/>
        <v>24078.136644265021</v>
      </c>
      <c r="U43" s="1302">
        <f t="shared" si="42"/>
        <v>18605.285422704696</v>
      </c>
      <c r="V43" s="1305">
        <f t="shared" si="42"/>
        <v>40</v>
      </c>
      <c r="W43" s="1302">
        <f t="shared" si="42"/>
        <v>31.5</v>
      </c>
      <c r="X43" s="1302">
        <f t="shared" si="42"/>
        <v>24078.136644265021</v>
      </c>
      <c r="Y43" s="1303">
        <f t="shared" si="42"/>
        <v>16416.546389180636</v>
      </c>
      <c r="Z43" s="1304">
        <f t="shared" si="42"/>
        <v>22.149243626672327</v>
      </c>
      <c r="AA43" s="1302">
        <f t="shared" si="42"/>
        <v>14.016370597286985</v>
      </c>
      <c r="AB43" s="1302">
        <f t="shared" si="42"/>
        <v>39542.409242101698</v>
      </c>
      <c r="AC43" s="1302">
        <f t="shared" si="42"/>
        <v>11570.995728141253</v>
      </c>
      <c r="AD43" s="1305">
        <f t="shared" si="42"/>
        <v>35.585642250159275</v>
      </c>
      <c r="AE43" s="1302">
        <f t="shared" si="42"/>
        <v>20.276851605847167</v>
      </c>
      <c r="AF43" s="1302">
        <f t="shared" si="42"/>
        <v>57906.232952032748</v>
      </c>
      <c r="AG43" s="1306">
        <f t="shared" si="42"/>
        <v>17647.894914310185</v>
      </c>
      <c r="AH43" s="1308">
        <f t="shared" si="42"/>
        <v>62.016570000000002</v>
      </c>
      <c r="AI43" s="1309">
        <f t="shared" si="42"/>
        <v>60.98430285714285</v>
      </c>
      <c r="AJ43" s="1310">
        <f t="shared" si="42"/>
        <v>188.44385234840274</v>
      </c>
      <c r="AK43" s="1311">
        <f t="shared" si="42"/>
        <v>87.096353174489579</v>
      </c>
    </row>
    <row r="44" spans="2:37" x14ac:dyDescent="0.2">
      <c r="B44" s="1623" t="s">
        <v>590</v>
      </c>
      <c r="C44" s="1624"/>
      <c r="D44" s="1317">
        <f t="shared" ref="D44:G44" si="43">IF(SUM(D12:D42)=0,"",MIN(D12:D42))</f>
        <v>87423.796948212286</v>
      </c>
      <c r="E44" s="1315">
        <f t="shared" si="43"/>
        <v>59937.550649518751</v>
      </c>
      <c r="F44" s="1315">
        <f t="shared" si="43"/>
        <v>128985.8797322242</v>
      </c>
      <c r="G44" s="1322">
        <f t="shared" si="43"/>
        <v>157431.75110094037</v>
      </c>
      <c r="H44" s="1314">
        <f>IF(SUM(H12:H42)=0,"",MIN(H12:H42))</f>
        <v>7</v>
      </c>
      <c r="I44" s="1312">
        <f t="shared" ref="I44:AK44" si="44">IF(SUM(I12:I42)=0,"",MIN(I12:I42))</f>
        <v>9.5714285714285712</v>
      </c>
      <c r="J44" s="1312">
        <f t="shared" si="44"/>
        <v>3458.3186873477116</v>
      </c>
      <c r="K44" s="1312">
        <f t="shared" si="44"/>
        <v>5889.0603610438984</v>
      </c>
      <c r="L44" s="1315">
        <f t="shared" si="44"/>
        <v>8</v>
      </c>
      <c r="M44" s="1312">
        <f t="shared" si="44"/>
        <v>12.571428571428571</v>
      </c>
      <c r="N44" s="1312">
        <f t="shared" si="44"/>
        <v>3919.4168736049974</v>
      </c>
      <c r="O44" s="1312">
        <f t="shared" si="44"/>
        <v>7361.7523487243734</v>
      </c>
      <c r="P44" s="1312">
        <f t="shared" si="44"/>
        <v>1</v>
      </c>
      <c r="Q44" s="1316">
        <f t="shared" si="44"/>
        <v>4.161095456614456</v>
      </c>
      <c r="R44" s="1317">
        <f t="shared" si="44"/>
        <v>35</v>
      </c>
      <c r="S44" s="1312">
        <f t="shared" si="44"/>
        <v>18</v>
      </c>
      <c r="T44" s="1312">
        <f t="shared" si="44"/>
        <v>714.1612690187502</v>
      </c>
      <c r="U44" s="1312">
        <f t="shared" si="44"/>
        <v>2615.2926544259385</v>
      </c>
      <c r="V44" s="1315">
        <f t="shared" si="44"/>
        <v>14</v>
      </c>
      <c r="W44" s="1312">
        <f t="shared" si="44"/>
        <v>14</v>
      </c>
      <c r="X44" s="1312">
        <f t="shared" si="44"/>
        <v>285.66450760750007</v>
      </c>
      <c r="Y44" s="1313">
        <f t="shared" si="44"/>
        <v>1576.6176632745839</v>
      </c>
      <c r="Z44" s="1314">
        <f t="shared" si="44"/>
        <v>7</v>
      </c>
      <c r="AA44" s="1312">
        <f t="shared" si="44"/>
        <v>10.690400709578151</v>
      </c>
      <c r="AB44" s="1312">
        <f t="shared" si="44"/>
        <v>3458.3186873477116</v>
      </c>
      <c r="AC44" s="1312">
        <f t="shared" si="44"/>
        <v>6571.397813855684</v>
      </c>
      <c r="AD44" s="1315">
        <f t="shared" si="44"/>
        <v>8</v>
      </c>
      <c r="AE44" s="1312">
        <f t="shared" si="44"/>
        <v>12.513244286760411</v>
      </c>
      <c r="AF44" s="1312">
        <f t="shared" si="44"/>
        <v>3919.4168736049974</v>
      </c>
      <c r="AG44" s="1316">
        <f t="shared" si="44"/>
        <v>7892.4592564668737</v>
      </c>
      <c r="AH44" s="1318">
        <f t="shared" si="44"/>
        <v>55.515790000000003</v>
      </c>
      <c r="AI44" s="1319">
        <f t="shared" si="44"/>
        <v>59.473542857142867</v>
      </c>
      <c r="AJ44" s="1320">
        <f t="shared" si="44"/>
        <v>53.210505878472226</v>
      </c>
      <c r="AK44" s="1321">
        <f t="shared" si="44"/>
        <v>68.608170938538208</v>
      </c>
    </row>
    <row r="45" spans="2:37" ht="13.5" thickBot="1" x14ac:dyDescent="0.25">
      <c r="B45" s="1623" t="s">
        <v>538</v>
      </c>
      <c r="C45" s="1624"/>
      <c r="D45" s="1317">
        <f t="shared" ref="D45:G45" si="45">IF(SUM(D12:D42)=0,"",AVERAGE(D12:D42))</f>
        <v>137219.67187338206</v>
      </c>
      <c r="E45" s="1315">
        <f t="shared" si="45"/>
        <v>175592.64371737084</v>
      </c>
      <c r="F45" s="1315">
        <f t="shared" si="45"/>
        <v>133963.56962172745</v>
      </c>
      <c r="G45" s="1322">
        <f t="shared" si="45"/>
        <v>174382.93447851308</v>
      </c>
      <c r="H45" s="1362">
        <f>IF(SUM(H12:H42)=0,"",AVERAGE(H12:H42))</f>
        <v>10.870967741935484</v>
      </c>
      <c r="I45" s="1359">
        <f t="shared" ref="I45:AK45" si="46">IF(SUM(I12:I42)=0,"",AVERAGE(I12:I42))</f>
        <v>10.75</v>
      </c>
      <c r="J45" s="1359">
        <f t="shared" si="46"/>
        <v>6538.2412529412186</v>
      </c>
      <c r="K45" s="1359">
        <f t="shared" si="46"/>
        <v>6744.8895742146224</v>
      </c>
      <c r="L45" s="1359">
        <f t="shared" si="46"/>
        <v>16.516129032258064</v>
      </c>
      <c r="M45" s="1359">
        <f t="shared" si="46"/>
        <v>16.5</v>
      </c>
      <c r="N45" s="1359">
        <f t="shared" si="46"/>
        <v>10135.088671370864</v>
      </c>
      <c r="O45" s="1359">
        <f t="shared" si="46"/>
        <v>10577.25575686975</v>
      </c>
      <c r="P45" s="1359">
        <f t="shared" si="46"/>
        <v>11</v>
      </c>
      <c r="Q45" s="1360">
        <f t="shared" si="46"/>
        <v>6.598950062399064</v>
      </c>
      <c r="R45" s="1358">
        <f t="shared" si="46"/>
        <v>46.5</v>
      </c>
      <c r="S45" s="1359">
        <f t="shared" si="46"/>
        <v>39.375</v>
      </c>
      <c r="T45" s="1359">
        <f t="shared" si="46"/>
        <v>11534.563734808546</v>
      </c>
      <c r="U45" s="1359">
        <f t="shared" si="46"/>
        <v>9845.0133435270327</v>
      </c>
      <c r="V45" s="1359">
        <f t="shared" si="46"/>
        <v>27.666666666666668</v>
      </c>
      <c r="W45" s="1359">
        <f t="shared" si="46"/>
        <v>24.25</v>
      </c>
      <c r="X45" s="1359">
        <f t="shared" si="46"/>
        <v>8397.7738522267391</v>
      </c>
      <c r="Y45" s="1361">
        <f t="shared" si="46"/>
        <v>7227.067477719429</v>
      </c>
      <c r="Z45" s="1362">
        <f t="shared" si="46"/>
        <v>11.960490037666341</v>
      </c>
      <c r="AA45" s="1359">
        <f t="shared" si="46"/>
        <v>12.021714147667989</v>
      </c>
      <c r="AB45" s="1359">
        <f t="shared" si="46"/>
        <v>8770.7374596783557</v>
      </c>
      <c r="AC45" s="1359">
        <f t="shared" si="46"/>
        <v>9387.1661663051145</v>
      </c>
      <c r="AD45" s="1359">
        <f t="shared" si="46"/>
        <v>16.777964709791203</v>
      </c>
      <c r="AE45" s="1359">
        <f t="shared" si="46"/>
        <v>16.775343428958937</v>
      </c>
      <c r="AF45" s="1359">
        <f t="shared" si="46"/>
        <v>11760.464255672814</v>
      </c>
      <c r="AG45" s="1360">
        <f t="shared" si="46"/>
        <v>12509.455452139677</v>
      </c>
      <c r="AH45" s="1358">
        <f t="shared" si="46"/>
        <v>60.494473870967731</v>
      </c>
      <c r="AI45" s="1359">
        <f t="shared" si="46"/>
        <v>60.367563928571421</v>
      </c>
      <c r="AJ45" s="1359">
        <f t="shared" si="46"/>
        <v>73.814534245195631</v>
      </c>
      <c r="AK45" s="1361">
        <f t="shared" si="46"/>
        <v>78.419665840787019</v>
      </c>
    </row>
    <row r="46" spans="2:37" ht="13.5" thickBot="1" x14ac:dyDescent="0.25">
      <c r="B46" s="1625" t="s">
        <v>592</v>
      </c>
      <c r="C46" s="1626"/>
      <c r="D46" s="1368">
        <f>IF(SUM(D12:D42)=0,"",SUM(D12:D42))</f>
        <v>4253809.8280748436</v>
      </c>
      <c r="E46" s="1323">
        <f t="shared" ref="E46:G46" si="47">IF(SUM(E12:E42)=0,"",SUM(E12:E42))</f>
        <v>5443371.955238496</v>
      </c>
      <c r="F46" s="1323">
        <f t="shared" si="47"/>
        <v>535854.27848690981</v>
      </c>
      <c r="G46" s="1324">
        <f t="shared" si="47"/>
        <v>697531.73791405233</v>
      </c>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6"/>
      <c r="AI46" s="1256"/>
      <c r="AJ46" s="1256"/>
      <c r="AK46" s="1256"/>
    </row>
    <row r="47" spans="2:37" x14ac:dyDescent="0.2">
      <c r="I47" s="1255"/>
    </row>
  </sheetData>
  <mergeCells count="21">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 ref="B43:C43"/>
    <mergeCell ref="B44:C44"/>
    <mergeCell ref="B45:C45"/>
    <mergeCell ref="B46:C46"/>
    <mergeCell ref="B2:C2"/>
    <mergeCell ref="B4:C4"/>
  </mergeCells>
  <phoneticPr fontId="0" type="noConversion"/>
  <pageMargins left="0.25" right="0.25" top="1" bottom="1" header="0.5" footer="0.5"/>
  <pageSetup scale="3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N27" sqref="N27"/>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N27" sqref="N27"/>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5" zoomScaleNormal="50" zoomScaleSheetLayoutView="75" workbookViewId="0">
      <pane xSplit="1" ySplit="4" topLeftCell="B8" activePane="bottomRight" state="frozen"/>
      <selection activeCell="E29" sqref="E29"/>
      <selection pane="topRight" activeCell="E29" sqref="E29"/>
      <selection pane="bottomLeft" activeCell="E29" sqref="E29"/>
      <selection pane="bottomRight" activeCell="E29" sqref="E29"/>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88" t="s">
        <v>550</v>
      </c>
      <c r="B2" s="1651" t="s">
        <v>578</v>
      </c>
      <c r="C2" s="1651"/>
      <c r="D2" s="1651"/>
      <c r="E2" s="1651"/>
      <c r="F2" s="1651"/>
      <c r="G2" s="1651" t="s">
        <v>483</v>
      </c>
      <c r="H2" s="1651"/>
      <c r="I2" s="1651"/>
      <c r="J2" s="1651"/>
      <c r="K2" s="1651"/>
      <c r="L2" s="61"/>
      <c r="M2" s="62" t="s">
        <v>579</v>
      </c>
      <c r="N2" s="61"/>
      <c r="O2" s="1651" t="s">
        <v>485</v>
      </c>
      <c r="P2" s="1651"/>
      <c r="Q2" s="1651"/>
      <c r="R2" s="1651"/>
      <c r="S2" s="723"/>
      <c r="T2" s="1651" t="s">
        <v>580</v>
      </c>
      <c r="U2" s="1651"/>
      <c r="V2" s="1651"/>
      <c r="W2" s="60" t="s">
        <v>581</v>
      </c>
      <c r="X2" s="58"/>
      <c r="Y2" s="60" t="s">
        <v>582</v>
      </c>
      <c r="Z2" s="58"/>
      <c r="AA2" s="61"/>
      <c r="AB2" s="12"/>
      <c r="AC2" s="12"/>
      <c r="AD2" s="12"/>
      <c r="AE2" s="12"/>
    </row>
    <row r="3" spans="1:61" ht="21.95" customHeight="1" x14ac:dyDescent="0.2">
      <c r="A3" s="724">
        <f>date!B6</f>
        <v>43466</v>
      </c>
      <c r="B3" s="725" t="s">
        <v>583</v>
      </c>
      <c r="C3" s="725" t="s">
        <v>584</v>
      </c>
      <c r="D3" s="725" t="s">
        <v>518</v>
      </c>
      <c r="E3" s="725" t="s">
        <v>585</v>
      </c>
      <c r="F3" s="726" t="s">
        <v>469</v>
      </c>
      <c r="G3" s="727" t="s">
        <v>694</v>
      </c>
      <c r="H3" s="727" t="s">
        <v>739</v>
      </c>
      <c r="I3" s="727" t="s">
        <v>739</v>
      </c>
      <c r="J3" s="725" t="s">
        <v>518</v>
      </c>
      <c r="K3" s="727" t="s">
        <v>743</v>
      </c>
      <c r="L3" s="728" t="s">
        <v>687</v>
      </c>
      <c r="M3" s="725" t="s">
        <v>588</v>
      </c>
      <c r="N3" s="725" t="s">
        <v>586</v>
      </c>
      <c r="O3" s="729" t="s">
        <v>694</v>
      </c>
      <c r="P3" s="727" t="s">
        <v>739</v>
      </c>
      <c r="Q3" s="727" t="s">
        <v>739</v>
      </c>
      <c r="R3" s="725" t="s">
        <v>518</v>
      </c>
      <c r="S3" s="727" t="s">
        <v>743</v>
      </c>
      <c r="T3" s="725" t="s">
        <v>589</v>
      </c>
      <c r="U3" s="725" t="s">
        <v>588</v>
      </c>
      <c r="V3" s="725" t="s">
        <v>589</v>
      </c>
      <c r="W3" s="725" t="s">
        <v>587</v>
      </c>
      <c r="X3" s="725" t="s">
        <v>586</v>
      </c>
      <c r="Y3" s="725" t="s">
        <v>587</v>
      </c>
      <c r="Z3" s="725" t="s">
        <v>586</v>
      </c>
    </row>
    <row r="4" spans="1:61" ht="21.95" customHeight="1" thickBot="1" x14ac:dyDescent="0.25">
      <c r="A4" s="722">
        <f>date!B6</f>
        <v>43466</v>
      </c>
      <c r="B4" s="543" t="s">
        <v>481</v>
      </c>
      <c r="C4" s="543" t="s">
        <v>481</v>
      </c>
      <c r="D4" s="543" t="s">
        <v>481</v>
      </c>
      <c r="E4" s="543" t="s">
        <v>481</v>
      </c>
      <c r="F4" s="544" t="s">
        <v>502</v>
      </c>
      <c r="G4" s="543" t="s">
        <v>583</v>
      </c>
      <c r="H4" s="543" t="s">
        <v>583</v>
      </c>
      <c r="I4" s="543" t="s">
        <v>584</v>
      </c>
      <c r="J4" s="543" t="s">
        <v>584</v>
      </c>
      <c r="K4" s="543" t="s">
        <v>584</v>
      </c>
      <c r="L4" s="542" t="s">
        <v>583</v>
      </c>
      <c r="M4" s="543"/>
      <c r="N4" s="543" t="s">
        <v>584</v>
      </c>
      <c r="O4" s="545" t="s">
        <v>583</v>
      </c>
      <c r="P4" s="545" t="s">
        <v>583</v>
      </c>
      <c r="Q4" s="543" t="s">
        <v>584</v>
      </c>
      <c r="R4" s="545" t="s">
        <v>584</v>
      </c>
      <c r="S4" s="543" t="s">
        <v>584</v>
      </c>
      <c r="T4" s="543" t="s">
        <v>583</v>
      </c>
      <c r="U4" s="543"/>
      <c r="V4" s="543" t="s">
        <v>584</v>
      </c>
      <c r="W4" s="543" t="s">
        <v>584</v>
      </c>
      <c r="X4" s="543" t="s">
        <v>584</v>
      </c>
      <c r="Y4" s="543" t="s">
        <v>584</v>
      </c>
      <c r="Z4" s="543" t="s">
        <v>584</v>
      </c>
    </row>
    <row r="5" spans="1:61" ht="21.95" customHeight="1" x14ac:dyDescent="0.3">
      <c r="A5" s="735">
        <v>1</v>
      </c>
      <c r="B5" s="719">
        <f>IF('[1]Plant Data'!I4="","",'[1]Plant Data'!I4)</f>
        <v>55.899334378472254</v>
      </c>
      <c r="C5" s="704">
        <f>IF('[1]Plant Data'!P4="","",'[1]Plant Data'!P4+'[1]Plant Data'!$N$4)</f>
        <v>58.754506888888827</v>
      </c>
      <c r="D5" s="704">
        <f>'dmr 1'!D10</f>
        <v>58.754506888888827</v>
      </c>
      <c r="E5" s="705" t="str">
        <f>'dmr 1'!E10</f>
        <v/>
      </c>
      <c r="F5" s="713">
        <f>'dmr 1'!I10</f>
        <v>1.1764705882352941E-2</v>
      </c>
      <c r="G5" s="711">
        <f>IF([2]BOD!B4="","",[2]BOD!B4)</f>
        <v>288</v>
      </c>
      <c r="H5" s="704">
        <f>IF([2]BOD!C4="","",[2]BOD!C4)</f>
        <v>257</v>
      </c>
      <c r="I5" s="706">
        <f>IF([2]BOD!D4="","",[2]BOD!D4)</f>
        <v>161</v>
      </c>
      <c r="J5" s="704">
        <f>IF([2]BOD!E4="","",[2]BOD!E4)</f>
        <v>13</v>
      </c>
      <c r="K5" s="715" t="str">
        <f>IF([2]BOD!F4="","",[2]BOD!F4)</f>
        <v/>
      </c>
      <c r="L5" s="718">
        <f>IF(OR(B5="",G5="",ISTEXT(G5)=TRUE),"",B5*[2]BOD!H4*8.34)</f>
        <v>134265.72923034008</v>
      </c>
      <c r="M5" s="704" t="str">
        <f>IF(OR(E5="",E5=0,[2]BOD!L4="",ISTEXT([2]BOD!L4)=TRUE),"",E5*[2]BOD!L4*8.34)</f>
        <v/>
      </c>
      <c r="N5" s="707" t="str">
        <f>IF(OR(D5="",K5="",ISTEXT(K5)=TRUE),"",D5*[2]BOD!K4*8.34)</f>
        <v/>
      </c>
      <c r="O5" s="711">
        <f>IF([2]TSS!B4="","",[2]TSS!B4)</f>
        <v>498</v>
      </c>
      <c r="P5" s="706">
        <f>IF([2]TSS!C4="","",[2]TSS!C4)</f>
        <v>295</v>
      </c>
      <c r="Q5" s="704">
        <f>IF([2]TSS!D4="","",[2]TSS!D4)</f>
        <v>80</v>
      </c>
      <c r="R5" s="704">
        <f>IF([2]TSS!E4="","",[2]TSS!E4)</f>
        <v>13</v>
      </c>
      <c r="S5" s="715" t="str">
        <f>IF([2]TSS!F4="","",[2]TSS!F4)</f>
        <v/>
      </c>
      <c r="T5" s="703">
        <f>IF(OR(B5="",O5="",ISTEXT(O5)=TRUE),"",B5*[2]TSS!H4*8.34)</f>
        <v>232167.82346079638</v>
      </c>
      <c r="U5" s="704" t="str">
        <f>IF(OR(E5="",E5=0,R5="",[2]TSS!L4=""),"",E5*[2]TSS!L4*8.34)</f>
        <v/>
      </c>
      <c r="V5" s="721">
        <f>IF(OR(B5="",R5="",ISTEXT(R5)=TRUE),"",B5*[2]TSS!K4*8.34)</f>
        <v>6060.6058333139617</v>
      </c>
      <c r="W5" s="719">
        <f>IF(ISERROR((([2]BOD!H4-[2]BOD!J4))/[2]BOD!H4*100),"",(([2]BOD!H4-[2]BOD!J4))/[2]BOD!H4*100)</f>
        <v>44.097222222222221</v>
      </c>
      <c r="X5" s="705" t="str">
        <f>IF(ISERROR(IF(OR(G5="",K5=""),"",(([2]BOD!H4-[2]BOD!K4))/[2]BOD!H4*100)),"",IF(OR(G5="",K5=""),"",(([2]BOD!H4-[2]BOD!K4))/[2]BOD!H4*100))</f>
        <v/>
      </c>
      <c r="Y5" s="704">
        <f>IF(OR(O5="",Q5="",ISTEXT(O5)=TRUE,ISTEXT(Q5)=TRUE),"",(([2]TSS!H4-[2]TSS!J4))/[2]TSS!H4*100)</f>
        <v>83.935742971887549</v>
      </c>
      <c r="Z5" s="707">
        <f>IF(OR(O5="",R5="",ISTEXT(O5)=TRUE,ISTEXT(R5)=TRUE),"",(([2]TSS!H4-[2]TSS!K4))/[2]TSS!H4*100)</f>
        <v>97.389558232931734</v>
      </c>
      <c r="AC5" s="185" t="s">
        <v>108</v>
      </c>
      <c r="AD5" s="185" t="s">
        <v>107</v>
      </c>
      <c r="AE5" s="185" t="s">
        <v>114</v>
      </c>
      <c r="AF5" s="199"/>
      <c r="BI5" s="199" t="s">
        <v>106</v>
      </c>
    </row>
    <row r="6" spans="1:61" ht="21.95" customHeight="1" x14ac:dyDescent="0.3">
      <c r="A6" s="736">
        <v>2</v>
      </c>
      <c r="B6" s="734">
        <f>IF('[1]Plant Data'!I5="","",'[1]Plant Data'!I5)</f>
        <v>56.550915771527805</v>
      </c>
      <c r="C6" s="699">
        <f>IF('[1]Plant Data'!P5="","",'[1]Plant Data'!P5+'[1]Plant Data'!$N$4)</f>
        <v>60.347685031250165</v>
      </c>
      <c r="D6" s="699">
        <f>'dmr 1'!D11</f>
        <v>60.347685031250165</v>
      </c>
      <c r="E6" s="699" t="str">
        <f>'dmr 1'!E11</f>
        <v/>
      </c>
      <c r="F6" s="714">
        <f>'dmr 1'!I11</f>
        <v>1.1764705882352941E-2</v>
      </c>
      <c r="G6" s="712">
        <f>IF([2]BOD!B5="","",[2]BOD!B5)</f>
        <v>281</v>
      </c>
      <c r="H6" s="699">
        <f>IF([2]BOD!C5="","",[2]BOD!C5)</f>
        <v>313</v>
      </c>
      <c r="I6" s="700">
        <f>IF([2]BOD!D5="","",[2]BOD!D5)</f>
        <v>162</v>
      </c>
      <c r="J6" s="699">
        <f>IF([2]BOD!E5="","",[2]BOD!E5)</f>
        <v>9</v>
      </c>
      <c r="K6" s="716" t="str">
        <f>IF([2]BOD!F5="","",[2]BOD!F5)</f>
        <v/>
      </c>
      <c r="L6" s="708">
        <f>IF(OR(B6="",G6="",ISTEXT(G6)=TRUE),"",B6*[2]BOD!H5*8.34)</f>
        <v>132529.33314720626</v>
      </c>
      <c r="M6" s="699" t="str">
        <f>IF(OR(E6="",E6=0,[2]BOD!L5="",ISTEXT([2]BOD!L5)=TRUE),"",E6*[2]BOD!L5*8.34)</f>
        <v/>
      </c>
      <c r="N6" s="709" t="str">
        <f>IF(OR(D6="",K6="",ISTEXT(K6)=TRUE),"",D6*[2]BOD!K5*8.34)</f>
        <v/>
      </c>
      <c r="O6" s="717">
        <f>IF([2]TSS!B5="","",[2]TSS!B5)</f>
        <v>292</v>
      </c>
      <c r="P6" s="702">
        <f>IF([2]TSS!C5="","",[2]TSS!C5)</f>
        <v>300</v>
      </c>
      <c r="Q6" s="699">
        <f>IF([2]TSS!D5="","",[2]TSS!D5)</f>
        <v>82</v>
      </c>
      <c r="R6" s="699">
        <f>IF([2]TSS!E5="","",[2]TSS!E5)</f>
        <v>12</v>
      </c>
      <c r="S6" s="716" t="str">
        <f>IF([2]TSS!F5="","",[2]TSS!F5)</f>
        <v/>
      </c>
      <c r="T6" s="708">
        <f>IF(OR(B6="",O6="",ISTEXT(O6)=TRUE),"",B6*[2]TSS!H5*8.34)</f>
        <v>137717.31416008624</v>
      </c>
      <c r="U6" s="699" t="str">
        <f>IF(OR(E6="",E6=0,R6="",[2]TSS!L5=""),"",E6*[2]TSS!L5*8.34)</f>
        <v/>
      </c>
      <c r="V6" s="709">
        <f>IF(OR(B6="",R6="",ISTEXT(R6)=TRUE),"",B6*[2]TSS!K5*8.34)</f>
        <v>5659.6156504145029</v>
      </c>
      <c r="W6" s="720">
        <f>IF(ISERROR((([2]BOD!H5-[2]BOD!J5))/[2]BOD!H5*100),"",(([2]BOD!H5-[2]BOD!J5))/[2]BOD!H5*100)</f>
        <v>42.34875444839858</v>
      </c>
      <c r="X6" s="699" t="str">
        <f>IF(ISERROR(IF(OR(G6="",K6=""),"",(([2]BOD!H5-[2]BOD!K5))/[2]BOD!H5*100)),"",IF(OR(G6="",K6=""),"",(([2]BOD!H5-[2]BOD!K5))/[2]BOD!H5*100))</f>
        <v/>
      </c>
      <c r="Y6" s="699">
        <f>IF(OR(O6="",Q6="",ISTEXT(O6)=TRUE,ISTEXT(Q6)=TRUE),"",(([2]TSS!H5-[2]TSS!J5))/[2]TSS!H5*100)</f>
        <v>71.917808219178085</v>
      </c>
      <c r="Z6" s="709">
        <f>IF(OR(O6="",R6="",ISTEXT(O6)=TRUE,ISTEXT(R6)=TRUE),"",(([2]TSS!H5-[2]TSS!K5))/[2]TSS!H5*100)</f>
        <v>95.890410958904098</v>
      </c>
      <c r="AC6" s="80" t="s">
        <v>688</v>
      </c>
      <c r="AD6" s="80" t="s">
        <v>103</v>
      </c>
      <c r="AE6" s="205" t="s">
        <v>707</v>
      </c>
      <c r="AF6" s="80"/>
    </row>
    <row r="7" spans="1:61" ht="21.95" customHeight="1" x14ac:dyDescent="0.3">
      <c r="A7" s="736">
        <v>3</v>
      </c>
      <c r="B7" s="734">
        <f>IF('[1]Plant Data'!I6="","",'[1]Plant Data'!I6)</f>
        <v>59.265884118055446</v>
      </c>
      <c r="C7" s="699">
        <f>IF('[1]Plant Data'!P6="","",'[1]Plant Data'!P6+'[1]Plant Data'!$N$4)</f>
        <v>63.298762079861191</v>
      </c>
      <c r="D7" s="699">
        <f>'dmr 1'!D12</f>
        <v>63.298762079861191</v>
      </c>
      <c r="E7" s="699" t="str">
        <f>'dmr 1'!E12</f>
        <v/>
      </c>
      <c r="F7" s="714">
        <f>'dmr 1'!I12</f>
        <v>4.8857142857142863E-2</v>
      </c>
      <c r="G7" s="712">
        <f>IF([2]BOD!B6="","",[2]BOD!B6)</f>
        <v>269</v>
      </c>
      <c r="H7" s="699">
        <f>IF([2]BOD!C6="","",[2]BOD!C6)</f>
        <v>300</v>
      </c>
      <c r="I7" s="700">
        <f>IF([2]BOD!D6="","",[2]BOD!D6)</f>
        <v>162</v>
      </c>
      <c r="J7" s="699">
        <f>IF([2]BOD!E6="","",[2]BOD!E6)</f>
        <v>8</v>
      </c>
      <c r="K7" s="716" t="str">
        <f>IF([2]BOD!F6="","",[2]BOD!F6)</f>
        <v/>
      </c>
      <c r="L7" s="708">
        <f>IF(OR(B7="",G7="",ISTEXT(G7)=TRUE),"",B7*[2]BOD!H6*8.34)</f>
        <v>132960.64038349266</v>
      </c>
      <c r="M7" s="699" t="str">
        <f>IF(OR(E7="",E7=0,[2]BOD!L6="",ISTEXT([2]BOD!L6)=TRUE),"",E7*[2]BOD!L6*8.34)</f>
        <v/>
      </c>
      <c r="N7" s="709" t="str">
        <f>IF(OR(D7="",K7="",ISTEXT(K7)=TRUE),"",D7*[2]BOD!K6*8.34)</f>
        <v/>
      </c>
      <c r="O7" s="717">
        <f>IF([2]TSS!B6="","",[2]TSS!B6)</f>
        <v>292</v>
      </c>
      <c r="P7" s="702">
        <f>IF([2]TSS!C6="","",[2]TSS!C6)</f>
        <v>298</v>
      </c>
      <c r="Q7" s="699">
        <f>IF([2]TSS!D6="","",[2]TSS!D6)</f>
        <v>78</v>
      </c>
      <c r="R7" s="699">
        <f>IF([2]TSS!E6="","",[2]TSS!E6)</f>
        <v>11</v>
      </c>
      <c r="S7" s="716" t="str">
        <f>IF([2]TSS!F6="","",[2]TSS!F6)</f>
        <v/>
      </c>
      <c r="T7" s="708">
        <f>IF(OR(B7="",O7="",ISTEXT(O7)=TRUE),"",B7*[2]TSS!H6*8.34)</f>
        <v>144329.02227501807</v>
      </c>
      <c r="U7" s="699" t="str">
        <f>IF(OR(E7="",E7=0,R7="",[2]TSS!L6=""),"",E7*[2]TSS!L6*8.34)</f>
        <v/>
      </c>
      <c r="V7" s="709">
        <f>IF(OR(B7="",R7="",ISTEXT(R7)=TRUE),"",B7*[2]TSS!K6*8.34)</f>
        <v>5437.0522089904071</v>
      </c>
      <c r="W7" s="720">
        <f>IF(ISERROR((([2]BOD!H6-[2]BOD!J6))/[2]BOD!H6*100),"",(([2]BOD!H6-[2]BOD!J6))/[2]BOD!H6*100)</f>
        <v>39.776951672862452</v>
      </c>
      <c r="X7" s="699" t="str">
        <f>IF(ISERROR(IF(OR(G7="",K7=""),"",(([2]BOD!H6-[2]BOD!K6))/[2]BOD!H6*100)),"",IF(OR(G7="",K7=""),"",(([2]BOD!H6-[2]BOD!K6))/[2]BOD!H6*100))</f>
        <v/>
      </c>
      <c r="Y7" s="699">
        <f>IF(OR(O7="",Q7="",ISTEXT(O7)=TRUE,ISTEXT(Q7)=TRUE),"",(([2]TSS!H6-[2]TSS!J6))/[2]TSS!H6*100)</f>
        <v>73.287671232876718</v>
      </c>
      <c r="Z7" s="709">
        <f>IF(OR(O7="",R7="",ISTEXT(O7)=TRUE,ISTEXT(R7)=TRUE),"",(([2]TSS!H6-[2]TSS!K6))/[2]TSS!H6*100)</f>
        <v>96.232876712328761</v>
      </c>
      <c r="AC7" s="80" t="s">
        <v>685</v>
      </c>
      <c r="AD7" s="80" t="s">
        <v>113</v>
      </c>
      <c r="AE7" s="205" t="s">
        <v>708</v>
      </c>
      <c r="AF7" s="80"/>
    </row>
    <row r="8" spans="1:61" ht="21.95" customHeight="1" x14ac:dyDescent="0.3">
      <c r="A8" s="736">
        <v>4</v>
      </c>
      <c r="B8" s="734">
        <f>IF('[1]Plant Data'!I7="","",'[1]Plant Data'!I7)</f>
        <v>65.818315354166813</v>
      </c>
      <c r="C8" s="699">
        <f>IF('[1]Plant Data'!P7="","",'[1]Plant Data'!P7+'[1]Plant Data'!$N$4)</f>
        <v>68.112197826388936</v>
      </c>
      <c r="D8" s="699">
        <f>'dmr 1'!D13</f>
        <v>68.112197826388936</v>
      </c>
      <c r="E8" s="699" t="str">
        <f>'dmr 1'!E13</f>
        <v/>
      </c>
      <c r="F8" s="714">
        <f>'dmr 1'!I13</f>
        <v>7.5999999999999998E-2</v>
      </c>
      <c r="G8" s="712">
        <f>IF([2]BOD!B7="","",[2]BOD!B7)</f>
        <v>280</v>
      </c>
      <c r="H8" s="699">
        <f>IF([2]BOD!C7="","",[2]BOD!C7)</f>
        <v>287</v>
      </c>
      <c r="I8" s="700">
        <f>IF([2]BOD!D7="","",[2]BOD!D7)</f>
        <v>173</v>
      </c>
      <c r="J8" s="699">
        <f>IF([2]BOD!E7="","",[2]BOD!E7)</f>
        <v>12</v>
      </c>
      <c r="K8" s="716" t="str">
        <f>IF([2]BOD!F7="","",[2]BOD!F7)</f>
        <v/>
      </c>
      <c r="L8" s="708">
        <f>IF(OR(B8="",G8="",ISTEXT(G8)=TRUE),"",B8*[2]BOD!H7*8.34)</f>
        <v>153698.93001505034</v>
      </c>
      <c r="M8" s="699" t="str">
        <f>IF(OR(E8="",E8=0,[2]BOD!L7="",ISTEXT([2]BOD!L7)=TRUE),"",E8*[2]BOD!L7*8.34)</f>
        <v/>
      </c>
      <c r="N8" s="709" t="str">
        <f>IF(OR(D8="",K8="",ISTEXT(K8)=TRUE),"",D8*[2]BOD!K7*8.34)</f>
        <v/>
      </c>
      <c r="O8" s="717">
        <f>IF([2]TSS!B7="","",[2]TSS!B7)</f>
        <v>365</v>
      </c>
      <c r="P8" s="702">
        <f>IF([2]TSS!C7="","",[2]TSS!C7)</f>
        <v>240</v>
      </c>
      <c r="Q8" s="699">
        <f>IF([2]TSS!D7="","",[2]TSS!D7)</f>
        <v>71</v>
      </c>
      <c r="R8" s="699">
        <f>IF([2]TSS!E7="","",[2]TSS!E7)</f>
        <v>12</v>
      </c>
      <c r="S8" s="716" t="str">
        <f>IF([2]TSS!F7="","",[2]TSS!F7)</f>
        <v/>
      </c>
      <c r="T8" s="708">
        <f>IF(OR(B8="",O8="",ISTEXT(O8)=TRUE),"",B8*[2]TSS!H7*8.34)</f>
        <v>200357.53376961919</v>
      </c>
      <c r="U8" s="699" t="str">
        <f>IF(OR(E8="",E8=0,R8="",[2]TSS!L7=""),"",E8*[2]TSS!L7*8.34)</f>
        <v/>
      </c>
      <c r="V8" s="709">
        <f>IF(OR(B8="",R8="",ISTEXT(R8)=TRUE),"",B8*[2]TSS!K7*8.34)</f>
        <v>6587.0970006450143</v>
      </c>
      <c r="W8" s="720">
        <f>IF(ISERROR((([2]BOD!H7-[2]BOD!J7))/[2]BOD!H7*100),"",(([2]BOD!H7-[2]BOD!J7))/[2]BOD!H7*100)</f>
        <v>38.214285714285708</v>
      </c>
      <c r="X8" s="699" t="str">
        <f>IF(ISERROR(IF(OR(G8="",K8=""),"",(([2]BOD!H7-[2]BOD!K7))/[2]BOD!H7*100)),"",IF(OR(G8="",K8=""),"",(([2]BOD!H7-[2]BOD!K7))/[2]BOD!H7*100))</f>
        <v/>
      </c>
      <c r="Y8" s="699">
        <f>IF(OR(O8="",Q8="",ISTEXT(O8)=TRUE,ISTEXT(Q8)=TRUE),"",(([2]TSS!H7-[2]TSS!J7))/[2]TSS!H7*100)</f>
        <v>80.547945205479451</v>
      </c>
      <c r="Z8" s="709">
        <f>IF(OR(O8="",R8="",ISTEXT(O8)=TRUE,ISTEXT(R8)=TRUE),"",(([2]TSS!H7-[2]TSS!K7))/[2]TSS!H7*100)</f>
        <v>96.712328767123296</v>
      </c>
      <c r="AC8" s="80" t="s">
        <v>686</v>
      </c>
      <c r="AD8" s="80" t="s">
        <v>116</v>
      </c>
      <c r="AE8" s="205" t="s">
        <v>711</v>
      </c>
      <c r="AF8" s="80"/>
    </row>
    <row r="9" spans="1:61" ht="21.95" customHeight="1" x14ac:dyDescent="0.3">
      <c r="A9" s="736">
        <v>5</v>
      </c>
      <c r="B9" s="734">
        <f>IF('[1]Plant Data'!I8="","",'[1]Plant Data'!I8)</f>
        <v>56.328494034350783</v>
      </c>
      <c r="C9" s="699">
        <f>IF('[1]Plant Data'!P8="","",'[1]Plant Data'!P8+'[1]Plant Data'!$N$4)</f>
        <v>58.74425769791663</v>
      </c>
      <c r="D9" s="699">
        <f>'dmr 1'!D14</f>
        <v>58.74425769791663</v>
      </c>
      <c r="E9" s="699" t="str">
        <f>'dmr 1'!E14</f>
        <v/>
      </c>
      <c r="F9" s="714">
        <f>'dmr 1'!I14</f>
        <v>5.228571428571429E-2</v>
      </c>
      <c r="G9" s="712">
        <f>IF([2]BOD!B8="","",[2]BOD!B8)</f>
        <v>282</v>
      </c>
      <c r="H9" s="699">
        <f>IF([2]BOD!C8="","",[2]BOD!C8)</f>
        <v>298</v>
      </c>
      <c r="I9" s="700">
        <f>IF([2]BOD!D8="","",[2]BOD!D8)</f>
        <v>173</v>
      </c>
      <c r="J9" s="699">
        <f>IF([2]BOD!E8="","",[2]BOD!E8)</f>
        <v>10</v>
      </c>
      <c r="K9" s="716" t="str">
        <f>IF([2]BOD!F8="","",[2]BOD!F8)</f>
        <v/>
      </c>
      <c r="L9" s="708">
        <f>IF(OR(B9="",G9="",ISTEXT(G9)=TRUE),"",B9*[2]BOD!H8*8.34)</f>
        <v>132477.85854950894</v>
      </c>
      <c r="M9" s="699" t="str">
        <f>IF(OR(E9="",E9=0,[2]BOD!L8="",ISTEXT([2]BOD!L8)=TRUE),"",E9*[2]BOD!L8*8.34)</f>
        <v/>
      </c>
      <c r="N9" s="709" t="str">
        <f>IF(OR(D9="",K9="",ISTEXT(K9)=TRUE),"",D9*[2]BOD!K8*8.34)</f>
        <v/>
      </c>
      <c r="O9" s="717">
        <f>IF([2]TSS!B8="","",[2]TSS!B8)</f>
        <v>252</v>
      </c>
      <c r="P9" s="702">
        <f>IF([2]TSS!C8="","",[2]TSS!C8)</f>
        <v>360</v>
      </c>
      <c r="Q9" s="699">
        <f>IF([2]TSS!D8="","",[2]TSS!D8)</f>
        <v>47</v>
      </c>
      <c r="R9" s="699">
        <f>IF([2]TSS!E8="","",[2]TSS!E8)</f>
        <v>8</v>
      </c>
      <c r="S9" s="716" t="str">
        <f>IF([2]TSS!F8="","",[2]TSS!F8)</f>
        <v/>
      </c>
      <c r="T9" s="708">
        <f>IF(OR(B9="",O9="",ISTEXT(O9)=TRUE),"",B9*[2]TSS!H8*8.34)</f>
        <v>118384.46934211436</v>
      </c>
      <c r="U9" s="699" t="str">
        <f>IF(OR(E9="",E9=0,R9="",[2]TSS!L8=""),"",E9*[2]TSS!L8*8.34)</f>
        <v/>
      </c>
      <c r="V9" s="709">
        <f>IF(OR(B9="",R9="",ISTEXT(R9)=TRUE),"",B9*[2]TSS!K8*8.34)</f>
        <v>3758.2371219718843</v>
      </c>
      <c r="W9" s="720">
        <f>IF(ISERROR((([2]BOD!H8-[2]BOD!J8))/[2]BOD!H8*100),"",(([2]BOD!H8-[2]BOD!J8))/[2]BOD!H8*100)</f>
        <v>38.652482269503544</v>
      </c>
      <c r="X9" s="699" t="str">
        <f>IF(ISERROR(IF(OR(G9="",K9=""),"",(([2]BOD!H8-[2]BOD!K8))/[2]BOD!H8*100)),"",IF(OR(G9="",K9=""),"",(([2]BOD!H8-[2]BOD!K8))/[2]BOD!H8*100))</f>
        <v/>
      </c>
      <c r="Y9" s="699">
        <f>IF(OR(O9="",Q9="",ISTEXT(O9)=TRUE,ISTEXT(Q9)=TRUE),"",(([2]TSS!H8-[2]TSS!J8))/[2]TSS!H8*100)</f>
        <v>81.349206349206355</v>
      </c>
      <c r="Z9" s="709">
        <f>IF(OR(O9="",R9="",ISTEXT(O9)=TRUE,ISTEXT(R9)=TRUE),"",(([2]TSS!H8-[2]TSS!K8))/[2]TSS!H8*100)</f>
        <v>96.825396825396822</v>
      </c>
      <c r="AC9" s="80" t="s">
        <v>689</v>
      </c>
      <c r="AD9" s="80" t="s">
        <v>120</v>
      </c>
      <c r="AE9" s="205" t="s">
        <v>712</v>
      </c>
      <c r="AF9" s="80"/>
    </row>
    <row r="10" spans="1:61" ht="21.95" customHeight="1" x14ac:dyDescent="0.3">
      <c r="A10" s="736">
        <v>6</v>
      </c>
      <c r="B10" s="734">
        <f>IF('[1]Plant Data'!I9="","",'[1]Plant Data'!I9)</f>
        <v>103.1240249895835</v>
      </c>
      <c r="C10" s="699">
        <f>IF('[1]Plant Data'!P9="","",'[1]Plant Data'!P9+'[1]Plant Data'!$N$4)</f>
        <v>91.144097100694552</v>
      </c>
      <c r="D10" s="699">
        <f>'dmr 1'!D15</f>
        <v>91.144097100694552</v>
      </c>
      <c r="E10" s="699">
        <f>'dmr 1'!E15</f>
        <v>8.5958357881944476</v>
      </c>
      <c r="F10" s="714">
        <f>'dmr 1'!I15</f>
        <v>0.32676470588235296</v>
      </c>
      <c r="G10" s="712">
        <f>IF([2]BOD!B9="","",[2]BOD!B9)</f>
        <v>190</v>
      </c>
      <c r="H10" s="699">
        <f>IF([2]BOD!C9="","",[2]BOD!C9)</f>
        <v>220</v>
      </c>
      <c r="I10" s="700">
        <f>IF([2]BOD!D9="","",[2]BOD!D9)</f>
        <v>126</v>
      </c>
      <c r="J10" s="699">
        <f>IF([2]BOD!E9="","",[2]BOD!E9)</f>
        <v>13</v>
      </c>
      <c r="K10" s="716">
        <f>IF([2]BOD!F9="","",[2]BOD!F9)</f>
        <v>63</v>
      </c>
      <c r="L10" s="708">
        <f>IF(OR(B10="",G10="",ISTEXT(G10)=TRUE),"",B10*[2]BOD!H9*8.34)</f>
        <v>163410.32999849401</v>
      </c>
      <c r="M10" s="699">
        <f>IF(OR(E10="",E10=0,[2]BOD!L9="",ISTEXT([2]BOD!L9)=TRUE),"",E10*[2]BOD!L9*8.34)</f>
        <v>4516.4240398331267</v>
      </c>
      <c r="N10" s="709">
        <f>IF(OR(D10="",K10="",ISTEXT(K10)=TRUE),"",D10*[2]BOD!K9*8.34)</f>
        <v>9881.8430076573022</v>
      </c>
      <c r="O10" s="717">
        <f>IF([2]TSS!B9="","",[2]TSS!B9)</f>
        <v>240</v>
      </c>
      <c r="P10" s="702">
        <f>IF([2]TSS!C9="","",[2]TSS!C9)</f>
        <v>240</v>
      </c>
      <c r="Q10" s="699">
        <f>IF([2]TSS!D9="","",[2]TSS!D9)</f>
        <v>57</v>
      </c>
      <c r="R10" s="699">
        <f>IF([2]TSS!E9="","",[2]TSS!E9)</f>
        <v>14</v>
      </c>
      <c r="S10" s="716">
        <f>IF([2]TSS!F9="","",[2]TSS!F9)</f>
        <v>40</v>
      </c>
      <c r="T10" s="708">
        <f>IF(OR(B10="",O10="",ISTEXT(O10)=TRUE),"",B10*[2]TSS!H9*8.34)</f>
        <v>206413.04841915035</v>
      </c>
      <c r="U10" s="699">
        <f>IF(OR(E10="",E10=0,R10="",[2]TSS!L9=""),"",E10*[2]TSS!L9*8.34)</f>
        <v>2867.5708189416678</v>
      </c>
      <c r="V10" s="709">
        <f>IF(OR(B10="",R10="",ISTEXT(R10)=TRUE),"",B10*[2]TSS!K9*8.34)</f>
        <v>12040.761157783769</v>
      </c>
      <c r="W10" s="720">
        <f>IF(ISERROR((([2]BOD!H9-[2]BOD!J9))/[2]BOD!H9*100),"",(([2]BOD!H9-[2]BOD!J9))/[2]BOD!H9*100)</f>
        <v>33.684210526315788</v>
      </c>
      <c r="X10" s="699">
        <f>IF(ISERROR(IF(OR(G10="",K10=""),"",(([2]BOD!H9-[2]BOD!K9))/[2]BOD!H9*100)),"",IF(OR(G10="",K10=""),"",(([2]BOD!H9-[2]BOD!K9))/[2]BOD!H9*100))</f>
        <v>93.15789473684211</v>
      </c>
      <c r="Y10" s="699">
        <f>IF(OR(O10="",Q10="",ISTEXT(O10)=TRUE,ISTEXT(Q10)=TRUE),"",(([2]TSS!H9-[2]TSS!J9))/[2]TSS!H9*100)</f>
        <v>76.25</v>
      </c>
      <c r="Z10" s="709">
        <f>IF(OR(O10="",R10="",ISTEXT(O10)=TRUE,ISTEXT(R10)=TRUE),"",(([2]TSS!H9-[2]TSS!K9))/[2]TSS!H9*100)</f>
        <v>94.166666666666671</v>
      </c>
      <c r="AC10" s="80" t="s">
        <v>690</v>
      </c>
      <c r="AD10" s="80" t="s">
        <v>604</v>
      </c>
      <c r="AE10" s="205" t="s">
        <v>713</v>
      </c>
      <c r="AF10" s="80"/>
    </row>
    <row r="11" spans="1:61" ht="21.95" customHeight="1" x14ac:dyDescent="0.3">
      <c r="A11" s="736">
        <v>7</v>
      </c>
      <c r="B11" s="734">
        <f>IF('[1]Plant Data'!I10="","",'[1]Plant Data'!I10)</f>
        <v>59.377203996527662</v>
      </c>
      <c r="C11" s="699">
        <f>IF('[1]Plant Data'!P10="","",'[1]Plant Data'!P10+'[1]Plant Data'!$N$4)</f>
        <v>69.217215423611108</v>
      </c>
      <c r="D11" s="699">
        <f>'dmr 1'!D16</f>
        <v>69.217215423611108</v>
      </c>
      <c r="E11" s="699" t="str">
        <f>'dmr 1'!E16</f>
        <v/>
      </c>
      <c r="F11" s="714">
        <f>'dmr 1'!I16</f>
        <v>1.55E-2</v>
      </c>
      <c r="G11" s="712">
        <f>IF([2]BOD!B10="","",[2]BOD!B10)</f>
        <v>224</v>
      </c>
      <c r="H11" s="699">
        <f>IF([2]BOD!C10="","",[2]BOD!C10)</f>
        <v>272</v>
      </c>
      <c r="I11" s="700">
        <f>IF([2]BOD!D10="","",[2]BOD!D10)</f>
        <v>178</v>
      </c>
      <c r="J11" s="699">
        <f>IF([2]BOD!E10="","",[2]BOD!E10)</f>
        <v>15</v>
      </c>
      <c r="K11" s="716" t="str">
        <f>IF([2]BOD!F10="","",[2]BOD!F10)</f>
        <v/>
      </c>
      <c r="L11" s="708">
        <f>IF(OR(B11="",G11="",ISTEXT(G11)=TRUE),"",B11*[2]BOD!H10*8.34)</f>
        <v>110926.11741815311</v>
      </c>
      <c r="M11" s="699" t="str">
        <f>IF(OR(E11="",E11=0,[2]BOD!L10="",ISTEXT([2]BOD!L10)=TRUE),"",E11*[2]BOD!L10*8.34)</f>
        <v/>
      </c>
      <c r="N11" s="709" t="str">
        <f>IF(OR(D11="",K11="",ISTEXT(K11)=TRUE),"",D11*[2]BOD!K10*8.34)</f>
        <v/>
      </c>
      <c r="O11" s="717">
        <f>IF([2]TSS!B10="","",[2]TSS!B10)</f>
        <v>224</v>
      </c>
      <c r="P11" s="702">
        <f>IF([2]TSS!C10="","",[2]TSS!C10)</f>
        <v>256</v>
      </c>
      <c r="Q11" s="699">
        <f>IF([2]TSS!D10="","",[2]TSS!D10)</f>
        <v>99</v>
      </c>
      <c r="R11" s="699">
        <f>IF([2]TSS!E10="","",[2]TSS!E10)</f>
        <v>19</v>
      </c>
      <c r="S11" s="716" t="str">
        <f>IF([2]TSS!F10="","",[2]TSS!F10)</f>
        <v/>
      </c>
      <c r="T11" s="708">
        <f>IF(OR(B11="",O11="",ISTEXT(O11)=TRUE),"",B11*[2]TSS!H10*8.34)</f>
        <v>110926.11741815311</v>
      </c>
      <c r="U11" s="699" t="str">
        <f>IF(OR(E11="",E11=0,R11="",[2]TSS!L10=""),"",E11*[2]TSS!L10*8.34)</f>
        <v/>
      </c>
      <c r="V11" s="709">
        <f>IF(OR(B11="",R11="",ISTEXT(R11)=TRUE),"",B11*[2]TSS!K10*8.34)</f>
        <v>9408.9117452897717</v>
      </c>
      <c r="W11" s="720">
        <f>IF(ISERROR((([2]BOD!H10-[2]BOD!J10))/[2]BOD!H10*100),"",(([2]BOD!H10-[2]BOD!J10))/[2]BOD!H10*100)</f>
        <v>20.535714285714285</v>
      </c>
      <c r="X11" s="699" t="str">
        <f>IF(ISERROR(IF(OR(G11="",K11=""),"",(([2]BOD!H10-[2]BOD!K10))/[2]BOD!H10*100)),"",IF(OR(G11="",K11=""),"",(([2]BOD!H10-[2]BOD!K10))/[2]BOD!H10*100))</f>
        <v/>
      </c>
      <c r="Y11" s="699">
        <f>IF(OR(O11="",Q11="",ISTEXT(O11)=TRUE,ISTEXT(Q11)=TRUE),"",(([2]TSS!H10-[2]TSS!J10))/[2]TSS!H10*100)</f>
        <v>55.803571428571431</v>
      </c>
      <c r="Z11" s="709">
        <f>IF(OR(O11="",R11="",ISTEXT(O11)=TRUE,ISTEXT(R11)=TRUE),"",(([2]TSS!H10-[2]TSS!K10))/[2]TSS!H10*100)</f>
        <v>91.517857142857139</v>
      </c>
      <c r="AC11" s="80" t="s">
        <v>695</v>
      </c>
      <c r="AD11" s="80" t="s">
        <v>132</v>
      </c>
      <c r="AE11" s="205" t="s">
        <v>714</v>
      </c>
      <c r="AF11" s="80"/>
    </row>
    <row r="12" spans="1:61" ht="21.95" customHeight="1" x14ac:dyDescent="0.3">
      <c r="A12" s="736">
        <v>8</v>
      </c>
      <c r="B12" s="734">
        <f>IF('[1]Plant Data'!I11="","",'[1]Plant Data'!I11)</f>
        <v>94.233337409722296</v>
      </c>
      <c r="C12" s="699">
        <f>IF('[1]Plant Data'!P11="","",'[1]Plant Data'!P11+'[1]Plant Data'!$N$4)</f>
        <v>91.644257361111073</v>
      </c>
      <c r="D12" s="699">
        <f>'dmr 1'!D17</f>
        <v>91.644257361111073</v>
      </c>
      <c r="E12" s="699">
        <f>'dmr 1'!E17</f>
        <v>2.4465956458333338</v>
      </c>
      <c r="F12" s="714">
        <f>'dmr 1'!I17</f>
        <v>0.27257142857142858</v>
      </c>
      <c r="G12" s="712">
        <f>IF([2]BOD!B11="","",[2]BOD!B11)</f>
        <v>168</v>
      </c>
      <c r="H12" s="699">
        <f>IF([2]BOD!C11="","",[2]BOD!C11)</f>
        <v>204</v>
      </c>
      <c r="I12" s="700">
        <f>IF([2]BOD!D11="","",[2]BOD!D11)</f>
        <v>119</v>
      </c>
      <c r="J12" s="699">
        <f>IF([2]BOD!E11="","",[2]BOD!E11)</f>
        <v>11</v>
      </c>
      <c r="K12" s="716">
        <f>IF([2]BOD!F11="","",[2]BOD!F11)</f>
        <v>35</v>
      </c>
      <c r="L12" s="708">
        <f>IF(OR(B12="",G12="",ISTEXT(G12)=TRUE),"",B12*[2]BOD!H11*8.34)</f>
        <v>132032.21371151009</v>
      </c>
      <c r="M12" s="699">
        <f>IF(OR(E12="",E12=0,[2]BOD!L11="",ISTEXT([2]BOD!L11)=TRUE),"",E12*[2]BOD!L11*8.34)</f>
        <v>714.1612690187502</v>
      </c>
      <c r="N12" s="709">
        <f>IF(OR(D12="",K12="",ISTEXT(K12)=TRUE),"",D12*[2]BOD!K11*8.34)</f>
        <v>8407.4441703083303</v>
      </c>
      <c r="O12" s="717">
        <f>IF([2]TSS!B11="","",[2]TSS!B11)</f>
        <v>220</v>
      </c>
      <c r="P12" s="702">
        <f>IF([2]TSS!C11="","",[2]TSS!C11)</f>
        <v>200</v>
      </c>
      <c r="Q12" s="699">
        <f>IF([2]TSS!D11="","",[2]TSS!D11)</f>
        <v>79</v>
      </c>
      <c r="R12" s="699">
        <f>IF([2]TSS!E11="","",[2]TSS!E11)</f>
        <v>16</v>
      </c>
      <c r="S12" s="716">
        <f>IF([2]TSS!F11="","",[2]TSS!F11)</f>
        <v>14</v>
      </c>
      <c r="T12" s="708">
        <f>IF(OR(B12="",O12="",ISTEXT(O12)=TRUE),"",B12*[2]TSS!H11*8.34)</f>
        <v>172899.32747935847</v>
      </c>
      <c r="U12" s="699">
        <f>IF(OR(E12="",E12=0,R12="",[2]TSS!L11=""),"",E12*[2]TSS!L11*8.34)</f>
        <v>285.66450760750007</v>
      </c>
      <c r="V12" s="709">
        <f>IF(OR(B12="",R12="",ISTEXT(R12)=TRUE),"",B12*[2]TSS!K11*8.34)</f>
        <v>12574.496543953343</v>
      </c>
      <c r="W12" s="720">
        <f>IF(ISERROR((([2]BOD!H11-[2]BOD!J11))/[2]BOD!H11*100),"",(([2]BOD!H11-[2]BOD!J11))/[2]BOD!H11*100)</f>
        <v>29.166666666666668</v>
      </c>
      <c r="X12" s="699">
        <f>IF(ISERROR(IF(OR(G12="",K12=""),"",(([2]BOD!H11-[2]BOD!K11))/[2]BOD!H11*100)),"",IF(OR(G12="",K12=""),"",(([2]BOD!H11-[2]BOD!K11))/[2]BOD!H11*100))</f>
        <v>93.452380952380949</v>
      </c>
      <c r="Y12" s="699">
        <f>IF(OR(O12="",Q12="",ISTEXT(O12)=TRUE,ISTEXT(Q12)=TRUE),"",(([2]TSS!H11-[2]TSS!J11))/[2]TSS!H11*100)</f>
        <v>64.090909090909093</v>
      </c>
      <c r="Z12" s="709">
        <f>IF(OR(O12="",R12="",ISTEXT(O12)=TRUE,ISTEXT(R12)=TRUE),"",(([2]TSS!H11-[2]TSS!K11))/[2]TSS!H11*100)</f>
        <v>92.72727272727272</v>
      </c>
      <c r="AC12" s="80" t="s">
        <v>697</v>
      </c>
      <c r="AD12" s="80" t="s">
        <v>138</v>
      </c>
      <c r="AE12" s="205" t="s">
        <v>715</v>
      </c>
      <c r="AF12" s="80"/>
    </row>
    <row r="13" spans="1:61" ht="21.95" customHeight="1" x14ac:dyDescent="0.3">
      <c r="A13" s="736">
        <v>9</v>
      </c>
      <c r="B13" s="734">
        <f>IF('[1]Plant Data'!I12="","",'[1]Plant Data'!I12)</f>
        <v>83.880514163194348</v>
      </c>
      <c r="C13" s="699">
        <f>IF('[1]Plant Data'!P12="","",'[1]Plant Data'!P12+'[1]Plant Data'!$N$4)</f>
        <v>88.402698861110949</v>
      </c>
      <c r="D13" s="699">
        <f>'dmr 1'!D18</f>
        <v>88.402698861110949</v>
      </c>
      <c r="E13" s="699" t="str">
        <f>'dmr 1'!E18</f>
        <v/>
      </c>
      <c r="F13" s="714">
        <f>'dmr 1'!I18</f>
        <v>0.24542857142857144</v>
      </c>
      <c r="G13" s="712">
        <f>IF([2]BOD!B12="","",[2]BOD!B12)</f>
        <v>197</v>
      </c>
      <c r="H13" s="699">
        <f>IF([2]BOD!C12="","",[2]BOD!C12)</f>
        <v>218</v>
      </c>
      <c r="I13" s="700">
        <f>IF([2]BOD!D12="","",[2]BOD!D12)</f>
        <v>118</v>
      </c>
      <c r="J13" s="699">
        <f>IF([2]BOD!E12="","",[2]BOD!E12)</f>
        <v>13</v>
      </c>
      <c r="K13" s="716" t="str">
        <f>IF([2]BOD!F12="","",[2]BOD!F12)</f>
        <v/>
      </c>
      <c r="L13" s="708">
        <f>IF(OR(B13="",G13="",ISTEXT(G13)=TRUE),"",B13*[2]BOD!H12*8.34)</f>
        <v>137814.00715984506</v>
      </c>
      <c r="M13" s="699" t="str">
        <f>IF(OR(E13="",E13=0,[2]BOD!L12="",ISTEXT([2]BOD!L12)=TRUE),"",E13*[2]BOD!L12*8.34)</f>
        <v/>
      </c>
      <c r="N13" s="709" t="str">
        <f>IF(OR(D13="",K13="",ISTEXT(K13)=TRUE),"",D13*[2]BOD!K12*8.34)</f>
        <v/>
      </c>
      <c r="O13" s="717">
        <f>IF([2]TSS!B12="","",[2]TSS!B12)</f>
        <v>272</v>
      </c>
      <c r="P13" s="702">
        <f>IF([2]TSS!C12="","",[2]TSS!C12)</f>
        <v>242</v>
      </c>
      <c r="Q13" s="699">
        <f>IF([2]TSS!D12="","",[2]TSS!D12)</f>
        <v>79</v>
      </c>
      <c r="R13" s="699">
        <f>IF([2]TSS!E12="","",[2]TSS!E12)</f>
        <v>22</v>
      </c>
      <c r="S13" s="716" t="str">
        <f>IF([2]TSS!F12="","",[2]TSS!F12)</f>
        <v/>
      </c>
      <c r="T13" s="708">
        <f>IF(OR(B13="",O13="",ISTEXT(O13)=TRUE),"",B13*[2]TSS!H12*8.34)</f>
        <v>190281.26876892312</v>
      </c>
      <c r="U13" s="699" t="str">
        <f>IF(OR(E13="",E13=0,R13="",[2]TSS!L12=""),"",E13*[2]TSS!L12*8.34)</f>
        <v/>
      </c>
      <c r="V13" s="709">
        <f>IF(OR(B13="",R13="",ISTEXT(R13)=TRUE),"",B13*[2]TSS!K12*8.34)</f>
        <v>15390.396738662897</v>
      </c>
      <c r="W13" s="720">
        <f>IF(ISERROR((([2]BOD!H12-[2]BOD!J12))/[2]BOD!H12*100),"",(([2]BOD!H12-[2]BOD!J12))/[2]BOD!H12*100)</f>
        <v>40.101522842639589</v>
      </c>
      <c r="X13" s="699" t="str">
        <f>IF(ISERROR(IF(OR(G13="",K13=""),"",(([2]BOD!H12-[2]BOD!K12))/[2]BOD!H12*100)),"",IF(OR(G13="",K13=""),"",(([2]BOD!H12-[2]BOD!K12))/[2]BOD!H12*100))</f>
        <v/>
      </c>
      <c r="Y13" s="699">
        <f>IF(OR(O13="",Q13="",ISTEXT(O13)=TRUE,ISTEXT(Q13)=TRUE),"",(([2]TSS!H12-[2]TSS!J12))/[2]TSS!H12*100)</f>
        <v>70.955882352941174</v>
      </c>
      <c r="Z13" s="709">
        <f>IF(OR(O13="",R13="",ISTEXT(O13)=TRUE,ISTEXT(R13)=TRUE),"",(([2]TSS!H12-[2]TSS!K12))/[2]TSS!H12*100)</f>
        <v>91.911764705882348</v>
      </c>
      <c r="AC13" s="80" t="s">
        <v>691</v>
      </c>
      <c r="AD13" s="80" t="s">
        <v>144</v>
      </c>
      <c r="AE13" s="205" t="s">
        <v>716</v>
      </c>
      <c r="AF13" s="80"/>
    </row>
    <row r="14" spans="1:61" ht="21.95" customHeight="1" x14ac:dyDescent="0.3">
      <c r="A14" s="736">
        <v>10</v>
      </c>
      <c r="B14" s="734">
        <f>IF('[1]Plant Data'!I13="","",'[1]Plant Data'!I13)</f>
        <v>64.316404541666643</v>
      </c>
      <c r="C14" s="699">
        <f>IF('[1]Plant Data'!P13="","",'[1]Plant Data'!P13+'[1]Plant Data'!$N$4)</f>
        <v>70.522887642361169</v>
      </c>
      <c r="D14" s="699">
        <f>'dmr 1'!D19</f>
        <v>70.522887642361169</v>
      </c>
      <c r="E14" s="699" t="str">
        <f>'dmr 1'!E19</f>
        <v/>
      </c>
      <c r="F14" s="714">
        <f>'dmr 1'!I19</f>
        <v>2.9428571428571429E-2</v>
      </c>
      <c r="G14" s="712">
        <f>IF([2]BOD!B13="","",[2]BOD!B13)</f>
        <v>196</v>
      </c>
      <c r="H14" s="699">
        <f>IF([2]BOD!C13="","",[2]BOD!C13)</f>
        <v>272</v>
      </c>
      <c r="I14" s="700">
        <f>IF([2]BOD!D13="","",[2]BOD!D13)</f>
        <v>153</v>
      </c>
      <c r="J14" s="699">
        <f>IF([2]BOD!E13="","",[2]BOD!E13)</f>
        <v>8</v>
      </c>
      <c r="K14" s="716" t="str">
        <f>IF([2]BOD!F13="","",[2]BOD!F13)</f>
        <v/>
      </c>
      <c r="L14" s="708">
        <f>IF(OR(B14="",G14="",ISTEXT(G14)=TRUE),"",B14*[2]BOD!H13*8.34)</f>
        <v>105134.16751998996</v>
      </c>
      <c r="M14" s="699" t="str">
        <f>IF(OR(E14="",E14=0,[2]BOD!L13="",ISTEXT([2]BOD!L13)=TRUE),"",E14*[2]BOD!L13*8.34)</f>
        <v/>
      </c>
      <c r="N14" s="709" t="str">
        <f>IF(OR(D14="",K14="",ISTEXT(K14)=TRUE),"",D14*[2]BOD!K13*8.34)</f>
        <v/>
      </c>
      <c r="O14" s="717">
        <f>IF([2]TSS!B13="","",[2]TSS!B13)</f>
        <v>262</v>
      </c>
      <c r="P14" s="702">
        <f>IF([2]TSS!C13="","",[2]TSS!C13)</f>
        <v>230</v>
      </c>
      <c r="Q14" s="699">
        <f>IF([2]TSS!D13="","",[2]TSS!D13)</f>
        <v>66</v>
      </c>
      <c r="R14" s="699">
        <f>IF([2]TSS!E13="","",[2]TSS!E13)</f>
        <v>12</v>
      </c>
      <c r="S14" s="716" t="str">
        <f>IF([2]TSS!F13="","",[2]TSS!F13)</f>
        <v/>
      </c>
      <c r="T14" s="708">
        <f>IF(OR(B14="",O14="",ISTEXT(O14)=TRUE),"",B14*[2]TSS!H13*8.34)</f>
        <v>140536.48923590494</v>
      </c>
      <c r="U14" s="699" t="str">
        <f>IF(OR(E14="",E14=0,R14="",[2]TSS!L13=""),"",E14*[2]TSS!L13*8.34)</f>
        <v/>
      </c>
      <c r="V14" s="709">
        <f>IF(OR(B14="",R14="",ISTEXT(R14)=TRUE),"",B14*[2]TSS!K13*8.34)</f>
        <v>6436.7857665299971</v>
      </c>
      <c r="W14" s="720">
        <f>IF(ISERROR((([2]BOD!H13-[2]BOD!J13))/[2]BOD!H13*100),"",(([2]BOD!H13-[2]BOD!J13))/[2]BOD!H13*100)</f>
        <v>21.938775510204081</v>
      </c>
      <c r="X14" s="699" t="str">
        <f>IF(ISERROR(IF(OR(G14="",K14=""),"",(([2]BOD!H13-[2]BOD!K13))/[2]BOD!H13*100)),"",IF(OR(G14="",K14=""),"",(([2]BOD!H13-[2]BOD!K13))/[2]BOD!H13*100))</f>
        <v/>
      </c>
      <c r="Y14" s="699">
        <f>IF(OR(O14="",Q14="",ISTEXT(O14)=TRUE,ISTEXT(Q14)=TRUE),"",(([2]TSS!H13-[2]TSS!J13))/[2]TSS!H13*100)</f>
        <v>74.809160305343511</v>
      </c>
      <c r="Z14" s="709">
        <f>IF(OR(O14="",R14="",ISTEXT(O14)=TRUE,ISTEXT(R14)=TRUE),"",(([2]TSS!H13-[2]TSS!K13))/[2]TSS!H13*100)</f>
        <v>95.419847328244273</v>
      </c>
      <c r="AC14" s="80" t="s">
        <v>692</v>
      </c>
      <c r="AD14" s="80" t="s">
        <v>148</v>
      </c>
      <c r="AE14" s="205" t="s">
        <v>717</v>
      </c>
      <c r="AF14" s="80"/>
    </row>
    <row r="15" spans="1:61" ht="21.95" customHeight="1" x14ac:dyDescent="0.3">
      <c r="A15" s="736">
        <v>11</v>
      </c>
      <c r="B15" s="734">
        <f>IF('[1]Plant Data'!I14="","",'[1]Plant Data'!I14)</f>
        <v>56.603756809870134</v>
      </c>
      <c r="C15" s="699">
        <f>IF('[1]Plant Data'!P14="","",'[1]Plant Data'!P14+'[1]Plant Data'!$N$4)</f>
        <v>61.557874996527929</v>
      </c>
      <c r="D15" s="699">
        <f>'dmr 1'!D20</f>
        <v>61.557874996527929</v>
      </c>
      <c r="E15" s="699" t="str">
        <f>'dmr 1'!E20</f>
        <v/>
      </c>
      <c r="F15" s="714" t="str">
        <f>'dmr 1'!I20</f>
        <v>T</v>
      </c>
      <c r="G15" s="712">
        <f>IF([2]BOD!B14="","",[2]BOD!B14)</f>
        <v>298</v>
      </c>
      <c r="H15" s="699">
        <f>IF([2]BOD!C14="","",[2]BOD!C14)</f>
        <v>332</v>
      </c>
      <c r="I15" s="700">
        <f>IF([2]BOD!D14="","",[2]BOD!D14)</f>
        <v>185</v>
      </c>
      <c r="J15" s="699">
        <f>IF([2]BOD!E14="","",[2]BOD!E14)</f>
        <v>9</v>
      </c>
      <c r="K15" s="716" t="str">
        <f>IF([2]BOD!F14="","",[2]BOD!F14)</f>
        <v/>
      </c>
      <c r="L15" s="708">
        <f>IF(OR(B15="",G15="",ISTEXT(G15)=TRUE),"",B15*[2]BOD!H14*8.34)</f>
        <v>140678.44887470643</v>
      </c>
      <c r="M15" s="699" t="str">
        <f>IF(OR(E15="",E15=0,[2]BOD!L14="",ISTEXT([2]BOD!L14)=TRUE),"",E15*[2]BOD!L14*8.34)</f>
        <v/>
      </c>
      <c r="N15" s="709" t="str">
        <f>IF(OR(D15="",K15="",ISTEXT(K15)=TRUE),"",D15*[2]BOD!K14*8.34)</f>
        <v/>
      </c>
      <c r="O15" s="717">
        <f>IF([2]TSS!B14="","",[2]TSS!B14)</f>
        <v>318</v>
      </c>
      <c r="P15" s="702">
        <f>IF([2]TSS!C14="","",[2]TSS!C14)</f>
        <v>478</v>
      </c>
      <c r="Q15" s="699">
        <f>IF([2]TSS!D14="","",[2]TSS!D14)</f>
        <v>84</v>
      </c>
      <c r="R15" s="699">
        <f>IF([2]TSS!E14="","",[2]TSS!E14)</f>
        <v>13</v>
      </c>
      <c r="S15" s="716" t="str">
        <f>IF([2]TSS!F14="","",[2]TSS!F14)</f>
        <v/>
      </c>
      <c r="T15" s="708">
        <f>IF(OR(B15="",O15="",ISTEXT(O15)=TRUE),"",B15*[2]TSS!H14*8.34)</f>
        <v>150119.95551059279</v>
      </c>
      <c r="U15" s="699" t="str">
        <f>IF(OR(E15="",E15=0,R15="",[2]TSS!L14=""),"",E15*[2]TSS!L14*8.34)</f>
        <v/>
      </c>
      <c r="V15" s="709">
        <f>IF(OR(B15="",R15="",ISTEXT(R15)=TRUE),"",B15*[2]TSS!K14*8.34)</f>
        <v>6136.9793133261201</v>
      </c>
      <c r="W15" s="720">
        <f>IF(ISERROR((([2]BOD!H14-[2]BOD!J14))/[2]BOD!H14*100),"",(([2]BOD!H14-[2]BOD!J14))/[2]BOD!H14*100)</f>
        <v>37.919463087248324</v>
      </c>
      <c r="X15" s="699" t="str">
        <f>IF(ISERROR(IF(OR(G15="",K15=""),"",(([2]BOD!H14-[2]BOD!K14))/[2]BOD!H14*100)),"",IF(OR(G15="",K15=""),"",(([2]BOD!H14-[2]BOD!K14))/[2]BOD!H14*100))</f>
        <v/>
      </c>
      <c r="Y15" s="699">
        <f>IF(OR(O15="",Q15="",ISTEXT(O15)=TRUE,ISTEXT(Q15)=TRUE),"",(([2]TSS!H14-[2]TSS!J14))/[2]TSS!H14*100)</f>
        <v>73.584905660377359</v>
      </c>
      <c r="Z15" s="709">
        <f>IF(OR(O15="",R15="",ISTEXT(O15)=TRUE,ISTEXT(R15)=TRUE),"",(([2]TSS!H14-[2]TSS!K14))/[2]TSS!H14*100)</f>
        <v>95.911949685534594</v>
      </c>
      <c r="AC15" s="80" t="s">
        <v>693</v>
      </c>
      <c r="AD15" s="80" t="s">
        <v>153</v>
      </c>
      <c r="AE15" s="205" t="s">
        <v>718</v>
      </c>
      <c r="AF15" s="80"/>
    </row>
    <row r="16" spans="1:61" ht="21.95" customHeight="1" x14ac:dyDescent="0.3">
      <c r="A16" s="736">
        <v>12</v>
      </c>
      <c r="B16" s="734">
        <f>IF('[1]Plant Data'!I15="","",'[1]Plant Data'!I15)</f>
        <v>54.47560737847212</v>
      </c>
      <c r="C16" s="699">
        <f>IF('[1]Plant Data'!P15="","",'[1]Plant Data'!P15+'[1]Plant Data'!$N$4)</f>
        <v>58.063271434027875</v>
      </c>
      <c r="D16" s="699">
        <f>'dmr 1'!D21</f>
        <v>58.063271434027875</v>
      </c>
      <c r="E16" s="699" t="str">
        <f>'dmr 1'!E21</f>
        <v/>
      </c>
      <c r="F16" s="714">
        <f>'dmr 1'!I21</f>
        <v>0</v>
      </c>
      <c r="G16" s="712">
        <f>IF([2]BOD!B15="","",[2]BOD!B15)</f>
        <v>370</v>
      </c>
      <c r="H16" s="699">
        <f>IF([2]BOD!C15="","",[2]BOD!C15)</f>
        <v>399</v>
      </c>
      <c r="I16" s="700">
        <f>IF([2]BOD!D15="","",[2]BOD!D15)</f>
        <v>237</v>
      </c>
      <c r="J16" s="699">
        <f>IF([2]BOD!E15="","",[2]BOD!E15)</f>
        <v>10</v>
      </c>
      <c r="K16" s="716" t="str">
        <f>IF([2]BOD!F15="","",[2]BOD!F15)</f>
        <v/>
      </c>
      <c r="L16" s="708">
        <f>IF(OR(B16="",G16="",ISTEXT(G16)=TRUE),"",B16*[2]BOD!H15*8.34)</f>
        <v>168100.82924848926</v>
      </c>
      <c r="M16" s="699" t="str">
        <f>IF(OR(E16="",E16=0,[2]BOD!L15="",ISTEXT([2]BOD!L15)=TRUE),"",E16*[2]BOD!L15*8.34)</f>
        <v/>
      </c>
      <c r="N16" s="709" t="str">
        <f>IF(OR(D16="",K16="",ISTEXT(K16)=TRUE),"",D16*[2]BOD!K15*8.34)</f>
        <v/>
      </c>
      <c r="O16" s="717">
        <f>IF([2]TSS!B15="","",[2]TSS!B15)</f>
        <v>288</v>
      </c>
      <c r="P16" s="702">
        <f>IF([2]TSS!C15="","",[2]TSS!C15)</f>
        <v>285</v>
      </c>
      <c r="Q16" s="699">
        <f>IF([2]TSS!D15="","",[2]TSS!D15)</f>
        <v>67</v>
      </c>
      <c r="R16" s="699">
        <f>IF([2]TSS!E15="","",[2]TSS!E15)</f>
        <v>14</v>
      </c>
      <c r="S16" s="716" t="str">
        <f>IF([2]TSS!F15="","",[2]TSS!F15)</f>
        <v/>
      </c>
      <c r="T16" s="708">
        <f>IF(OR(B16="",O16="",ISTEXT(O16)=TRUE),"",B16*[2]TSS!H15*8.34)</f>
        <v>130846.05087449975</v>
      </c>
      <c r="U16" s="699" t="str">
        <f>IF(OR(E16="",E16=0,R16="",[2]TSS!L15=""),"",E16*[2]TSS!L15*8.34)</f>
        <v/>
      </c>
      <c r="V16" s="709">
        <f>IF(OR(B16="",R16="",ISTEXT(R16)=TRUE),"",B16*[2]TSS!K15*8.34)</f>
        <v>6360.571917510405</v>
      </c>
      <c r="W16" s="720">
        <f>IF(ISERROR((([2]BOD!H15-[2]BOD!J15))/[2]BOD!H15*100),"",(([2]BOD!H15-[2]BOD!J15))/[2]BOD!H15*100)</f>
        <v>35.945945945945944</v>
      </c>
      <c r="X16" s="699" t="str">
        <f>IF(ISERROR(IF(OR(G16="",K16=""),"",(([2]BOD!H15-[2]BOD!K15))/[2]BOD!H15*100)),"",IF(OR(G16="",K16=""),"",(([2]BOD!H15-[2]BOD!K15))/[2]BOD!H15*100))</f>
        <v/>
      </c>
      <c r="Y16" s="699">
        <f>IF(OR(O16="",Q16="",ISTEXT(O16)=TRUE,ISTEXT(Q16)=TRUE),"",(([2]TSS!H15-[2]TSS!J15))/[2]TSS!H15*100)</f>
        <v>76.736111111111114</v>
      </c>
      <c r="Z16" s="709">
        <f>IF(OR(O16="",R16="",ISTEXT(O16)=TRUE,ISTEXT(R16)=TRUE),"",(([2]TSS!H15-[2]TSS!K15))/[2]TSS!H15*100)</f>
        <v>95.138888888888886</v>
      </c>
      <c r="AC16" s="80" t="s">
        <v>698</v>
      </c>
      <c r="AD16" s="80" t="s">
        <v>156</v>
      </c>
      <c r="AE16" s="205" t="s">
        <v>0</v>
      </c>
      <c r="AF16" s="80"/>
    </row>
    <row r="17" spans="1:32" ht="21.95" customHeight="1" x14ac:dyDescent="0.3">
      <c r="A17" s="736">
        <v>13</v>
      </c>
      <c r="B17" s="734">
        <f>IF('[1]Plant Data'!I16="","",'[1]Plant Data'!I16)</f>
        <v>53.42617720138891</v>
      </c>
      <c r="C17" s="699">
        <f>IF('[1]Plant Data'!P16="","",'[1]Plant Data'!P16+'[1]Plant Data'!$N$4)</f>
        <v>56.689736284722244</v>
      </c>
      <c r="D17" s="699">
        <f>'dmr 1'!D22</f>
        <v>56.689736284722244</v>
      </c>
      <c r="E17" s="699" t="str">
        <f>'dmr 1'!E22</f>
        <v/>
      </c>
      <c r="F17" s="714">
        <f>'dmr 1'!I22</f>
        <v>0</v>
      </c>
      <c r="G17" s="712">
        <f>IF([2]BOD!B16="","",[2]BOD!B16)</f>
        <v>251</v>
      </c>
      <c r="H17" s="699">
        <f>IF([2]BOD!C16="","",[2]BOD!C16)</f>
        <v>286</v>
      </c>
      <c r="I17" s="700">
        <f>IF([2]BOD!D16="","",[2]BOD!D16)</f>
        <v>169</v>
      </c>
      <c r="J17" s="699">
        <f>IF([2]BOD!E16="","",[2]BOD!E16)</f>
        <v>8</v>
      </c>
      <c r="K17" s="716" t="str">
        <f>IF([2]BOD!F16="","",[2]BOD!F16)</f>
        <v/>
      </c>
      <c r="L17" s="708">
        <f>IF(OR(B17="",G17="",ISTEXT(G17)=TRUE),"",B17*[2]BOD!H16*8.34)</f>
        <v>111839.15378275547</v>
      </c>
      <c r="M17" s="699" t="str">
        <f>IF(OR(E17="",E17=0,[2]BOD!L16="",ISTEXT([2]BOD!L16)=TRUE),"",E17*[2]BOD!L16*8.34)</f>
        <v/>
      </c>
      <c r="N17" s="709" t="str">
        <f>IF(OR(D17="",K17="",ISTEXT(K17)=TRUE),"",D17*[2]BOD!K16*8.34)</f>
        <v/>
      </c>
      <c r="O17" s="717">
        <f>IF([2]TSS!B16="","",[2]TSS!B16)</f>
        <v>290</v>
      </c>
      <c r="P17" s="702">
        <f>IF([2]TSS!C16="","",[2]TSS!C16)</f>
        <v>358</v>
      </c>
      <c r="Q17" s="699">
        <f>IF([2]TSS!D16="","",[2]TSS!D16)</f>
        <v>70</v>
      </c>
      <c r="R17" s="699">
        <f>IF([2]TSS!E16="","",[2]TSS!E16)</f>
        <v>10</v>
      </c>
      <c r="S17" s="716" t="str">
        <f>IF([2]TSS!F16="","",[2]TSS!F16)</f>
        <v/>
      </c>
      <c r="T17" s="708">
        <f>IF(OR(B17="",O17="",ISTEXT(O17)=TRUE),"",B17*[2]TSS!H16*8.34)</f>
        <v>129216.55217927921</v>
      </c>
      <c r="U17" s="699" t="str">
        <f>IF(OR(E17="",E17=0,R17="",[2]TSS!L16=""),"",E17*[2]TSS!L16*8.34)</f>
        <v/>
      </c>
      <c r="V17" s="709">
        <f>IF(OR(B17="",R17="",ISTEXT(R17)=TRUE),"",B17*[2]TSS!K16*8.34)</f>
        <v>4455.7431785958352</v>
      </c>
      <c r="W17" s="720">
        <f>IF(ISERROR((([2]BOD!H16-[2]BOD!J16))/[2]BOD!H16*100),"",(([2]BOD!H16-[2]BOD!J16))/[2]BOD!H16*100)</f>
        <v>32.669322709163346</v>
      </c>
      <c r="X17" s="699" t="str">
        <f>IF(ISERROR(IF(OR(G17="",K17=""),"",(([2]BOD!H16-[2]BOD!K16))/[2]BOD!H16*100)),"",IF(OR(G17="",K17=""),"",(([2]BOD!H16-[2]BOD!K16))/[2]BOD!H16*100))</f>
        <v/>
      </c>
      <c r="Y17" s="699">
        <f>IF(OR(O17="",Q17="",ISTEXT(O17)=TRUE,ISTEXT(Q17)=TRUE),"",(([2]TSS!H16-[2]TSS!J16))/[2]TSS!H16*100)</f>
        <v>75.862068965517238</v>
      </c>
      <c r="Z17" s="709">
        <f>IF(OR(O17="",R17="",ISTEXT(O17)=TRUE,ISTEXT(R17)=TRUE),"",(([2]TSS!H16-[2]TSS!K16))/[2]TSS!H16*100)</f>
        <v>96.551724137931032</v>
      </c>
      <c r="AC17" s="80" t="s">
        <v>699</v>
      </c>
      <c r="AD17" s="80" t="s">
        <v>187</v>
      </c>
      <c r="AE17" s="205" t="s">
        <v>1</v>
      </c>
      <c r="AF17" s="80"/>
    </row>
    <row r="18" spans="1:32" ht="21.95" customHeight="1" x14ac:dyDescent="0.3">
      <c r="A18" s="736">
        <v>14</v>
      </c>
      <c r="B18" s="734">
        <f>IF('[1]Plant Data'!I17="","",'[1]Plant Data'!I17)</f>
        <v>54.302129215277787</v>
      </c>
      <c r="C18" s="699">
        <f>IF('[1]Plant Data'!P17="","",'[1]Plant Data'!P17+'[1]Plant Data'!$N$4)</f>
        <v>59.238072753472281</v>
      </c>
      <c r="D18" s="699">
        <f>'dmr 1'!D23</f>
        <v>59.238072753472281</v>
      </c>
      <c r="E18" s="699" t="str">
        <f>'dmr 1'!E23</f>
        <v/>
      </c>
      <c r="F18" s="714">
        <f>'dmr 1'!I23</f>
        <v>0</v>
      </c>
      <c r="G18" s="712">
        <f>IF([2]BOD!B17="","",[2]BOD!B17)</f>
        <v>268</v>
      </c>
      <c r="H18" s="699">
        <f>IF([2]BOD!C17="","",[2]BOD!C17)</f>
        <v>276</v>
      </c>
      <c r="I18" s="700">
        <f>IF([2]BOD!D17="","",[2]BOD!D17)</f>
        <v>152</v>
      </c>
      <c r="J18" s="699">
        <f>IF([2]BOD!E17="","",[2]BOD!E17)</f>
        <v>7</v>
      </c>
      <c r="K18" s="716" t="str">
        <f>IF([2]BOD!F17="","",[2]BOD!F17)</f>
        <v/>
      </c>
      <c r="L18" s="708">
        <f>IF(OR(B18="",G18="",ISTEXT(G18)=TRUE),"",B18*[2]BOD!H17*8.34)</f>
        <v>121371.7750516517</v>
      </c>
      <c r="M18" s="699" t="str">
        <f>IF(OR(E18="",E18=0,[2]BOD!L17="",ISTEXT([2]BOD!L17)=TRUE),"",E18*[2]BOD!L17*8.34)</f>
        <v/>
      </c>
      <c r="N18" s="709" t="str">
        <f>IF(OR(D18="",K18="",ISTEXT(K18)=TRUE),"",D18*[2]BOD!K17*8.34)</f>
        <v/>
      </c>
      <c r="O18" s="717">
        <f>IF([2]TSS!B17="","",[2]TSS!B17)</f>
        <v>336</v>
      </c>
      <c r="P18" s="702">
        <f>IF([2]TSS!C17="","",[2]TSS!C17)</f>
        <v>318</v>
      </c>
      <c r="Q18" s="699">
        <f>IF([2]TSS!D17="","",[2]TSS!D17)</f>
        <v>110</v>
      </c>
      <c r="R18" s="699">
        <f>IF([2]TSS!E17="","",[2]TSS!E17)</f>
        <v>14</v>
      </c>
      <c r="S18" s="716" t="str">
        <f>IF([2]TSS!F17="","",[2]TSS!F17)</f>
        <v/>
      </c>
      <c r="T18" s="708">
        <f>IF(OR(B18="",O18="",ISTEXT(O18)=TRUE),"",B18*[2]TSS!H17*8.34)</f>
        <v>152167.59857222001</v>
      </c>
      <c r="U18" s="699" t="str">
        <f>IF(OR(E18="",E18=0,R18="",[2]TSS!L17=""),"",E18*[2]TSS!L17*8.34)</f>
        <v/>
      </c>
      <c r="V18" s="709">
        <f>IF(OR(B18="",R18="",ISTEXT(R18)=TRUE),"",B18*[2]TSS!K17*8.34)</f>
        <v>6340.3166071758342</v>
      </c>
      <c r="W18" s="720">
        <f>IF(ISERROR((([2]BOD!H17-[2]BOD!J17))/[2]BOD!H17*100),"",(([2]BOD!H17-[2]BOD!J17))/[2]BOD!H17*100)</f>
        <v>43.283582089552233</v>
      </c>
      <c r="X18" s="699" t="str">
        <f>IF(ISERROR(IF(OR(G18="",K18=""),"",(([2]BOD!H17-[2]BOD!K17))/[2]BOD!H17*100)),"",IF(OR(G18="",K18=""),"",(([2]BOD!H17-[2]BOD!K17))/[2]BOD!H17*100))</f>
        <v/>
      </c>
      <c r="Y18" s="699">
        <f>IF(OR(O18="",Q18="",ISTEXT(O18)=TRUE,ISTEXT(Q18)=TRUE),"",(([2]TSS!H17-[2]TSS!J17))/[2]TSS!H17*100)</f>
        <v>67.261904761904773</v>
      </c>
      <c r="Z18" s="709">
        <f>IF(OR(O18="",R18="",ISTEXT(O18)=TRUE,ISTEXT(R18)=TRUE),"",(([2]TSS!H17-[2]TSS!K17))/[2]TSS!H17*100)</f>
        <v>95.833333333333343</v>
      </c>
      <c r="AC18" s="80" t="s">
        <v>700</v>
      </c>
      <c r="AD18" s="80" t="s">
        <v>196</v>
      </c>
      <c r="AE18" s="205" t="s">
        <v>2</v>
      </c>
      <c r="AF18" s="80"/>
    </row>
    <row r="19" spans="1:32" ht="21.95" customHeight="1" x14ac:dyDescent="0.3">
      <c r="A19" s="736">
        <v>15</v>
      </c>
      <c r="B19" s="734">
        <f>IF('[1]Plant Data'!I18="","",'[1]Plant Data'!I18)</f>
        <v>53.210505878472226</v>
      </c>
      <c r="C19" s="699">
        <f>IF('[1]Plant Data'!P18="","",'[1]Plant Data'!P18+'[1]Plant Data'!$N$4)</f>
        <v>56.735524038194519</v>
      </c>
      <c r="D19" s="699">
        <f>'dmr 1'!D24</f>
        <v>56.735524038194519</v>
      </c>
      <c r="E19" s="699" t="str">
        <f>'dmr 1'!E24</f>
        <v/>
      </c>
      <c r="F19" s="714">
        <f>'dmr 1'!I24</f>
        <v>0</v>
      </c>
      <c r="G19" s="712">
        <f>IF([2]BOD!B18="","",[2]BOD!B18)</f>
        <v>197</v>
      </c>
      <c r="H19" s="699">
        <f>IF([2]BOD!C18="","",[2]BOD!C18)</f>
        <v>358</v>
      </c>
      <c r="I19" s="700">
        <f>IF([2]BOD!D18="","",[2]BOD!D18)</f>
        <v>189</v>
      </c>
      <c r="J19" s="699">
        <f>IF([2]BOD!E18="","",[2]BOD!E18)</f>
        <v>8</v>
      </c>
      <c r="K19" s="716" t="str">
        <f>IF([2]BOD!F18="","",[2]BOD!F18)</f>
        <v/>
      </c>
      <c r="L19" s="708">
        <f>IF(OR(B19="",G19="",ISTEXT(G19)=TRUE),"",B19*[2]BOD!H18*8.34)</f>
        <v>87423.796948212286</v>
      </c>
      <c r="M19" s="699" t="str">
        <f>IF(OR(E19="",E19=0,[2]BOD!L18="",ISTEXT([2]BOD!L18)=TRUE),"",E19*[2]BOD!L18*8.34)</f>
        <v/>
      </c>
      <c r="N19" s="709" t="str">
        <f>IF(OR(D19="",K19="",ISTEXT(K19)=TRUE),"",D19*[2]BOD!K18*8.34)</f>
        <v/>
      </c>
      <c r="O19" s="717">
        <f>IF([2]TSS!B18="","",[2]TSS!B18)</f>
        <v>305</v>
      </c>
      <c r="P19" s="702">
        <f>IF([2]TSS!C18="","",[2]TSS!C18)</f>
        <v>302</v>
      </c>
      <c r="Q19" s="699">
        <f>IF([2]TSS!D18="","",[2]TSS!D18)</f>
        <v>72</v>
      </c>
      <c r="R19" s="699">
        <f>IF([2]TSS!E18="","",[2]TSS!E18)</f>
        <v>27</v>
      </c>
      <c r="S19" s="716" t="str">
        <f>IF([2]TSS!F18="","",[2]TSS!F18)</f>
        <v/>
      </c>
      <c r="T19" s="708">
        <f>IF(OR(B19="",O19="",ISTEXT(O19)=TRUE),"",B19*[2]TSS!H18*8.34)</f>
        <v>135351.56380306982</v>
      </c>
      <c r="U19" s="699" t="str">
        <f>IF(OR(E19="",E19=0,R19="",[2]TSS!L18=""),"",E19*[2]TSS!L18*8.34)</f>
        <v/>
      </c>
      <c r="V19" s="709">
        <f>IF(OR(B19="",R19="",ISTEXT(R19)=TRUE),"",B19*[2]TSS!K18*8.34)</f>
        <v>11981.941713714376</v>
      </c>
      <c r="W19" s="720">
        <f>IF(ISERROR((([2]BOD!H18-[2]BOD!J18))/[2]BOD!H18*100),"",(([2]BOD!H18-[2]BOD!J18))/[2]BOD!H18*100)</f>
        <v>4.0609137055837561</v>
      </c>
      <c r="X19" s="699" t="str">
        <f>IF(ISERROR(IF(OR(G19="",K19=""),"",(([2]BOD!H18-[2]BOD!K18))/[2]BOD!H18*100)),"",IF(OR(G19="",K19=""),"",(([2]BOD!H18-[2]BOD!K18))/[2]BOD!H18*100))</f>
        <v/>
      </c>
      <c r="Y19" s="699">
        <f>IF(OR(O19="",Q19="",ISTEXT(O19)=TRUE,ISTEXT(Q19)=TRUE),"",(([2]TSS!H18-[2]TSS!J18))/[2]TSS!H18*100)</f>
        <v>76.393442622950829</v>
      </c>
      <c r="Z19" s="709">
        <f>IF(OR(O19="",R19="",ISTEXT(O19)=TRUE,ISTEXT(R19)=TRUE),"",(([2]TSS!H18-[2]TSS!K18))/[2]TSS!H18*100)</f>
        <v>91.147540983606561</v>
      </c>
      <c r="AC19" s="80" t="s">
        <v>701</v>
      </c>
      <c r="AD19" s="80" t="s">
        <v>207</v>
      </c>
      <c r="AE19" s="205" t="s">
        <v>3</v>
      </c>
      <c r="AF19" s="80"/>
    </row>
    <row r="20" spans="1:32" ht="21.95" customHeight="1" x14ac:dyDescent="0.3">
      <c r="A20" s="736">
        <v>16</v>
      </c>
      <c r="B20" s="734">
        <f>IF('[1]Plant Data'!I19="","",'[1]Plant Data'!I19)</f>
        <v>68.516345393857577</v>
      </c>
      <c r="C20" s="699">
        <f>IF('[1]Plant Data'!P19="","",'[1]Plant Data'!P19+'[1]Plant Data'!$N$4)</f>
        <v>66.036492493055562</v>
      </c>
      <c r="D20" s="699">
        <f>'dmr 1'!D25</f>
        <v>66.036492493055562</v>
      </c>
      <c r="E20" s="699" t="str">
        <f>'dmr 1'!E25</f>
        <v/>
      </c>
      <c r="F20" s="714">
        <f>'dmr 1'!I25</f>
        <v>0.19485714285714284</v>
      </c>
      <c r="G20" s="712">
        <f>IF([2]BOD!B19="","",[2]BOD!B19)</f>
        <v>278</v>
      </c>
      <c r="H20" s="699">
        <f>IF([2]BOD!C19="","",[2]BOD!C19)</f>
        <v>271</v>
      </c>
      <c r="I20" s="700">
        <f>IF([2]BOD!D19="","",[2]BOD!D19)</f>
        <v>150</v>
      </c>
      <c r="J20" s="699">
        <f>IF([2]BOD!E19="","",[2]BOD!E19)</f>
        <v>9</v>
      </c>
      <c r="K20" s="716" t="str">
        <f>IF([2]BOD!F19="","",[2]BOD!F19)</f>
        <v/>
      </c>
      <c r="L20" s="708">
        <f>IF(OR(B20="",G20="",ISTEXT(G20)=TRUE),"",B20*[2]BOD!H19*8.34)</f>
        <v>158856.51712256664</v>
      </c>
      <c r="M20" s="699" t="str">
        <f>IF(OR(E20="",E20=0,[2]BOD!L19="",ISTEXT([2]BOD!L19)=TRUE),"",E20*[2]BOD!L19*8.34)</f>
        <v/>
      </c>
      <c r="N20" s="709" t="str">
        <f>IF(OR(D20="",K20="",ISTEXT(K20)=TRUE),"",D20*[2]BOD!K19*8.34)</f>
        <v/>
      </c>
      <c r="O20" s="717">
        <f>IF([2]TSS!B19="","",[2]TSS!B19)</f>
        <v>582</v>
      </c>
      <c r="P20" s="702">
        <f>IF([2]TSS!C19="","",[2]TSS!C19)</f>
        <v>450</v>
      </c>
      <c r="Q20" s="699">
        <f>IF([2]TSS!D19="","",[2]TSS!D19)</f>
        <v>130</v>
      </c>
      <c r="R20" s="699">
        <f>IF([2]TSS!E19="","",[2]TSS!E19)</f>
        <v>21</v>
      </c>
      <c r="S20" s="716" t="str">
        <f>IF([2]TSS!F19="","",[2]TSS!F19)</f>
        <v/>
      </c>
      <c r="T20" s="708">
        <f>IF(OR(B20="",O20="",ISTEXT(O20)=TRUE),"",B20*[2]TSS!H19*8.34)</f>
        <v>332570.11858033738</v>
      </c>
      <c r="U20" s="699" t="str">
        <f>IF(OR(E20="",E20=0,R20="",[2]TSS!L19=""),"",E20*[2]TSS!L19*8.34)</f>
        <v/>
      </c>
      <c r="V20" s="709">
        <f>IF(OR(B20="",R20="",ISTEXT(R20)=TRUE),"",B20*[2]TSS!K19*8.34)</f>
        <v>11999.952732280217</v>
      </c>
      <c r="W20" s="720">
        <f>IF(ISERROR((([2]BOD!H19-[2]BOD!J19))/[2]BOD!H19*100),"",(([2]BOD!H19-[2]BOD!J19))/[2]BOD!H19*100)</f>
        <v>46.043165467625904</v>
      </c>
      <c r="X20" s="699" t="str">
        <f>IF(ISERROR(IF(OR(G20="",K20=""),"",(([2]BOD!H19-[2]BOD!K19))/[2]BOD!H19*100)),"",IF(OR(G20="",K20=""),"",(([2]BOD!H19-[2]BOD!K19))/[2]BOD!H19*100))</f>
        <v/>
      </c>
      <c r="Y20" s="699">
        <f>IF(OR(O20="",Q20="",ISTEXT(O20)=TRUE,ISTEXT(Q20)=TRUE),"",(([2]TSS!H19-[2]TSS!J19))/[2]TSS!H19*100)</f>
        <v>77.663230240549836</v>
      </c>
      <c r="Z20" s="709">
        <f>IF(OR(O20="",R20="",ISTEXT(O20)=TRUE,ISTEXT(R20)=TRUE),"",(([2]TSS!H19-[2]TSS!K19))/[2]TSS!H19*100)</f>
        <v>96.391752577319593</v>
      </c>
      <c r="AC20" s="80" t="s">
        <v>702</v>
      </c>
      <c r="AD20" s="80" t="s">
        <v>208</v>
      </c>
      <c r="AE20" s="205" t="s">
        <v>4</v>
      </c>
      <c r="AF20" s="80"/>
    </row>
    <row r="21" spans="1:32" ht="21.95" customHeight="1" x14ac:dyDescent="0.3">
      <c r="A21" s="736">
        <v>17</v>
      </c>
      <c r="B21" s="734">
        <f>IF('[1]Plant Data'!I20="","",'[1]Plant Data'!I20)</f>
        <v>60.510709100694569</v>
      </c>
      <c r="C21" s="699">
        <f>IF('[1]Plant Data'!P20="","",'[1]Plant Data'!P20+'[1]Plant Data'!$N$4)</f>
        <v>70.716513208333325</v>
      </c>
      <c r="D21" s="699">
        <f>'dmr 1'!D26</f>
        <v>70.716513208333325</v>
      </c>
      <c r="E21" s="699" t="str">
        <f>'dmr 1'!E26</f>
        <v/>
      </c>
      <c r="F21" s="714">
        <f>'dmr 1'!I26</f>
        <v>5.8571428571428566E-2</v>
      </c>
      <c r="G21" s="712">
        <f>IF([2]BOD!B20="","",[2]BOD!B20)</f>
        <v>292</v>
      </c>
      <c r="H21" s="699">
        <f>IF([2]BOD!C20="","",[2]BOD!C20)</f>
        <v>302</v>
      </c>
      <c r="I21" s="700">
        <f>IF([2]BOD!D20="","",[2]BOD!D20)</f>
        <v>170</v>
      </c>
      <c r="J21" s="699">
        <f>IF([2]BOD!E20="","",[2]BOD!E20)</f>
        <v>10</v>
      </c>
      <c r="K21" s="716" t="str">
        <f>IF([2]BOD!F20="","",[2]BOD!F20)</f>
        <v/>
      </c>
      <c r="L21" s="708">
        <f>IF(OR(B21="",G21="",ISTEXT(G21)=TRUE),"",B21*[2]BOD!H20*8.34)</f>
        <v>147360.51965873945</v>
      </c>
      <c r="M21" s="699" t="str">
        <f>IF(OR(E21="",E21=0,[2]BOD!L20="",ISTEXT([2]BOD!L20)=TRUE),"",E21*[2]BOD!L20*8.34)</f>
        <v/>
      </c>
      <c r="N21" s="709" t="str">
        <f>IF(OR(D21="",K21="",ISTEXT(K21)=TRUE),"",D21*[2]BOD!K20*8.34)</f>
        <v/>
      </c>
      <c r="O21" s="717">
        <f>IF([2]TSS!B20="","",[2]TSS!B20)</f>
        <v>368</v>
      </c>
      <c r="P21" s="702">
        <f>IF([2]TSS!C20="","",[2]TSS!C20)</f>
        <v>268</v>
      </c>
      <c r="Q21" s="699">
        <f>IF([2]TSS!D20="","",[2]TSS!D20)</f>
        <v>87</v>
      </c>
      <c r="R21" s="699">
        <f>IF([2]TSS!E20="","",[2]TSS!E20)</f>
        <v>16</v>
      </c>
      <c r="S21" s="716" t="str">
        <f>IF([2]TSS!F20="","",[2]TSS!F20)</f>
        <v/>
      </c>
      <c r="T21" s="708">
        <f>IF(OR(B21="",O21="",ISTEXT(O21)=TRUE),"",B21*[2]TSS!H20*8.34)</f>
        <v>185714.62751512372</v>
      </c>
      <c r="U21" s="699" t="str">
        <f>IF(OR(E21="",E21=0,R21="",[2]TSS!L20=""),"",E21*[2]TSS!L20*8.34)</f>
        <v/>
      </c>
      <c r="V21" s="709">
        <f>IF(OR(B21="",R21="",ISTEXT(R21)=TRUE),"",B21*[2]TSS!K20*8.34)</f>
        <v>8074.5490223966835</v>
      </c>
      <c r="W21" s="720">
        <f>IF(ISERROR((([2]BOD!H20-[2]BOD!J20))/[2]BOD!H20*100),"",(([2]BOD!H20-[2]BOD!J20))/[2]BOD!H20*100)</f>
        <v>41.780821917808218</v>
      </c>
      <c r="X21" s="699" t="str">
        <f>IF(ISERROR(IF(OR(G21="",K21=""),"",(([2]BOD!H20-[2]BOD!K20))/[2]BOD!H20*100)),"",IF(OR(G21="",K21=""),"",(([2]BOD!H20-[2]BOD!K20))/[2]BOD!H20*100))</f>
        <v/>
      </c>
      <c r="Y21" s="699">
        <f>IF(OR(O21="",Q21="",ISTEXT(O21)=TRUE,ISTEXT(Q21)=TRUE),"",(([2]TSS!H20-[2]TSS!J20))/[2]TSS!H20*100)</f>
        <v>76.358695652173907</v>
      </c>
      <c r="Z21" s="709">
        <f>IF(OR(O21="",R21="",ISTEXT(O21)=TRUE,ISTEXT(R21)=TRUE),"",(([2]TSS!H20-[2]TSS!K20))/[2]TSS!H20*100)</f>
        <v>95.652173913043484</v>
      </c>
      <c r="AC21" s="80" t="s">
        <v>703</v>
      </c>
      <c r="AD21" s="80" t="s">
        <v>209</v>
      </c>
      <c r="AE21" s="205" t="s">
        <v>5</v>
      </c>
      <c r="AF21" s="80"/>
    </row>
    <row r="22" spans="1:32" ht="21.95" customHeight="1" x14ac:dyDescent="0.3">
      <c r="A22" s="736">
        <v>18</v>
      </c>
      <c r="B22" s="734">
        <f>IF('[1]Plant Data'!I21="","",'[1]Plant Data'!I21)</f>
        <v>131.26475308333329</v>
      </c>
      <c r="C22" s="699">
        <f>IF('[1]Plant Data'!P21="","",'[1]Plant Data'!P21+'[1]Plant Data'!$N$4)</f>
        <v>85.819587923611024</v>
      </c>
      <c r="D22" s="699">
        <f>'dmr 1'!D27</f>
        <v>85.819587923611024</v>
      </c>
      <c r="E22" s="699">
        <f>'dmr 1'!E27</f>
        <v>40.375189697916653</v>
      </c>
      <c r="F22" s="714">
        <f>'dmr 1'!I27</f>
        <v>1.1499999999999999</v>
      </c>
      <c r="G22" s="712">
        <f>IF([2]BOD!B21="","",[2]BOD!B21)</f>
        <v>180</v>
      </c>
      <c r="H22" s="699">
        <f>IF([2]BOD!C21="","",[2]BOD!C21)</f>
        <v>116</v>
      </c>
      <c r="I22" s="700">
        <f>IF([2]BOD!D21="","",[2]BOD!D21)</f>
        <v>88</v>
      </c>
      <c r="J22" s="699">
        <f>IF([2]BOD!E21="","",[2]BOD!E21)</f>
        <v>9</v>
      </c>
      <c r="K22" s="716">
        <f>IF([2]BOD!F21="","",[2]BOD!F21)</f>
        <v>39</v>
      </c>
      <c r="L22" s="708">
        <f>IF(OR(B22="",G22="",ISTEXT(G22)=TRUE),"",B22*[2]BOD!H21*8.34)</f>
        <v>197054.64732869991</v>
      </c>
      <c r="M22" s="699">
        <f>IF(OR(E22="",E22=0,[2]BOD!L21="",ISTEXT([2]BOD!L21)=TRUE),"",E22*[2]BOD!L21*8.34)</f>
        <v>13132.434201144371</v>
      </c>
      <c r="N22" s="709">
        <f>IF(OR(D22="",K22="",ISTEXT(K22)=TRUE),"",D22*[2]BOD!K21*8.34)</f>
        <v>6441.6182695462439</v>
      </c>
      <c r="O22" s="717">
        <f>IF([2]TSS!B21="","",[2]TSS!B21)</f>
        <v>266</v>
      </c>
      <c r="P22" s="702">
        <f>IF([2]TSS!C21="","",[2]TSS!C21)</f>
        <v>160</v>
      </c>
      <c r="Q22" s="699">
        <f>IF([2]TSS!D21="","",[2]TSS!D21)</f>
        <v>66</v>
      </c>
      <c r="R22" s="699">
        <f>IF([2]TSS!E21="","",[2]TSS!E21)</f>
        <v>16</v>
      </c>
      <c r="S22" s="716">
        <f>IF([2]TSS!F21="","",[2]TSS!F21)</f>
        <v>26</v>
      </c>
      <c r="T22" s="708">
        <f>IF(OR(B22="",O22="",ISTEXT(O22)=TRUE),"",B22*[2]TSS!H21*8.34)</f>
        <v>291202.97883018991</v>
      </c>
      <c r="U22" s="699">
        <f>IF(OR(E22="",E22=0,R22="",[2]TSS!L21=""),"",E22*[2]TSS!L21*8.34)</f>
        <v>8754.9561340962464</v>
      </c>
      <c r="V22" s="709">
        <f>IF(OR(B22="",R22="",ISTEXT(R22)=TRUE),"",B22*[2]TSS!K21*8.34)</f>
        <v>17515.968651439995</v>
      </c>
      <c r="W22" s="720">
        <f>IF(ISERROR((([2]BOD!H21-[2]BOD!J21))/[2]BOD!H21*100),"",(([2]BOD!H21-[2]BOD!J21))/[2]BOD!H21*100)</f>
        <v>51.111111111111107</v>
      </c>
      <c r="X22" s="699">
        <f>IF(ISERROR(IF(OR(G22="",K22=""),"",(([2]BOD!H21-[2]BOD!K21))/[2]BOD!H21*100)),"",IF(OR(G22="",K22=""),"",(([2]BOD!H21-[2]BOD!K21))/[2]BOD!H21*100))</f>
        <v>95</v>
      </c>
      <c r="Y22" s="699">
        <f>IF(OR(O22="",Q22="",ISTEXT(O22)=TRUE,ISTEXT(Q22)=TRUE),"",(([2]TSS!H21-[2]TSS!J21))/[2]TSS!H21*100)</f>
        <v>75.187969924812023</v>
      </c>
      <c r="Z22" s="709">
        <f>IF(OR(O22="",R22="",ISTEXT(O22)=TRUE,ISTEXT(R22)=TRUE),"",(([2]TSS!H21-[2]TSS!K21))/[2]TSS!H21*100)</f>
        <v>93.984962406015043</v>
      </c>
      <c r="AC22" s="80" t="s">
        <v>704</v>
      </c>
      <c r="AD22" s="80" t="s">
        <v>210</v>
      </c>
      <c r="AE22" s="205" t="s">
        <v>7</v>
      </c>
      <c r="AF22" s="80"/>
    </row>
    <row r="23" spans="1:32" ht="21.95" customHeight="1" x14ac:dyDescent="0.3">
      <c r="A23" s="736">
        <v>19</v>
      </c>
      <c r="B23" s="734">
        <f>IF('[1]Plant Data'!I22="","",'[1]Plant Data'!I22)</f>
        <v>188.44385234840274</v>
      </c>
      <c r="C23" s="699">
        <f>IF('[1]Plant Data'!P22="","",'[1]Plant Data'!P22+'[1]Plant Data'!$N$4)</f>
        <v>115.88933301736117</v>
      </c>
      <c r="D23" s="699">
        <f>'dmr 1'!D28</f>
        <v>115.88933301736117</v>
      </c>
      <c r="E23" s="699">
        <f>'dmr 1'!E28</f>
        <v>78.028830916666735</v>
      </c>
      <c r="F23" s="714">
        <f>'dmr 1'!I28</f>
        <v>3.4857142857142857E-2</v>
      </c>
      <c r="G23" s="712">
        <f>IF([2]BOD!B22="","",[2]BOD!B22)</f>
        <v>95</v>
      </c>
      <c r="H23" s="699">
        <f>IF([2]BOD!C22="","",[2]BOD!C22)</f>
        <v>186</v>
      </c>
      <c r="I23" s="700">
        <f>IF([2]BOD!D22="","",[2]BOD!D22)</f>
        <v>110</v>
      </c>
      <c r="J23" s="699">
        <f>IF([2]BOD!E22="","",[2]BOD!E22)</f>
        <v>16</v>
      </c>
      <c r="K23" s="716">
        <f>IF([2]BOD!F22="","",[2]BOD!F22)</f>
        <v>37</v>
      </c>
      <c r="L23" s="708">
        <f>IF(OR(B23="",G23="",ISTEXT(G23)=TRUE),"",B23*[2]BOD!H22*8.34)</f>
        <v>149304.06421563949</v>
      </c>
      <c r="M23" s="699">
        <f>IF(OR(E23="",E23=0,[2]BOD!L22="",ISTEXT([2]BOD!L22)=TRUE),"",E23*[2]BOD!L22*8.34)</f>
        <v>24078.136644265021</v>
      </c>
      <c r="N23" s="709">
        <f>IF(OR(D23="",K23="",ISTEXT(K23)=TRUE),"",D23*[2]BOD!K22*8.34)</f>
        <v>15464.272597836674</v>
      </c>
      <c r="O23" s="717">
        <f>IF([2]TSS!B22="","",[2]TSS!B22)</f>
        <v>120</v>
      </c>
      <c r="P23" s="702">
        <f>IF([2]TSS!C22="","",[2]TSS!C22)</f>
        <v>264</v>
      </c>
      <c r="Q23" s="699">
        <f>IF([2]TSS!D22="","",[2]TSS!D22)</f>
        <v>80</v>
      </c>
      <c r="R23" s="699">
        <f>IF([2]TSS!E22="","",[2]TSS!E22)</f>
        <v>35</v>
      </c>
      <c r="S23" s="716">
        <f>IF([2]TSS!F22="","",[2]TSS!F22)</f>
        <v>37</v>
      </c>
      <c r="T23" s="708">
        <f>IF(OR(B23="",O23="",ISTEXT(O23)=TRUE),"",B23*[2]TSS!H22*8.34)</f>
        <v>188594.60743028147</v>
      </c>
      <c r="U23" s="699">
        <f>IF(OR(E23="",E23=0,R23="",[2]TSS!L22=""),"",E23*[2]TSS!L22*8.34)</f>
        <v>24078.136644265021</v>
      </c>
      <c r="V23" s="709">
        <f>IF(OR(B23="",R23="",ISTEXT(R23)=TRUE),"",B23*[2]TSS!K22*8.34)</f>
        <v>55006.760500498764</v>
      </c>
      <c r="W23" s="720">
        <f>IF(ISERROR((([2]BOD!H22-[2]BOD!J22))/[2]BOD!H22*100),"",(([2]BOD!H22-[2]BOD!J22))/[2]BOD!H22*100)</f>
        <v>-15.789473684210526</v>
      </c>
      <c r="X23" s="699">
        <f>IF(ISERROR(IF(OR(G23="",K23=""),"",(([2]BOD!H22-[2]BOD!K22))/[2]BOD!H22*100)),"",IF(OR(G23="",K23=""),"",(([2]BOD!H22-[2]BOD!K22))/[2]BOD!H22*100))</f>
        <v>83.15789473684211</v>
      </c>
      <c r="Y23" s="699">
        <f>IF(OR(O23="",Q23="",ISTEXT(O23)=TRUE,ISTEXT(Q23)=TRUE),"",(([2]TSS!H22-[2]TSS!J22))/[2]TSS!H22*100)</f>
        <v>33.333333333333329</v>
      </c>
      <c r="Z23" s="709">
        <f>IF(OR(O23="",R23="",ISTEXT(O23)=TRUE,ISTEXT(R23)=TRUE),"",(([2]TSS!H22-[2]TSS!K22))/[2]TSS!H22*100)</f>
        <v>70.833333333333343</v>
      </c>
      <c r="AC23" s="80" t="s">
        <v>705</v>
      </c>
      <c r="AD23" s="80" t="s">
        <v>211</v>
      </c>
      <c r="AE23" s="205" t="s">
        <v>8</v>
      </c>
      <c r="AF23" s="80"/>
    </row>
    <row r="24" spans="1:32" ht="21.95" customHeight="1" x14ac:dyDescent="0.3">
      <c r="A24" s="736">
        <v>20</v>
      </c>
      <c r="B24" s="734">
        <f>IF('[1]Plant Data'!I23="","",'[1]Plant Data'!I23)</f>
        <v>145.46042676736121</v>
      </c>
      <c r="C24" s="699">
        <f>IF('[1]Plant Data'!P23="","",'[1]Plant Data'!P23+'[1]Plant Data'!$N$4)</f>
        <v>104.33788848263907</v>
      </c>
      <c r="D24" s="699">
        <f>'dmr 1'!D29</f>
        <v>104.33788848263907</v>
      </c>
      <c r="E24" s="699">
        <f>'dmr 1'!E29</f>
        <v>43.998575041666641</v>
      </c>
      <c r="F24" s="714">
        <f>'dmr 1'!I29</f>
        <v>0.48314285714285715</v>
      </c>
      <c r="G24" s="712">
        <f>IF([2]BOD!B23="","",[2]BOD!B23)</f>
        <v>108</v>
      </c>
      <c r="H24" s="699">
        <f>IF([2]BOD!C23="","",[2]BOD!C23)</f>
        <v>129</v>
      </c>
      <c r="I24" s="700">
        <f>IF([2]BOD!D23="","",[2]BOD!D23)</f>
        <v>70</v>
      </c>
      <c r="J24" s="699">
        <f>IF([2]BOD!E23="","",[2]BOD!E23)</f>
        <v>8</v>
      </c>
      <c r="K24" s="716">
        <f>IF([2]BOD!F23="","",[2]BOD!F23)</f>
        <v>36</v>
      </c>
      <c r="L24" s="708">
        <f>IF(OR(B24="",G24="",ISTEXT(G24)=TRUE),"",B24*[2]BOD!H23*8.34)</f>
        <v>131019.11559789759</v>
      </c>
      <c r="M24" s="699">
        <f>IF(OR(E24="",E24=0,[2]BOD!L23="",ISTEXT([2]BOD!L23)=TRUE),"",E24*[2]BOD!L23*8.34)</f>
        <v>13210.132170509993</v>
      </c>
      <c r="N24" s="709">
        <f>IF(OR(D24="",K24="",ISTEXT(K24)=TRUE),"",D24*[2]BOD!K23*8.34)</f>
        <v>6961.4239195616792</v>
      </c>
      <c r="O24" s="717">
        <f>IF([2]TSS!B23="","",[2]TSS!B23)</f>
        <v>140</v>
      </c>
      <c r="P24" s="702">
        <f>IF([2]TSS!C23="","",[2]TSS!C23)</f>
        <v>140</v>
      </c>
      <c r="Q24" s="699">
        <f>IF([2]TSS!D23="","",[2]TSS!D23)</f>
        <v>43</v>
      </c>
      <c r="R24" s="699">
        <f>IF([2]TSS!E23="","",[2]TSS!E23)</f>
        <v>17</v>
      </c>
      <c r="S24" s="716">
        <f>IF([2]TSS!F23="","",[2]TSS!F23)</f>
        <v>28</v>
      </c>
      <c r="T24" s="708">
        <f>IF(OR(B24="",O24="",ISTEXT(O24)=TRUE),"",B24*[2]TSS!H23*8.34)</f>
        <v>169839.59429357096</v>
      </c>
      <c r="U24" s="699">
        <f>IF(OR(E24="",E24=0,R24="",[2]TSS!L23=""),"",E24*[2]TSS!L23*8.34)</f>
        <v>10274.547243729994</v>
      </c>
      <c r="V24" s="709">
        <f>IF(OR(B24="",R24="",ISTEXT(R24)=TRUE),"",B24*[2]TSS!K23*8.34)</f>
        <v>20623.379307076473</v>
      </c>
      <c r="W24" s="720">
        <f>IF(ISERROR((([2]BOD!H23-[2]BOD!J23))/[2]BOD!H23*100),"",(([2]BOD!H23-[2]BOD!J23))/[2]BOD!H23*100)</f>
        <v>35.185185185185183</v>
      </c>
      <c r="X24" s="699">
        <f>IF(ISERROR(IF(OR(G24="",K24=""),"",(([2]BOD!H23-[2]BOD!K23))/[2]BOD!H23*100)),"",IF(OR(G24="",K24=""),"",(([2]BOD!H23-[2]BOD!K23))/[2]BOD!H23*100))</f>
        <v>92.592592592592595</v>
      </c>
      <c r="Y24" s="699">
        <f>IF(OR(O24="",Q24="",ISTEXT(O24)=TRUE,ISTEXT(Q24)=TRUE),"",(([2]TSS!H23-[2]TSS!J23))/[2]TSS!H23*100)</f>
        <v>69.285714285714278</v>
      </c>
      <c r="Z24" s="709">
        <f>IF(OR(O24="",R24="",ISTEXT(O24)=TRUE,ISTEXT(R24)=TRUE),"",(([2]TSS!H23-[2]TSS!K23))/[2]TSS!H23*100)</f>
        <v>87.857142857142861</v>
      </c>
      <c r="AC24" s="80" t="s">
        <v>704</v>
      </c>
      <c r="AD24" s="80" t="s">
        <v>551</v>
      </c>
      <c r="AE24" s="205" t="s">
        <v>9</v>
      </c>
      <c r="AF24" s="80"/>
    </row>
    <row r="25" spans="1:32" ht="21.95" customHeight="1" x14ac:dyDescent="0.3">
      <c r="A25" s="736">
        <v>21</v>
      </c>
      <c r="B25" s="734">
        <f>IF('[1]Plant Data'!I24="","",'[1]Plant Data'!I24)</f>
        <v>67.602457659722162</v>
      </c>
      <c r="C25" s="699">
        <f>IF('[1]Plant Data'!P24="","",'[1]Plant Data'!P24+'[1]Plant Data'!$N$4)</f>
        <v>80.501469586805641</v>
      </c>
      <c r="D25" s="699">
        <f>'dmr 1'!D30</f>
        <v>80.501469586805641</v>
      </c>
      <c r="E25" s="699" t="str">
        <f>'dmr 1'!E30</f>
        <v/>
      </c>
      <c r="F25" s="714">
        <f>'dmr 1'!I30</f>
        <v>3.1515151515151517E-2</v>
      </c>
      <c r="G25" s="712">
        <f>IF([2]BOD!B24="","",[2]BOD!B24)</f>
        <v>160</v>
      </c>
      <c r="H25" s="699">
        <f>IF([2]BOD!C24="","",[2]BOD!C24)</f>
        <v>186</v>
      </c>
      <c r="I25" s="700">
        <f>IF([2]BOD!D24="","",[2]BOD!D24)</f>
        <v>128</v>
      </c>
      <c r="J25" s="699">
        <f>IF([2]BOD!E24="","",[2]BOD!E24)</f>
        <v>11</v>
      </c>
      <c r="K25" s="716" t="str">
        <f>IF([2]BOD!F24="","",[2]BOD!F24)</f>
        <v/>
      </c>
      <c r="L25" s="708">
        <f>IF(OR(B25="",G25="",ISTEXT(G25)=TRUE),"",B25*[2]BOD!H24*8.34)</f>
        <v>90208.719501133251</v>
      </c>
      <c r="M25" s="699" t="str">
        <f>IF(OR(E25="",E25=0,[2]BOD!L24="",ISTEXT([2]BOD!L24)=TRUE),"",E25*[2]BOD!L24*8.34)</f>
        <v/>
      </c>
      <c r="N25" s="709" t="str">
        <f>IF(OR(D25="",K25="",ISTEXT(K25)=TRUE),"",D25*[2]BOD!K24*8.34)</f>
        <v/>
      </c>
      <c r="O25" s="717">
        <f>IF([2]TSS!B24="","",[2]TSS!B24)</f>
        <v>140</v>
      </c>
      <c r="P25" s="702">
        <f>IF([2]TSS!C24="","",[2]TSS!C24)</f>
        <v>150</v>
      </c>
      <c r="Q25" s="699">
        <f>IF([2]TSS!D24="","",[2]TSS!D24)</f>
        <v>72</v>
      </c>
      <c r="R25" s="699">
        <f>IF([2]TSS!E24="","",[2]TSS!E24)</f>
        <v>22</v>
      </c>
      <c r="S25" s="716" t="str">
        <f>IF([2]TSS!F24="","",[2]TSS!F24)</f>
        <v/>
      </c>
      <c r="T25" s="708">
        <f>IF(OR(B25="",O25="",ISTEXT(O25)=TRUE),"",B25*[2]TSS!H24*8.34)</f>
        <v>78932.629563491588</v>
      </c>
      <c r="U25" s="699" t="str">
        <f>IF(OR(E25="",E25=0,R25="",[2]TSS!L24=""),"",E25*[2]TSS!L24*8.34)</f>
        <v/>
      </c>
      <c r="V25" s="709">
        <f>IF(OR(B25="",R25="",ISTEXT(R25)=TRUE),"",B25*[2]TSS!K24*8.34)</f>
        <v>12403.698931405823</v>
      </c>
      <c r="W25" s="720">
        <f>IF(ISERROR((([2]BOD!H24-[2]BOD!J24))/[2]BOD!H24*100),"",(([2]BOD!H24-[2]BOD!J24))/[2]BOD!H24*100)</f>
        <v>20</v>
      </c>
      <c r="X25" s="699" t="str">
        <f>IF(ISERROR(IF(OR(G25="",K25=""),"",(([2]BOD!H24-[2]BOD!K24))/[2]BOD!H24*100)),"",IF(OR(G25="",K25=""),"",(([2]BOD!H24-[2]BOD!K24))/[2]BOD!H24*100))</f>
        <v/>
      </c>
      <c r="Y25" s="699">
        <f>IF(OR(O25="",Q25="",ISTEXT(O25)=TRUE,ISTEXT(Q25)=TRUE),"",(([2]TSS!H24-[2]TSS!J24))/[2]TSS!H24*100)</f>
        <v>48.571428571428569</v>
      </c>
      <c r="Z25" s="709">
        <f>IF(OR(O25="",R25="",ISTEXT(O25)=TRUE,ISTEXT(R25)=TRUE),"",(([2]TSS!H24-[2]TSS!K24))/[2]TSS!H24*100)</f>
        <v>84.285714285714292</v>
      </c>
      <c r="AC25" s="80" t="s">
        <v>706</v>
      </c>
      <c r="AD25" s="80" t="s">
        <v>212</v>
      </c>
      <c r="AE25" s="205" t="s">
        <v>10</v>
      </c>
      <c r="AF25" s="80"/>
    </row>
    <row r="26" spans="1:32" ht="21.95" customHeight="1" x14ac:dyDescent="0.3">
      <c r="A26" s="736">
        <v>22</v>
      </c>
      <c r="B26" s="734">
        <f>IF('[1]Plant Data'!I25="","",'[1]Plant Data'!I25)</f>
        <v>116.1367787708331</v>
      </c>
      <c r="C26" s="699">
        <f>IF('[1]Plant Data'!P25="","",'[1]Plant Data'!P25+'[1]Plant Data'!$N$4)</f>
        <v>90.231042760416614</v>
      </c>
      <c r="D26" s="699">
        <f>'dmr 1'!D31</f>
        <v>90.231042760416614</v>
      </c>
      <c r="E26" s="699">
        <f>'dmr 1'!E31</f>
        <v>23.556970222222247</v>
      </c>
      <c r="F26" s="714">
        <f>'dmr 1'!I31</f>
        <v>0.37457142857142856</v>
      </c>
      <c r="G26" s="712">
        <f>IF([2]BOD!B25="","",[2]BOD!B25)</f>
        <v>172</v>
      </c>
      <c r="H26" s="699">
        <f>IF([2]BOD!C25="","",[2]BOD!C25)</f>
        <v>176</v>
      </c>
      <c r="I26" s="700">
        <f>IF([2]BOD!D25="","",[2]BOD!D25)</f>
        <v>119</v>
      </c>
      <c r="J26" s="699">
        <f>IF([2]BOD!E25="","",[2]BOD!E25)</f>
        <v>12</v>
      </c>
      <c r="K26" s="716">
        <f>IF([2]BOD!F25="","",[2]BOD!F25)</f>
        <v>69</v>
      </c>
      <c r="L26" s="708">
        <f>IF(OR(B26="",G26="",ISTEXT(G26)=TRUE),"",B26*[2]BOD!H25*8.34)</f>
        <v>166595.88641118468</v>
      </c>
      <c r="M26" s="699">
        <f>IF(OR(E26="",E26=0,[2]BOD!L25="",ISTEXT([2]BOD!L25)=TRUE),"",E26*[2]BOD!L25*8.34)</f>
        <v>13556.094084080014</v>
      </c>
      <c r="N26" s="709">
        <f>IF(OR(D26="",K26="",ISTEXT(K26)=TRUE),"",D26*[2]BOD!K25*8.34)</f>
        <v>9030.322759462495</v>
      </c>
      <c r="O26" s="717">
        <f>IF([2]TSS!B25="","",[2]TSS!B25)</f>
        <v>242</v>
      </c>
      <c r="P26" s="702">
        <f>IF([2]TSS!C25="","",[2]TSS!C25)</f>
        <v>224</v>
      </c>
      <c r="Q26" s="699">
        <f>IF([2]TSS!D25="","",[2]TSS!D25)</f>
        <v>99</v>
      </c>
      <c r="R26" s="699">
        <f>IF([2]TSS!E25="","",[2]TSS!E25)</f>
        <v>17</v>
      </c>
      <c r="S26" s="716">
        <f>IF([2]TSS!F25="","",[2]TSS!F25)</f>
        <v>21</v>
      </c>
      <c r="T26" s="708">
        <f>IF(OR(B26="",O26="",ISTEXT(O26)=TRUE),"",B26*[2]TSS!H25*8.34)</f>
        <v>234396.53785759702</v>
      </c>
      <c r="U26" s="699">
        <f>IF(OR(E26="",E26=0,R26="",[2]TSS!L25=""),"",E26*[2]TSS!L25*8.34)</f>
        <v>4125.7677647200044</v>
      </c>
      <c r="V26" s="709">
        <f>IF(OR(B26="",R26="",ISTEXT(R26)=TRUE),"",B26*[2]TSS!K25*8.34)</f>
        <v>16465.872494128718</v>
      </c>
      <c r="W26" s="720">
        <f>IF(ISERROR((([2]BOD!H25-[2]BOD!J25))/[2]BOD!H25*100),"",(([2]BOD!H25-[2]BOD!J25))/[2]BOD!H25*100)</f>
        <v>30.813953488372093</v>
      </c>
      <c r="X26" s="699">
        <f>IF(ISERROR(IF(OR(G26="",K26=""),"",(([2]BOD!H25-[2]BOD!K25))/[2]BOD!H25*100)),"",IF(OR(G26="",K26=""),"",(([2]BOD!H25-[2]BOD!K25))/[2]BOD!H25*100))</f>
        <v>93.023255813953483</v>
      </c>
      <c r="Y26" s="699">
        <f>IF(OR(O26="",Q26="",ISTEXT(O26)=TRUE,ISTEXT(Q26)=TRUE),"",(([2]TSS!H25-[2]TSS!J25))/[2]TSS!H25*100)</f>
        <v>59.090909090909093</v>
      </c>
      <c r="Z26" s="709">
        <f>IF(OR(O26="",R26="",ISTEXT(O26)=TRUE,ISTEXT(R26)=TRUE),"",(([2]TSS!H25-[2]TSS!K25))/[2]TSS!H25*100)</f>
        <v>92.975206611570243</v>
      </c>
      <c r="AC26" s="80"/>
    </row>
    <row r="27" spans="1:32" ht="21.95" customHeight="1" x14ac:dyDescent="0.3">
      <c r="A27" s="736">
        <v>23</v>
      </c>
      <c r="B27" s="734">
        <f>IF('[1]Plant Data'!I26="","",'[1]Plant Data'!I26)</f>
        <v>82.363051128472321</v>
      </c>
      <c r="C27" s="699">
        <f>IF('[1]Plant Data'!P26="","",'[1]Plant Data'!P26+'[1]Plant Data'!$N$4)</f>
        <v>94.460625118055702</v>
      </c>
      <c r="D27" s="699">
        <f>'dmr 1'!D32</f>
        <v>94.460625118055702</v>
      </c>
      <c r="E27" s="699" t="str">
        <f>'dmr 1'!E32</f>
        <v/>
      </c>
      <c r="F27" s="714">
        <f>'dmr 1'!I32</f>
        <v>3.5142857142857142E-2</v>
      </c>
      <c r="G27" s="712">
        <f>IF([2]BOD!B26="","",[2]BOD!B26)</f>
        <v>222</v>
      </c>
      <c r="H27" s="699">
        <f>IF([2]BOD!C26="","",[2]BOD!C26)</f>
        <v>248</v>
      </c>
      <c r="I27" s="700">
        <f>IF([2]BOD!D26="","",[2]BOD!D26)</f>
        <v>157</v>
      </c>
      <c r="J27" s="699">
        <f>IF([2]BOD!E26="","",[2]BOD!E26)</f>
        <v>10</v>
      </c>
      <c r="K27" s="716" t="str">
        <f>IF([2]BOD!F26="","",[2]BOD!F26)</f>
        <v/>
      </c>
      <c r="L27" s="708">
        <f>IF(OR(B27="",G27="",ISTEXT(G27)=TRUE),"",B27*[2]BOD!H26*8.34)</f>
        <v>152493.54190334395</v>
      </c>
      <c r="M27" s="699" t="str">
        <f>IF(OR(E27="",E27=0,[2]BOD!L26="",ISTEXT([2]BOD!L26)=TRUE),"",E27*[2]BOD!L26*8.34)</f>
        <v/>
      </c>
      <c r="N27" s="709" t="str">
        <f>IF(OR(D27="",K27="",ISTEXT(K27)=TRUE),"",D27*[2]BOD!K26*8.34)</f>
        <v/>
      </c>
      <c r="O27" s="717">
        <f>IF([2]TSS!B26="","",[2]TSS!B26)</f>
        <v>217</v>
      </c>
      <c r="P27" s="702">
        <f>IF([2]TSS!C26="","",[2]TSS!C26)</f>
        <v>222</v>
      </c>
      <c r="Q27" s="699">
        <f>IF([2]TSS!D26="","",[2]TSS!D26)</f>
        <v>84</v>
      </c>
      <c r="R27" s="699">
        <f>IF([2]TSS!E26="","",[2]TSS!E26)</f>
        <v>16</v>
      </c>
      <c r="S27" s="716" t="str">
        <f>IF([2]TSS!F26="","",[2]TSS!F26)</f>
        <v/>
      </c>
      <c r="T27" s="708">
        <f>IF(OR(B27="",O27="",ISTEXT(O27)=TRUE),"",B27*[2]TSS!H26*8.34)</f>
        <v>149059.00267128664</v>
      </c>
      <c r="U27" s="699" t="str">
        <f>IF(OR(E27="",E27=0,R27="",[2]TSS!L26=""),"",E27*[2]TSS!L26*8.34)</f>
        <v/>
      </c>
      <c r="V27" s="709">
        <f>IF(OR(B27="",R27="",ISTEXT(R27)=TRUE),"",B27*[2]TSS!K26*8.34)</f>
        <v>10990.525542583346</v>
      </c>
      <c r="W27" s="720">
        <f>IF(ISERROR((([2]BOD!H26-[2]BOD!J26))/[2]BOD!H26*100),"",(([2]BOD!H26-[2]BOD!J26))/[2]BOD!H26*100)</f>
        <v>29.27927927927928</v>
      </c>
      <c r="X27" s="699" t="str">
        <f>IF(ISERROR(IF(OR(G27="",K27=""),"",(([2]BOD!H26-[2]BOD!K26))/[2]BOD!H26*100)),"",IF(OR(G27="",K27=""),"",(([2]BOD!H26-[2]BOD!K26))/[2]BOD!H26*100))</f>
        <v/>
      </c>
      <c r="Y27" s="699">
        <f>IF(OR(O27="",Q27="",ISTEXT(O27)=TRUE,ISTEXT(Q27)=TRUE),"",(([2]TSS!H26-[2]TSS!J26))/[2]TSS!H26*100)</f>
        <v>61.29032258064516</v>
      </c>
      <c r="Z27" s="709">
        <f>IF(OR(O27="",R27="",ISTEXT(O27)=TRUE,ISTEXT(R27)=TRUE),"",(([2]TSS!H26-[2]TSS!K26))/[2]TSS!H26*100)</f>
        <v>92.626728110599075</v>
      </c>
      <c r="AC27" s="209" t="s">
        <v>108</v>
      </c>
      <c r="AD27" s="209" t="s">
        <v>107</v>
      </c>
      <c r="AE27" s="209" t="s">
        <v>106</v>
      </c>
    </row>
    <row r="28" spans="1:32" ht="21.95" customHeight="1" x14ac:dyDescent="0.3">
      <c r="A28" s="736">
        <v>24</v>
      </c>
      <c r="B28" s="734">
        <f>IF('[1]Plant Data'!I27="","",'[1]Plant Data'!I27)</f>
        <v>63.443430267361116</v>
      </c>
      <c r="C28" s="699">
        <f>IF('[1]Plant Data'!P27="","",'[1]Plant Data'!P27+'[1]Plant Data'!$N$4)</f>
        <v>67.374210156250072</v>
      </c>
      <c r="D28" s="699">
        <f>'dmr 1'!D33</f>
        <v>67.374210156250072</v>
      </c>
      <c r="E28" s="699" t="str">
        <f>'dmr 1'!E33</f>
        <v/>
      </c>
      <c r="F28" s="714" t="str">
        <f>'dmr 1'!I33</f>
        <v>T</v>
      </c>
      <c r="G28" s="712">
        <f>IF([2]BOD!B27="","",[2]BOD!B27)</f>
        <v>268</v>
      </c>
      <c r="H28" s="699">
        <f>IF([2]BOD!C27="","",[2]BOD!C27)</f>
        <v>294</v>
      </c>
      <c r="I28" s="700">
        <f>IF([2]BOD!D27="","",[2]BOD!D27)</f>
        <v>178</v>
      </c>
      <c r="J28" s="699">
        <f>IF([2]BOD!E27="","",[2]BOD!E27)</f>
        <v>14</v>
      </c>
      <c r="K28" s="716" t="str">
        <f>IF([2]BOD!F27="","",[2]BOD!F27)</f>
        <v/>
      </c>
      <c r="L28" s="708">
        <f>IF(OR(B28="",G28="",ISTEXT(G28)=TRUE),"",B28*[2]BOD!H27*8.34)</f>
        <v>141803.67985918419</v>
      </c>
      <c r="M28" s="699" t="str">
        <f>IF(OR(E28="",E28=0,[2]BOD!L27="",ISTEXT([2]BOD!L27)=TRUE),"",E28*[2]BOD!L27*8.34)</f>
        <v/>
      </c>
      <c r="N28" s="709" t="str">
        <f>IF(OR(D28="",K28="",ISTEXT(K28)=TRUE),"",D28*[2]BOD!K27*8.34)</f>
        <v/>
      </c>
      <c r="O28" s="717">
        <f>IF([2]TSS!B27="","",[2]TSS!B27)</f>
        <v>562</v>
      </c>
      <c r="P28" s="702">
        <f>IF([2]TSS!C27="","",[2]TSS!C27)</f>
        <v>310</v>
      </c>
      <c r="Q28" s="699">
        <f>IF([2]TSS!D27="","",[2]TSS!D27)</f>
        <v>91</v>
      </c>
      <c r="R28" s="699">
        <f>IF([2]TSS!E27="","",[2]TSS!E27)</f>
        <v>19</v>
      </c>
      <c r="S28" s="716" t="str">
        <f>IF([2]TSS!F27="","",[2]TSS!F27)</f>
        <v/>
      </c>
      <c r="T28" s="708">
        <f>IF(OR(B28="",O28="",ISTEXT(O28)=TRUE),"",B28*[2]TSS!H27*8.34)</f>
        <v>297364.43313754298</v>
      </c>
      <c r="U28" s="699" t="str">
        <f>IF(OR(E28="",E28=0,R28="",[2]TSS!L27=""),"",E28*[2]TSS!L27*8.34)</f>
        <v/>
      </c>
      <c r="V28" s="709">
        <f>IF(OR(B28="",R28="",ISTEXT(R28)=TRUE),"",B28*[2]TSS!K27*8.34)</f>
        <v>10053.245960166043</v>
      </c>
      <c r="W28" s="720">
        <f>IF(ISERROR((([2]BOD!H27-[2]BOD!J27))/[2]BOD!H27*100),"",(([2]BOD!H27-[2]BOD!J27))/[2]BOD!H27*100)</f>
        <v>33.582089552238806</v>
      </c>
      <c r="X28" s="699" t="str">
        <f>IF(ISERROR(IF(OR(G28="",K28=""),"",(([2]BOD!H27-[2]BOD!K27))/[2]BOD!H27*100)),"",IF(OR(G28="",K28=""),"",(([2]BOD!H27-[2]BOD!K27))/[2]BOD!H27*100))</f>
        <v/>
      </c>
      <c r="Y28" s="699">
        <f>IF(OR(O28="",Q28="",ISTEXT(O28)=TRUE,ISTEXT(Q28)=TRUE),"",(([2]TSS!H27-[2]TSS!J27))/[2]TSS!H27*100)</f>
        <v>83.807829181494668</v>
      </c>
      <c r="Z28" s="709">
        <f>IF(OR(O28="",R28="",ISTEXT(O28)=TRUE,ISTEXT(R28)=TRUE),"",(([2]TSS!H27-[2]TSS!K27))/[2]TSS!H27*100)</f>
        <v>96.619217081850536</v>
      </c>
      <c r="AC28" s="80" t="s">
        <v>688</v>
      </c>
      <c r="AD28" s="80" t="s">
        <v>103</v>
      </c>
      <c r="AE28" s="80" t="s">
        <v>181</v>
      </c>
    </row>
    <row r="29" spans="1:32" ht="21.95" customHeight="1" x14ac:dyDescent="0.3">
      <c r="A29" s="736">
        <v>25</v>
      </c>
      <c r="B29" s="734">
        <f>IF('[1]Plant Data'!I28="","",'[1]Plant Data'!I28)</f>
        <v>59.51923723263878</v>
      </c>
      <c r="C29" s="699">
        <f>IF('[1]Plant Data'!P28="","",'[1]Plant Data'!P28+'[1]Plant Data'!$N$4)</f>
        <v>64.412447163194457</v>
      </c>
      <c r="D29" s="699">
        <f>'dmr 1'!D34</f>
        <v>64.412447163194457</v>
      </c>
      <c r="E29" s="699"/>
      <c r="F29" s="714">
        <f>'dmr 1'!I34</f>
        <v>0</v>
      </c>
      <c r="G29" s="712">
        <f>IF([2]BOD!B28="","",[2]BOD!B28)</f>
        <v>233</v>
      </c>
      <c r="H29" s="699">
        <f>IF([2]BOD!C28="","",[2]BOD!C28)</f>
        <v>242</v>
      </c>
      <c r="I29" s="700">
        <f>IF([2]BOD!D28="","",[2]BOD!D28)</f>
        <v>155</v>
      </c>
      <c r="J29" s="699">
        <f>IF([2]BOD!E28="","",[2]BOD!E28)</f>
        <v>12</v>
      </c>
      <c r="K29" s="716" t="str">
        <f>IF([2]BOD!F28="","",[2]BOD!F28)</f>
        <v/>
      </c>
      <c r="L29" s="708">
        <f>IF(OR(B29="",G29="",ISTEXT(G29)=TRUE),"",B29*[2]BOD!H28*8.34)</f>
        <v>115658.97217520833</v>
      </c>
      <c r="M29" s="699" t="str">
        <f>IF(OR(E29="",E29=0,[2]BOD!L28="",ISTEXT([2]BOD!L28)=TRUE),"",E29*[2]BOD!L28*8.34)</f>
        <v/>
      </c>
      <c r="N29" s="709" t="str">
        <f>IF(OR(D29="",K29="",ISTEXT(K29)=TRUE),"",D29*[2]BOD!K28*8.34)</f>
        <v/>
      </c>
      <c r="O29" s="717">
        <f>IF([2]TSS!B28="","",[2]TSS!B28)</f>
        <v>370</v>
      </c>
      <c r="P29" s="702">
        <f>IF([2]TSS!C28="","",[2]TSS!C28)</f>
        <v>294</v>
      </c>
      <c r="Q29" s="699">
        <f>IF([2]TSS!D28="","",[2]TSS!D28)</f>
        <v>110</v>
      </c>
      <c r="R29" s="699">
        <f>IF([2]TSS!E28="","",[2]TSS!E28)</f>
        <v>17</v>
      </c>
      <c r="S29" s="716" t="str">
        <f>IF([2]TSS!F28="","",[2]TSS!F28)</f>
        <v/>
      </c>
      <c r="T29" s="708">
        <f>IF(OR(B29="",O29="",ISTEXT(O29)=TRUE),"",B29*[2]TSS!H28*8.34)</f>
        <v>183664.46225247675</v>
      </c>
      <c r="U29" s="699" t="str">
        <f>IF(OR(E29="",E29=0,R29="",[2]TSS!L28=""),"",E29*[2]TSS!L28*8.34)</f>
        <v/>
      </c>
      <c r="V29" s="709">
        <f>IF(OR(B29="",R29="",ISTEXT(R29)=TRUE),"",B29*[2]TSS!K28*8.34)</f>
        <v>8438.6374548435269</v>
      </c>
      <c r="W29" s="720">
        <f>IF(ISERROR((([2]BOD!H28-[2]BOD!J28))/[2]BOD!H28*100),"",(([2]BOD!H28-[2]BOD!J28))/[2]BOD!H28*100)</f>
        <v>33.476394849785407</v>
      </c>
      <c r="X29" s="699" t="str">
        <f>IF(ISERROR(IF(OR(G29="",K29=""),"",(([2]BOD!H28-[2]BOD!K28))/[2]BOD!H28*100)),"",IF(OR(G29="",K29=""),"",(([2]BOD!H28-[2]BOD!K28))/[2]BOD!H28*100))</f>
        <v/>
      </c>
      <c r="Y29" s="699">
        <f>IF(OR(O29="",Q29="",ISTEXT(O29)=TRUE,ISTEXT(Q29)=TRUE),"",(([2]TSS!H28-[2]TSS!J28))/[2]TSS!H28*100)</f>
        <v>70.270270270270274</v>
      </c>
      <c r="Z29" s="709">
        <f>IF(OR(O29="",R29="",ISTEXT(O29)=TRUE,ISTEXT(R29)=TRUE),"",(([2]TSS!H28-[2]TSS!K28))/[2]TSS!H28*100)</f>
        <v>95.405405405405403</v>
      </c>
      <c r="AC29" s="80" t="s">
        <v>685</v>
      </c>
      <c r="AD29" s="80" t="s">
        <v>113</v>
      </c>
      <c r="AE29" s="80" t="s">
        <v>179</v>
      </c>
    </row>
    <row r="30" spans="1:32" ht="21.95" customHeight="1" x14ac:dyDescent="0.3">
      <c r="A30" s="736">
        <v>26</v>
      </c>
      <c r="B30" s="734">
        <f>IF('[1]Plant Data'!I29="","",'[1]Plant Data'!I29)</f>
        <v>55.282743635416665</v>
      </c>
      <c r="C30" s="699">
        <f>IF('[1]Plant Data'!P29="","",'[1]Plant Data'!P29+'[1]Plant Data'!$N$4)</f>
        <v>60.574170576388781</v>
      </c>
      <c r="D30" s="699">
        <f>'dmr 1'!D35</f>
        <v>60.574170576388781</v>
      </c>
      <c r="E30" s="699" t="str">
        <f>'dmr 1'!E35</f>
        <v/>
      </c>
      <c r="F30" s="714">
        <f>'dmr 1'!I35</f>
        <v>0</v>
      </c>
      <c r="G30" s="712">
        <f>IF([2]BOD!B29="","",[2]BOD!B29)</f>
        <v>228</v>
      </c>
      <c r="H30" s="699">
        <f>IF([2]BOD!C29="","",[2]BOD!C29)</f>
        <v>352</v>
      </c>
      <c r="I30" s="700">
        <f>IF([2]BOD!D29="","",[2]BOD!D29)</f>
        <v>167</v>
      </c>
      <c r="J30" s="699">
        <f>IF([2]BOD!E29="","",[2]BOD!E29)</f>
        <v>15</v>
      </c>
      <c r="K30" s="716" t="str">
        <f>IF([2]BOD!F29="","",[2]BOD!F29)</f>
        <v/>
      </c>
      <c r="L30" s="708">
        <f>IF(OR(B30="",G30="",ISTEXT(G30)=TRUE),"",B30*[2]BOD!H29*8.34)</f>
        <v>105121.2426776175</v>
      </c>
      <c r="M30" s="699" t="str">
        <f>IF(OR(E30="",E30=0,[2]BOD!L29="",ISTEXT([2]BOD!L29)=TRUE),"",E30*[2]BOD!L29*8.34)</f>
        <v/>
      </c>
      <c r="N30" s="709" t="str">
        <f>IF(OR(D30="",K30="",ISTEXT(K30)=TRUE),"",D30*[2]BOD!K29*8.34)</f>
        <v/>
      </c>
      <c r="O30" s="717">
        <f>IF([2]TSS!B29="","",[2]TSS!B29)</f>
        <v>130</v>
      </c>
      <c r="P30" s="702">
        <f>IF([2]TSS!C29="","",[2]TSS!C29)</f>
        <v>360</v>
      </c>
      <c r="Q30" s="699">
        <f>IF([2]TSS!D29="","",[2]TSS!D29)</f>
        <v>44</v>
      </c>
      <c r="R30" s="699">
        <f>IF([2]TSS!E29="","",[2]TSS!E29)</f>
        <v>17</v>
      </c>
      <c r="S30" s="716" t="str">
        <f>IF([2]TSS!F29="","",[2]TSS!F29)</f>
        <v/>
      </c>
      <c r="T30" s="708">
        <f>IF(OR(B30="",O30="",ISTEXT(O30)=TRUE),"",B30*[2]TSS!H29*8.34)</f>
        <v>59937.550649518751</v>
      </c>
      <c r="U30" s="699" t="str">
        <f>IF(OR(E30="",E30=0,R30="",[2]TSS!L29=""),"",E30*[2]TSS!L29*8.34)</f>
        <v/>
      </c>
      <c r="V30" s="709">
        <f>IF(OR(B30="",R30="",ISTEXT(R30)=TRUE),"",B30*[2]TSS!K29*8.34)</f>
        <v>7837.987392629374</v>
      </c>
      <c r="W30" s="720">
        <f>IF(ISERROR((([2]BOD!H29-[2]BOD!J29))/[2]BOD!H29*100),"",(([2]BOD!H29-[2]BOD!J29))/[2]BOD!H29*100)</f>
        <v>26.754385964912281</v>
      </c>
      <c r="X30" s="699" t="str">
        <f>IF(ISERROR(IF(OR(G30="",K30=""),"",(([2]BOD!H29-[2]BOD!K29))/[2]BOD!H29*100)),"",IF(OR(G30="",K30=""),"",(([2]BOD!H29-[2]BOD!K29))/[2]BOD!H29*100))</f>
        <v/>
      </c>
      <c r="Y30" s="699">
        <f>IF(OR(O30="",Q30="",ISTEXT(O30)=TRUE,ISTEXT(Q30)=TRUE),"",(([2]TSS!H29-[2]TSS!J29))/[2]TSS!H29*100)</f>
        <v>66.153846153846146</v>
      </c>
      <c r="Z30" s="709">
        <f>IF(OR(O30="",R30="",ISTEXT(O30)=TRUE,ISTEXT(R30)=TRUE),"",(([2]TSS!H29-[2]TSS!K29))/[2]TSS!H29*100)</f>
        <v>86.92307692307692</v>
      </c>
      <c r="AC30" s="80" t="s">
        <v>686</v>
      </c>
      <c r="AD30" s="80" t="s">
        <v>116</v>
      </c>
      <c r="AE30" s="80" t="s">
        <v>180</v>
      </c>
    </row>
    <row r="31" spans="1:32" ht="21.95" customHeight="1" x14ac:dyDescent="0.3">
      <c r="A31" s="736">
        <v>27</v>
      </c>
      <c r="B31" s="734">
        <f>IF('[1]Plant Data'!I30="","",'[1]Plant Data'!I30)</f>
        <v>54.39654560069458</v>
      </c>
      <c r="C31" s="699">
        <f>IF('[1]Plant Data'!P30="","",'[1]Plant Data'!P30+'[1]Plant Data'!$N$4)</f>
        <v>58.311239673610999</v>
      </c>
      <c r="D31" s="699">
        <f>'dmr 1'!D36</f>
        <v>58.311239673610999</v>
      </c>
      <c r="E31" s="699" t="str">
        <f>'dmr 1'!E36</f>
        <v/>
      </c>
      <c r="F31" s="714">
        <f>'dmr 1'!I36</f>
        <v>0.01</v>
      </c>
      <c r="G31" s="712">
        <f>IF([2]BOD!B30="","",[2]BOD!B30)</f>
        <v>287</v>
      </c>
      <c r="H31" s="699">
        <f>IF([2]BOD!C30="","",[2]BOD!C30)</f>
        <v>272</v>
      </c>
      <c r="I31" s="700">
        <f>IF([2]BOD!D30="","",[2]BOD!D30)</f>
        <v>188</v>
      </c>
      <c r="J31" s="699">
        <f>IF([2]BOD!E30="","",[2]BOD!E30)</f>
        <v>8</v>
      </c>
      <c r="K31" s="716" t="str">
        <f>IF([2]BOD!F30="","",[2]BOD!F30)</f>
        <v/>
      </c>
      <c r="L31" s="708">
        <f>IF(OR(B31="",G31="",ISTEXT(G31)=TRUE),"",B31*[2]BOD!H30*8.34)</f>
        <v>130202.48361891053</v>
      </c>
      <c r="M31" s="699" t="str">
        <f>IF(OR(E31="",E31=0,[2]BOD!L30="",ISTEXT([2]BOD!L30)=TRUE),"",E31*[2]BOD!L30*8.34)</f>
        <v/>
      </c>
      <c r="N31" s="709" t="str">
        <f>IF(OR(D31="",K31="",ISTEXT(K31)=TRUE),"",D31*[2]BOD!K30*8.34)</f>
        <v/>
      </c>
      <c r="O31" s="717">
        <f>IF([2]TSS!B30="","",[2]TSS!B30)</f>
        <v>620</v>
      </c>
      <c r="P31" s="702">
        <f>IF([2]TSS!C30="","",[2]TSS!C30)</f>
        <v>530</v>
      </c>
      <c r="Q31" s="699">
        <f>IF([2]TSS!D30="","",[2]TSS!D30)</f>
        <v>120</v>
      </c>
      <c r="R31" s="699">
        <f>IF([2]TSS!E30="","",[2]TSS!E30)</f>
        <v>12</v>
      </c>
      <c r="S31" s="716" t="str">
        <f>IF([2]TSS!F30="","",[2]TSS!F30)</f>
        <v/>
      </c>
      <c r="T31" s="708">
        <f>IF(OR(B31="",O31="",ISTEXT(O31)=TRUE),"",B31*[2]TSS!H30*8.34)</f>
        <v>281273.65799207153</v>
      </c>
      <c r="U31" s="699" t="str">
        <f>IF(OR(E31="",E31=0,R31="",[2]TSS!L30=""),"",E31*[2]TSS!L30*8.34)</f>
        <v/>
      </c>
      <c r="V31" s="709">
        <f>IF(OR(B31="",R31="",ISTEXT(R31)=TRUE),"",B31*[2]TSS!K30*8.34)</f>
        <v>5444.0062837175128</v>
      </c>
      <c r="W31" s="720">
        <f>IF(ISERROR((([2]BOD!H30-[2]BOD!J30))/[2]BOD!H30*100),"",(([2]BOD!H30-[2]BOD!J30))/[2]BOD!H30*100)</f>
        <v>34.494773519163765</v>
      </c>
      <c r="X31" s="699" t="str">
        <f>IF(ISERROR(IF(OR(G31="",K31=""),"",(([2]BOD!H30-[2]BOD!K30))/[2]BOD!H30*100)),"",IF(OR(G31="",K31=""),"",(([2]BOD!H30-[2]BOD!K30))/[2]BOD!H30*100))</f>
        <v/>
      </c>
      <c r="Y31" s="699">
        <f>IF(OR(O31="",Q31="",ISTEXT(O31)=TRUE,ISTEXT(Q31)=TRUE),"",(([2]TSS!H30-[2]TSS!J30))/[2]TSS!H30*100)</f>
        <v>80.645161290322577</v>
      </c>
      <c r="Z31" s="709">
        <f>IF(OR(O31="",R31="",ISTEXT(O31)=TRUE,ISTEXT(R31)=TRUE),"",(([2]TSS!H30-[2]TSS!K30))/[2]TSS!H30*100)</f>
        <v>98.064516129032256</v>
      </c>
      <c r="AC31" s="80" t="s">
        <v>689</v>
      </c>
      <c r="AD31" s="80" t="s">
        <v>120</v>
      </c>
      <c r="AE31" s="80" t="s">
        <v>182</v>
      </c>
    </row>
    <row r="32" spans="1:32" ht="21.95" customHeight="1" x14ac:dyDescent="0.3">
      <c r="A32" s="736">
        <v>28</v>
      </c>
      <c r="B32" s="734">
        <f>IF('[1]Plant Data'!I31="","",'[1]Plant Data'!I31)</f>
        <v>57.059523986111081</v>
      </c>
      <c r="C32" s="699">
        <f>IF('[1]Plant Data'!P31="","",'[1]Plant Data'!P31+'[1]Plant Data'!$N$4)</f>
        <v>59.851944263888974</v>
      </c>
      <c r="D32" s="699">
        <f>'dmr 1'!D37</f>
        <v>59.851944263888974</v>
      </c>
      <c r="E32" s="699" t="str">
        <f>'dmr 1'!E37</f>
        <v/>
      </c>
      <c r="F32" s="714" t="str">
        <f>'dmr 1'!I37</f>
        <v>T</v>
      </c>
      <c r="G32" s="712">
        <f>IF([2]BOD!B31="","",[2]BOD!B31)</f>
        <v>284</v>
      </c>
      <c r="H32" s="699">
        <f>IF([2]BOD!C31="","",[2]BOD!C31)</f>
        <v>294</v>
      </c>
      <c r="I32" s="700">
        <f>IF([2]BOD!D31="","",[2]BOD!D31)</f>
        <v>184</v>
      </c>
      <c r="J32" s="699">
        <f>IF([2]BOD!E31="","",[2]BOD!E31)</f>
        <v>8</v>
      </c>
      <c r="K32" s="716" t="str">
        <f>IF([2]BOD!F31="","",[2]BOD!F31)</f>
        <v/>
      </c>
      <c r="L32" s="708">
        <f>IF(OR(B32="",G32="",ISTEXT(G32)=TRUE),"",B32*[2]BOD!H31*8.34)</f>
        <v>135148.90613254326</v>
      </c>
      <c r="M32" s="699" t="str">
        <f>IF(OR(E32="",E32=0,[2]BOD!L31="",ISTEXT([2]BOD!L31)=TRUE),"",E32*[2]BOD!L31*8.34)</f>
        <v/>
      </c>
      <c r="N32" s="709" t="str">
        <f>IF(OR(D32="",K32="",ISTEXT(K32)=TRUE),"",D32*[2]BOD!K31*8.34)</f>
        <v/>
      </c>
      <c r="O32" s="717">
        <f>IF([2]TSS!B31="","",[2]TSS!B31)</f>
        <v>332</v>
      </c>
      <c r="P32" s="702">
        <f>IF([2]TSS!C31="","",[2]TSS!C31)</f>
        <v>315</v>
      </c>
      <c r="Q32" s="699">
        <f>IF([2]TSS!D31="","",[2]TSS!D31)</f>
        <v>84</v>
      </c>
      <c r="R32" s="699">
        <f>IF([2]TSS!E31="","",[2]TSS!E31)</f>
        <v>16</v>
      </c>
      <c r="S32" s="716" t="str">
        <f>IF([2]TSS!F31="","",[2]TSS!F31)</f>
        <v/>
      </c>
      <c r="T32" s="708">
        <f>IF(OR(B32="",O32="",ISTEXT(O32)=TRUE),"",B32*[2]TSS!H31*8.34)</f>
        <v>157990.97477466325</v>
      </c>
      <c r="U32" s="699" t="str">
        <f>IF(OR(E32="",E32=0,R32="",[2]TSS!L31=""),"",E32*[2]TSS!L31*8.34)</f>
        <v/>
      </c>
      <c r="V32" s="709">
        <f>IF(OR(B32="",R32="",ISTEXT(R32)=TRUE),"",B32*[2]TSS!K31*8.34)</f>
        <v>7614.0228807066624</v>
      </c>
      <c r="W32" s="720">
        <f>IF(ISERROR((([2]BOD!H31-[2]BOD!J31))/[2]BOD!H31*100),"",(([2]BOD!H31-[2]BOD!J31))/[2]BOD!H31*100)</f>
        <v>35.2112676056338</v>
      </c>
      <c r="X32" s="699" t="str">
        <f>IF(ISERROR(IF(OR(G32="",K32=""),"",(([2]BOD!H31-[2]BOD!K31))/[2]BOD!H31*100)),"",IF(OR(G32="",K32=""),"",(([2]BOD!H31-[2]BOD!K31))/[2]BOD!H31*100))</f>
        <v/>
      </c>
      <c r="Y32" s="699">
        <f>IF(OR(O32="",Q32="",ISTEXT(O32)=TRUE,ISTEXT(Q32)=TRUE),"",(([2]TSS!H31-[2]TSS!J31))/[2]TSS!H31*100)</f>
        <v>74.698795180722882</v>
      </c>
      <c r="Z32" s="709">
        <f>IF(OR(O32="",R32="",ISTEXT(O32)=TRUE,ISTEXT(R32)=TRUE),"",(([2]TSS!H31-[2]TSS!K31))/[2]TSS!H31*100)</f>
        <v>95.180722891566262</v>
      </c>
      <c r="AC32" s="80" t="s">
        <v>690</v>
      </c>
      <c r="AD32" s="80" t="s">
        <v>604</v>
      </c>
      <c r="AE32" s="80" t="s">
        <v>183</v>
      </c>
    </row>
    <row r="33" spans="1:31" ht="21.95" customHeight="1" x14ac:dyDescent="0.3">
      <c r="A33" s="736">
        <v>29</v>
      </c>
      <c r="B33" s="734">
        <f>IF('[1]Plant Data'!I32="","",'[1]Plant Data'!I32)</f>
        <v>57.059591881944492</v>
      </c>
      <c r="C33" s="699">
        <f>IF('[1]Plant Data'!P32="","",'[1]Plant Data'!P32+'[1]Plant Data'!$N$4)</f>
        <v>60.076876986111102</v>
      </c>
      <c r="D33" s="699">
        <f>'dmr 1'!D38</f>
        <v>60.076876986111102</v>
      </c>
      <c r="E33" s="699" t="str">
        <f>'dmr 1'!E38</f>
        <v/>
      </c>
      <c r="F33" s="714">
        <f>'dmr 1'!I38</f>
        <v>0</v>
      </c>
      <c r="G33" s="712">
        <f>IF([2]BOD!B32="","",[2]BOD!B32)</f>
        <v>282</v>
      </c>
      <c r="H33" s="699">
        <f>IF([2]BOD!C32="","",[2]BOD!C32)</f>
        <v>331</v>
      </c>
      <c r="I33" s="700">
        <f>IF([2]BOD!D32="","",[2]BOD!D32)</f>
        <v>187</v>
      </c>
      <c r="J33" s="699">
        <f>IF([2]BOD!E32="","",[2]BOD!E32)</f>
        <v>13</v>
      </c>
      <c r="K33" s="716" t="str">
        <f>IF([2]BOD!F32="","",[2]BOD!F32)</f>
        <v/>
      </c>
      <c r="L33" s="708">
        <f>IF(OR(B33="",G33="",ISTEXT(G33)=TRUE),"",B33*[2]BOD!H32*8.34)</f>
        <v>134197.3129553076</v>
      </c>
      <c r="M33" s="699" t="str">
        <f>IF(OR(E33="",E33=0,[2]BOD!L32="",ISTEXT([2]BOD!L32)=TRUE),"",E33*[2]BOD!L32*8.34)</f>
        <v/>
      </c>
      <c r="N33" s="709" t="str">
        <f>IF(OR(D33="",K33="",ISTEXT(K33)=TRUE),"",D33*[2]BOD!K32*8.34)</f>
        <v/>
      </c>
      <c r="O33" s="717">
        <f>IF([2]TSS!B32="","",[2]TSS!B32)</f>
        <v>258</v>
      </c>
      <c r="P33" s="702">
        <f>IF([2]TSS!C32="","",[2]TSS!C32)</f>
        <v>265</v>
      </c>
      <c r="Q33" s="699">
        <f>IF([2]TSS!D32="","",[2]TSS!D32)</f>
        <v>89</v>
      </c>
      <c r="R33" s="699">
        <f>IF([2]TSS!E32="","",[2]TSS!E32)</f>
        <v>18</v>
      </c>
      <c r="S33" s="716" t="str">
        <f>IF([2]TSS!F32="","",[2]TSS!F32)</f>
        <v/>
      </c>
      <c r="T33" s="708">
        <f>IF(OR(B33="",O33="",ISTEXT(O33)=TRUE),"",B33*[2]TSS!H32*8.34)</f>
        <v>122776.26504421759</v>
      </c>
      <c r="U33" s="699" t="str">
        <f>IF(OR(E33="",E33=0,R33="",[2]TSS!L32=""),"",E33*[2]TSS!L32*8.34)</f>
        <v/>
      </c>
      <c r="V33" s="709">
        <f>IF(OR(B33="",R33="",ISTEXT(R33)=TRUE),"",B33*[2]TSS!K32*8.34)</f>
        <v>8565.7859333175074</v>
      </c>
      <c r="W33" s="720">
        <f>IF(ISERROR((([2]BOD!H32-[2]BOD!J32))/[2]BOD!H32*100),"",(([2]BOD!H32-[2]BOD!J32))/[2]BOD!H32*100)</f>
        <v>33.687943262411345</v>
      </c>
      <c r="X33" s="699" t="str">
        <f>IF(ISERROR(IF(OR(G33="",K33=""),"",(([2]BOD!H32-[2]BOD!K32))/[2]BOD!H32*100)),"",IF(OR(G33="",K33=""),"",(([2]BOD!H32-[2]BOD!K32))/[2]BOD!H32*100))</f>
        <v/>
      </c>
      <c r="Y33" s="699">
        <f>IF(OR(O33="",Q33="",ISTEXT(O33)=TRUE,ISTEXT(Q33)=TRUE),"",(([2]TSS!H32-[2]TSS!J32))/[2]TSS!H32*100)</f>
        <v>65.503875968992247</v>
      </c>
      <c r="Z33" s="709">
        <f>IF(OR(O33="",R33="",ISTEXT(O33)=TRUE,ISTEXT(R33)=TRUE),"",(([2]TSS!H32-[2]TSS!K32))/[2]TSS!H32*100)</f>
        <v>93.023255813953483</v>
      </c>
      <c r="AC33" s="80" t="s">
        <v>695</v>
      </c>
      <c r="AD33" s="80" t="s">
        <v>132</v>
      </c>
      <c r="AE33" s="80"/>
    </row>
    <row r="34" spans="1:31" ht="20.25" customHeight="1" x14ac:dyDescent="0.3">
      <c r="A34" s="736">
        <v>30</v>
      </c>
      <c r="B34" s="734">
        <f>IF('[1]Plant Data'!I33="","",'[1]Plant Data'!I33)</f>
        <v>56.59560693749998</v>
      </c>
      <c r="C34" s="699">
        <f>IF('[1]Plant Data'!P33="","",'[1]Plant Data'!P33+'[1]Plant Data'!$N$4)</f>
        <v>59.790066093749893</v>
      </c>
      <c r="D34" s="699">
        <f>'dmr 1'!D39</f>
        <v>59.790066093749893</v>
      </c>
      <c r="E34" s="699" t="str">
        <f>'dmr 1'!E39</f>
        <v/>
      </c>
      <c r="F34" s="714">
        <f>'dmr 1'!I39</f>
        <v>0</v>
      </c>
      <c r="G34" s="712">
        <f>IF([2]BOD!B33="","",[2]BOD!B33)</f>
        <v>323</v>
      </c>
      <c r="H34" s="699">
        <f>IF([2]BOD!C33="","",[2]BOD!C33)</f>
        <v>341</v>
      </c>
      <c r="I34" s="700">
        <f>IF([2]BOD!D33="","",[2]BOD!D33)</f>
        <v>216</v>
      </c>
      <c r="J34" s="699">
        <f>IF([2]BOD!E33="","",[2]BOD!E33)</f>
        <v>14</v>
      </c>
      <c r="K34" s="716" t="str">
        <f>IF([2]BOD!F33="","",[2]BOD!F33)</f>
        <v/>
      </c>
      <c r="L34" s="708">
        <f>IF(OR(B34="",G34="",ISTEXT(G34)=TRUE),"",B34*[2]BOD!H33*8.34)</f>
        <v>152458.37788037618</v>
      </c>
      <c r="M34" s="699" t="str">
        <f>IF(OR(E34="",E34=0,[2]BOD!L33="",ISTEXT([2]BOD!L33)=TRUE),"",E34*[2]BOD!L33*8.34)</f>
        <v/>
      </c>
      <c r="N34" s="709" t="str">
        <f>IF(OR(D34="",K34="",ISTEXT(K34)=TRUE),"",D34*[2]BOD!K33*8.34)</f>
        <v/>
      </c>
      <c r="O34" s="717">
        <f>IF([2]TSS!B33="","",[2]TSS!B33)</f>
        <v>495</v>
      </c>
      <c r="P34" s="702">
        <f>IF([2]TSS!C33="","",[2]TSS!C33)</f>
        <v>405</v>
      </c>
      <c r="Q34" s="699">
        <f>IF([2]TSS!D33="","",[2]TSS!D33)</f>
        <v>120</v>
      </c>
      <c r="R34" s="699">
        <f>IF([2]TSS!E33="","",[2]TSS!E33)</f>
        <v>18</v>
      </c>
      <c r="S34" s="716" t="str">
        <f>IF([2]TSS!F33="","",[2]TSS!F33)</f>
        <v/>
      </c>
      <c r="T34" s="708">
        <f>IF(OR(B34="",O34="",ISTEXT(O34)=TRUE),"",B34*[2]TSS!H33*8.34)</f>
        <v>233643.64412008118</v>
      </c>
      <c r="U34" s="699" t="str">
        <f>IF(OR(E34="",E34=0,R34="",[2]TSS!L33=""),"",E34*[2]TSS!L33*8.34)</f>
        <v/>
      </c>
      <c r="V34" s="709">
        <f>IF(OR(B34="",R34="",ISTEXT(R34)=TRUE),"",B34*[2]TSS!K33*8.34)</f>
        <v>8496.1325134574963</v>
      </c>
      <c r="W34" s="720">
        <f>IF(ISERROR((([2]BOD!H33-[2]BOD!J33))/[2]BOD!H33*100),"",(([2]BOD!H33-[2]BOD!J33))/[2]BOD!H33*100)</f>
        <v>33.126934984520126</v>
      </c>
      <c r="X34" s="699" t="str">
        <f>IF(ISERROR(IF(OR(G34="",K34=""),"",(([2]BOD!H33-[2]BOD!K33))/[2]BOD!H33*100)),"",IF(OR(G34="",K34=""),"",(([2]BOD!H33-[2]BOD!K33))/[2]BOD!H33*100))</f>
        <v/>
      </c>
      <c r="Y34" s="699">
        <f>IF(OR(O34="",Q34="",ISTEXT(O34)=TRUE,ISTEXT(Q34)=TRUE),"",(([2]TSS!H33-[2]TSS!J33))/[2]TSS!H33*100)</f>
        <v>75.757575757575751</v>
      </c>
      <c r="Z34" s="709">
        <f>IF(OR(O34="",R34="",ISTEXT(O34)=TRUE,ISTEXT(R34)=TRUE),"",(([2]TSS!H33-[2]TSS!K33))/[2]TSS!H33*100)</f>
        <v>96.36363636363636</v>
      </c>
      <c r="AC34" s="80" t="s">
        <v>697</v>
      </c>
      <c r="AD34" s="80" t="s">
        <v>138</v>
      </c>
      <c r="AE34" s="80"/>
    </row>
    <row r="35" spans="1:31" ht="21.95" customHeight="1" thickBot="1" x14ac:dyDescent="0.35">
      <c r="A35" s="736">
        <v>31</v>
      </c>
      <c r="B35" s="734">
        <f>IF('[1]Plant Data'!I34="","",'[1]Plant Data'!I34)</f>
        <v>53.782902565972272</v>
      </c>
      <c r="C35" s="699">
        <f>IF('[1]Plant Data'!P34="","",'[1]Plant Data'!P34+'[1]Plant Data'!$N$4)</f>
        <v>58.533987722222193</v>
      </c>
      <c r="D35" s="699">
        <f>'dmr 1'!D40</f>
        <v>58.533987722222193</v>
      </c>
      <c r="E35" s="699" t="str">
        <f>'dmr 1'!E40</f>
        <v/>
      </c>
      <c r="F35" s="714">
        <f>'dmr 1'!I40</f>
        <v>0</v>
      </c>
      <c r="G35" s="712">
        <f>IF([2]BOD!B34="","",[2]BOD!B34)</f>
        <v>405</v>
      </c>
      <c r="H35" s="699">
        <f>IF([2]BOD!C34="","",[2]BOD!C34)</f>
        <v>440</v>
      </c>
      <c r="I35" s="700">
        <f>IF([2]BOD!D34="","",[2]BOD!D34)</f>
        <v>278</v>
      </c>
      <c r="J35" s="699">
        <f>IF([2]BOD!E34="","",[2]BOD!E34)</f>
        <v>14</v>
      </c>
      <c r="K35" s="716" t="str">
        <f>IF([2]BOD!F34="","",[2]BOD!F34)</f>
        <v/>
      </c>
      <c r="L35" s="708">
        <f>IF(OR(B35="",G35="",ISTEXT(G35)=TRUE),"",B35*[2]BOD!H34*8.34)</f>
        <v>181662.50999708456</v>
      </c>
      <c r="M35" s="699" t="str">
        <f>IF(OR(E35="",E35=0,[2]BOD!L34="",ISTEXT([2]BOD!L34)=TRUE),"",E35*[2]BOD!L34*8.34)</f>
        <v/>
      </c>
      <c r="N35" s="709" t="str">
        <f>IF(OR(D35="",K35="",ISTEXT(K35)=TRUE),"",D35*[2]BOD!K34*8.34)</f>
        <v/>
      </c>
      <c r="O35" s="717">
        <f>IF([2]TSS!B34="","",[2]TSS!B34)</f>
        <v>278</v>
      </c>
      <c r="P35" s="702">
        <f>IF([2]TSS!C34="","",[2]TSS!C34)</f>
        <v>365</v>
      </c>
      <c r="Q35" s="699">
        <f>IF([2]TSS!D34="","",[2]TSS!D34)</f>
        <v>91</v>
      </c>
      <c r="R35" s="699">
        <f>IF([2]TSS!E34="","",[2]TSS!E34)</f>
        <v>18</v>
      </c>
      <c r="S35" s="716" t="str">
        <f>IF([2]TSS!F34="","",[2]TSS!F34)</f>
        <v/>
      </c>
      <c r="T35" s="708">
        <f>IF(OR(B35="",O35="",ISTEXT(O35)=TRUE),"",B35*[2]TSS!H34*8.34)</f>
        <v>124696.73525725803</v>
      </c>
      <c r="U35" s="699" t="str">
        <f>IF(OR(E35="",E35=0,R35="",[2]TSS!L34=""),"",E35*[2]TSS!L34*8.34)</f>
        <v/>
      </c>
      <c r="V35" s="709">
        <f>IF(OR(B35="",R35="",ISTEXT(R35)=TRUE),"",B35*[2]TSS!K34*8.34)</f>
        <v>8073.8893332037578</v>
      </c>
      <c r="W35" s="720">
        <f>IF(ISERROR((([2]BOD!H34-[2]BOD!J34))/[2]BOD!H34*100),"",(([2]BOD!H34-[2]BOD!J34))/[2]BOD!H34*100)</f>
        <v>31.358024691358029</v>
      </c>
      <c r="X35" s="699" t="str">
        <f>IF(ISERROR(IF(OR(G35="",K35=""),"",(([2]BOD!H34-[2]BOD!K34))/[2]BOD!H34*100)),"",IF(OR(G35="",K35=""),"",(([2]BOD!H34-[2]BOD!K34))/[2]BOD!H34*100))</f>
        <v/>
      </c>
      <c r="Y35" s="699">
        <f>IF(OR(O35="",Q35="",ISTEXT(O35)=TRUE,ISTEXT(Q35)=TRUE),"",(([2]TSS!H34-[2]TSS!J34))/[2]TSS!H34*100)</f>
        <v>67.266187050359719</v>
      </c>
      <c r="Z35" s="709">
        <f>IF(OR(O35="",R35="",ISTEXT(O35)=TRUE,ISTEXT(R35)=TRUE),"",(([2]TSS!H34-[2]TSS!K34))/[2]TSS!H34*100)</f>
        <v>93.525179856115102</v>
      </c>
      <c r="AC35" s="80" t="s">
        <v>691</v>
      </c>
      <c r="AD35" s="80" t="s">
        <v>144</v>
      </c>
      <c r="AE35" s="80"/>
    </row>
    <row r="36" spans="1:31" ht="21.75" customHeight="1" x14ac:dyDescent="0.3">
      <c r="A36" s="735" t="s">
        <v>539</v>
      </c>
      <c r="B36" s="739">
        <f t="shared" ref="B36:G36" si="0">MAX(B5:B35)</f>
        <v>188.44385234840274</v>
      </c>
      <c r="C36" s="740">
        <f t="shared" si="0"/>
        <v>115.88933301736117</v>
      </c>
      <c r="D36" s="740">
        <f t="shared" si="0"/>
        <v>115.88933301736117</v>
      </c>
      <c r="E36" s="740">
        <f>IF(MAX(E5:E35)=0,"",MAX(E5:E35))</f>
        <v>78.028830916666735</v>
      </c>
      <c r="F36" s="762">
        <f t="shared" si="0"/>
        <v>1.1499999999999999</v>
      </c>
      <c r="G36" s="754">
        <f t="shared" si="0"/>
        <v>405</v>
      </c>
      <c r="H36" s="740"/>
      <c r="I36" s="740">
        <f>MAX(I5:I35)</f>
        <v>278</v>
      </c>
      <c r="J36" s="740"/>
      <c r="K36" s="756">
        <f t="shared" ref="K36:Q36" si="1">MAX(K5:K35)</f>
        <v>69</v>
      </c>
      <c r="L36" s="739">
        <f t="shared" si="1"/>
        <v>197054.64732869991</v>
      </c>
      <c r="M36" s="740">
        <f t="shared" si="1"/>
        <v>24078.136644265021</v>
      </c>
      <c r="N36" s="743">
        <f t="shared" si="1"/>
        <v>15464.272597836674</v>
      </c>
      <c r="O36" s="759">
        <f t="shared" si="1"/>
        <v>620</v>
      </c>
      <c r="P36" s="742">
        <f t="shared" si="1"/>
        <v>530</v>
      </c>
      <c r="Q36" s="740">
        <f t="shared" si="1"/>
        <v>130</v>
      </c>
      <c r="R36" s="742">
        <f t="shared" ref="R36:Z36" si="2">MAX(R5:R35)</f>
        <v>35</v>
      </c>
      <c r="S36" s="751">
        <f>MAX(S5:S35)</f>
        <v>40</v>
      </c>
      <c r="T36" s="739">
        <f t="shared" si="2"/>
        <v>332570.11858033738</v>
      </c>
      <c r="U36" s="740">
        <f>MAX(U5:U35)</f>
        <v>24078.136644265021</v>
      </c>
      <c r="V36" s="743">
        <f t="shared" si="2"/>
        <v>55006.760500498764</v>
      </c>
      <c r="W36" s="754">
        <f t="shared" si="2"/>
        <v>51.111111111111107</v>
      </c>
      <c r="X36" s="740">
        <f t="shared" si="2"/>
        <v>95</v>
      </c>
      <c r="Y36" s="740">
        <f t="shared" si="2"/>
        <v>83.935742971887549</v>
      </c>
      <c r="Z36" s="743">
        <f t="shared" si="2"/>
        <v>98.064516129032256</v>
      </c>
      <c r="AC36" s="80" t="s">
        <v>692</v>
      </c>
      <c r="AD36" s="80" t="s">
        <v>148</v>
      </c>
      <c r="AE36" s="80"/>
    </row>
    <row r="37" spans="1:31" ht="21.95" customHeight="1" x14ac:dyDescent="0.3">
      <c r="A37" s="736" t="s">
        <v>590</v>
      </c>
      <c r="B37" s="744">
        <f t="shared" ref="B37:G37" si="3">MIN(B5:B35)</f>
        <v>53.210505878472226</v>
      </c>
      <c r="C37" s="730">
        <f t="shared" si="3"/>
        <v>56.689736284722244</v>
      </c>
      <c r="D37" s="730">
        <f t="shared" si="3"/>
        <v>56.689736284722244</v>
      </c>
      <c r="E37" s="730">
        <f>IF(MIN(E5:E35)=0,"",MIN(E5:E35))</f>
        <v>2.4465956458333338</v>
      </c>
      <c r="F37" s="763">
        <f t="shared" si="3"/>
        <v>0</v>
      </c>
      <c r="G37" s="738">
        <f t="shared" si="3"/>
        <v>95</v>
      </c>
      <c r="H37" s="730"/>
      <c r="I37" s="730">
        <f>MIN(I5:I35)</f>
        <v>70</v>
      </c>
      <c r="J37" s="730"/>
      <c r="K37" s="757">
        <f t="shared" ref="K37:Q37" si="4">MIN(K5:K35)</f>
        <v>35</v>
      </c>
      <c r="L37" s="744">
        <f t="shared" si="4"/>
        <v>87423.796948212286</v>
      </c>
      <c r="M37" s="730">
        <f t="shared" si="4"/>
        <v>714.1612690187502</v>
      </c>
      <c r="N37" s="745">
        <f t="shared" si="4"/>
        <v>6441.6182695462439</v>
      </c>
      <c r="O37" s="760">
        <f t="shared" si="4"/>
        <v>120</v>
      </c>
      <c r="P37" s="732">
        <f t="shared" si="4"/>
        <v>140</v>
      </c>
      <c r="Q37" s="730">
        <f t="shared" si="4"/>
        <v>43</v>
      </c>
      <c r="R37" s="732">
        <f t="shared" ref="R37:Z37" si="5">MIN(R5:R35)</f>
        <v>8</v>
      </c>
      <c r="S37" s="752">
        <f>MIN(S5:S35)</f>
        <v>14</v>
      </c>
      <c r="T37" s="744">
        <f t="shared" si="5"/>
        <v>59937.550649518751</v>
      </c>
      <c r="U37" s="730">
        <f>MIN(U5:U35)</f>
        <v>285.66450760750007</v>
      </c>
      <c r="V37" s="745">
        <f t="shared" si="5"/>
        <v>3758.2371219718843</v>
      </c>
      <c r="W37" s="738">
        <f t="shared" si="5"/>
        <v>-15.789473684210526</v>
      </c>
      <c r="X37" s="730">
        <f t="shared" si="5"/>
        <v>83.15789473684211</v>
      </c>
      <c r="Y37" s="730">
        <f t="shared" si="5"/>
        <v>33.333333333333329</v>
      </c>
      <c r="Z37" s="745">
        <f t="shared" si="5"/>
        <v>70.833333333333343</v>
      </c>
      <c r="AC37" s="80" t="s">
        <v>693</v>
      </c>
      <c r="AD37" s="80" t="s">
        <v>153</v>
      </c>
      <c r="AE37" s="80"/>
    </row>
    <row r="38" spans="1:31" ht="21.95" hidden="1" customHeight="1" thickTop="1" thickBot="1" x14ac:dyDescent="0.35">
      <c r="A38" s="736" t="s">
        <v>591</v>
      </c>
      <c r="B38" s="744">
        <f t="shared" ref="B38:G38" si="6">STDEV(B5:B35)</f>
        <v>32.01068108040127</v>
      </c>
      <c r="C38" s="730">
        <f t="shared" si="6"/>
        <v>15.971398656332072</v>
      </c>
      <c r="D38" s="730">
        <f t="shared" si="6"/>
        <v>15.971398656332072</v>
      </c>
      <c r="E38" s="730">
        <f t="shared" si="6"/>
        <v>27.644298681928827</v>
      </c>
      <c r="F38" s="763">
        <f t="shared" si="6"/>
        <v>0.24086685151099749</v>
      </c>
      <c r="G38" s="738">
        <f t="shared" si="6"/>
        <v>68.52769630806452</v>
      </c>
      <c r="H38" s="730"/>
      <c r="I38" s="730">
        <f>STDEV(I5:I35)</f>
        <v>41.250897676775296</v>
      </c>
      <c r="J38" s="730"/>
      <c r="K38" s="757">
        <f t="shared" ref="K38:Q38" si="7">STDEV(K5:K35)</f>
        <v>15.280706789936126</v>
      </c>
      <c r="L38" s="744">
        <f t="shared" si="7"/>
        <v>24863.449771228607</v>
      </c>
      <c r="M38" s="730">
        <f t="shared" ref="M38" si="8">STDEV(M5:M35)</f>
        <v>8162.4006296878488</v>
      </c>
      <c r="N38" s="745">
        <f t="shared" si="7"/>
        <v>3250.246516182483</v>
      </c>
      <c r="O38" s="760">
        <f t="shared" si="7"/>
        <v>127.62316842282033</v>
      </c>
      <c r="P38" s="732">
        <f t="shared" ref="P38" si="9">STDEV(P5:P35)</f>
        <v>90.064194549137852</v>
      </c>
      <c r="Q38" s="730">
        <f t="shared" si="7"/>
        <v>21.324779871293853</v>
      </c>
      <c r="R38" s="732">
        <f t="shared" ref="R38:Z38" si="10">STDEV(R5:R35)</f>
        <v>5.2400443238706522</v>
      </c>
      <c r="S38" s="752">
        <f t="shared" si="10"/>
        <v>9.7296796795509461</v>
      </c>
      <c r="T38" s="744">
        <f t="shared" si="10"/>
        <v>64126.824220919705</v>
      </c>
      <c r="U38" s="730">
        <f t="shared" si="10"/>
        <v>8534.203354216299</v>
      </c>
      <c r="V38" s="745">
        <f t="shared" si="10"/>
        <v>9138.8003776886981</v>
      </c>
      <c r="W38" s="738">
        <f t="shared" si="10"/>
        <v>12.674805411641056</v>
      </c>
      <c r="X38" s="730">
        <f t="shared" si="10"/>
        <v>4.2800921031344519</v>
      </c>
      <c r="Y38" s="730">
        <f t="shared" si="10"/>
        <v>10.655269077412695</v>
      </c>
      <c r="Z38" s="745">
        <f t="shared" si="10"/>
        <v>5.2351759040704984</v>
      </c>
      <c r="AC38" s="80" t="s">
        <v>698</v>
      </c>
      <c r="AD38" s="80" t="s">
        <v>156</v>
      </c>
      <c r="AE38" s="80"/>
    </row>
    <row r="39" spans="1:31" ht="21.95" customHeight="1" x14ac:dyDescent="0.3">
      <c r="A39" s="736" t="s">
        <v>592</v>
      </c>
      <c r="B39" s="744">
        <f>SUM(B5:B35)</f>
        <v>2288.2505616010644</v>
      </c>
      <c r="C39" s="730">
        <f>SUM(C5:C35)</f>
        <v>2209.3909406458338</v>
      </c>
      <c r="D39" s="730">
        <f>SUM(D5:D35)</f>
        <v>2209.3909406458338</v>
      </c>
      <c r="E39" s="730">
        <f>IF(SUM(E5:E35)=0,"",SUM(E5:E35))</f>
        <v>197.00199731250007</v>
      </c>
      <c r="F39" s="763">
        <f>SUM(F5:F35)</f>
        <v>3.4630235548764956</v>
      </c>
      <c r="G39" s="738"/>
      <c r="H39" s="730"/>
      <c r="I39" s="730"/>
      <c r="J39" s="730"/>
      <c r="K39" s="757"/>
      <c r="L39" s="744">
        <f>SUM(L5:L35)</f>
        <v>4253809.8280748436</v>
      </c>
      <c r="M39" s="730">
        <f>SUM(M5:M35)</f>
        <v>69207.382408851277</v>
      </c>
      <c r="N39" s="745">
        <f>SUM(N5:N35)</f>
        <v>56186.92472437273</v>
      </c>
      <c r="O39" s="760"/>
      <c r="P39" s="732">
        <f>SUM(P5:P35)</f>
        <v>9124</v>
      </c>
      <c r="Q39" s="730"/>
      <c r="R39" s="732"/>
      <c r="S39" s="752">
        <f>SUM(S5:S35)</f>
        <v>166</v>
      </c>
      <c r="T39" s="744">
        <f>SUM(T5:T35)</f>
        <v>5443371.955238496</v>
      </c>
      <c r="U39" s="730">
        <f>SUM(U5:U35)</f>
        <v>50386.643113360435</v>
      </c>
      <c r="V39" s="745">
        <f>SUM(V5:V35)</f>
        <v>336233.92743173003</v>
      </c>
      <c r="W39" s="738"/>
      <c r="X39" s="730"/>
      <c r="Y39" s="730"/>
      <c r="Z39" s="745"/>
      <c r="AC39" s="80" t="s">
        <v>699</v>
      </c>
      <c r="AD39" s="80" t="s">
        <v>187</v>
      </c>
      <c r="AE39" s="80"/>
    </row>
    <row r="40" spans="1:31" ht="21.95" customHeight="1" thickBot="1" x14ac:dyDescent="0.35">
      <c r="A40" s="737" t="s">
        <v>538</v>
      </c>
      <c r="B40" s="746">
        <f>AVERAGE(B5:B35)</f>
        <v>73.814534245195631</v>
      </c>
      <c r="C40" s="747">
        <f>AVERAGE(C5:C35)</f>
        <v>71.270675504704315</v>
      </c>
      <c r="D40" s="747">
        <f>AVERAGE(D5:D35)</f>
        <v>71.270675504704315</v>
      </c>
      <c r="E40" s="748">
        <f>IF(ISERROR(AVERAGE(E5:E35)),"",AVERAGE(E5:E35))</f>
        <v>32.833666218750011</v>
      </c>
      <c r="F40" s="764">
        <f>IF(ISERROR(AVERAGE(F5:F35)),"0.00",AVERAGE(F5:F35))</f>
        <v>0.12367941267416056</v>
      </c>
      <c r="G40" s="755">
        <f>[2]BOD!$H$36</f>
        <v>244.38709677419354</v>
      </c>
      <c r="H40" s="747"/>
      <c r="I40" s="747">
        <f>[2]BOD!$J$36</f>
        <v>161.35483870967741</v>
      </c>
      <c r="J40" s="747"/>
      <c r="K40" s="758">
        <f>[2]BOD!$K$36</f>
        <v>10.870967741935484</v>
      </c>
      <c r="L40" s="746">
        <f>AVERAGE(L5:L35)</f>
        <v>137219.67187338206</v>
      </c>
      <c r="M40" s="747">
        <f>AVERAGE(M5:M35)</f>
        <v>11534.563734808546</v>
      </c>
      <c r="N40" s="750">
        <f>AVERAGE(N5:N35)</f>
        <v>9364.4874540621222</v>
      </c>
      <c r="O40" s="761">
        <f>[2]TSS!$H$36</f>
        <v>308.83870967741933</v>
      </c>
      <c r="P40" s="749">
        <f>AVERAGE(P5:P35)</f>
        <v>294.32258064516128</v>
      </c>
      <c r="Q40" s="747">
        <f>[2]TSS!$J$36</f>
        <v>82.290322580645167</v>
      </c>
      <c r="R40" s="749">
        <f>[2]TSS!$K$36</f>
        <v>16.516129032258064</v>
      </c>
      <c r="S40" s="753">
        <f>AVERAGE(S5:S35)</f>
        <v>27.666666666666668</v>
      </c>
      <c r="T40" s="746">
        <f>AVERAGE(T5:T35)</f>
        <v>175592.64371737084</v>
      </c>
      <c r="U40" s="747">
        <f>AVERAGE(U5:U35)</f>
        <v>8397.7738522267391</v>
      </c>
      <c r="V40" s="750">
        <f>AVERAGE(V5:V35)</f>
        <v>10846.255723604194</v>
      </c>
      <c r="W40" s="755">
        <f>AVERAGE(W5:W35)</f>
        <v>32.339086157790376</v>
      </c>
      <c r="X40" s="747">
        <f>'dmr 1'!$P$44</f>
        <v>95.551742344244985</v>
      </c>
      <c r="Y40" s="747">
        <f>AVERAGE(Y5:Y35)</f>
        <v>70.570047574561471</v>
      </c>
      <c r="Z40" s="750">
        <f>'dmr 1'!$U$44</f>
        <v>94.652182995613117</v>
      </c>
      <c r="AC40" s="80" t="s">
        <v>700</v>
      </c>
      <c r="AD40" s="80" t="s">
        <v>196</v>
      </c>
      <c r="AE40" s="80"/>
    </row>
    <row r="41" spans="1:31" ht="21.95" customHeight="1" x14ac:dyDescent="0.3">
      <c r="A41" s="223"/>
      <c r="B41" s="62"/>
      <c r="C41" s="72"/>
      <c r="D41" s="72"/>
      <c r="E41" s="61"/>
      <c r="F41" s="73"/>
      <c r="G41" s="679"/>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79"/>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55" zoomScaleNormal="60" zoomScaleSheetLayoutView="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91" t="s">
        <v>550</v>
      </c>
      <c r="B2" s="538" t="s">
        <v>509</v>
      </c>
      <c r="C2" s="537" t="s">
        <v>518</v>
      </c>
      <c r="D2" s="331" t="s">
        <v>598</v>
      </c>
      <c r="E2" s="332" t="s">
        <v>594</v>
      </c>
      <c r="F2" s="333" t="s">
        <v>587</v>
      </c>
      <c r="G2" s="333" t="s">
        <v>72</v>
      </c>
      <c r="H2" s="538" t="s">
        <v>518</v>
      </c>
      <c r="I2" s="334" t="s">
        <v>506</v>
      </c>
      <c r="J2" s="333" t="s">
        <v>587</v>
      </c>
      <c r="K2" s="538" t="s">
        <v>518</v>
      </c>
      <c r="L2" s="333" t="s">
        <v>506</v>
      </c>
      <c r="M2" s="333" t="s">
        <v>595</v>
      </c>
      <c r="N2" s="333"/>
      <c r="O2" s="333" t="s">
        <v>516</v>
      </c>
      <c r="P2" s="333" t="s">
        <v>516</v>
      </c>
      <c r="Q2" s="333" t="s">
        <v>39</v>
      </c>
      <c r="R2" s="333" t="s">
        <v>411</v>
      </c>
      <c r="S2" s="333" t="s">
        <v>596</v>
      </c>
      <c r="T2" s="333" t="s">
        <v>597</v>
      </c>
      <c r="U2" s="333" t="s">
        <v>418</v>
      </c>
      <c r="V2" s="333" t="s">
        <v>420</v>
      </c>
      <c r="W2" s="333" t="s">
        <v>421</v>
      </c>
      <c r="X2" s="333" t="s">
        <v>422</v>
      </c>
      <c r="Y2" s="335" t="s">
        <v>509</v>
      </c>
      <c r="AA2" t="s">
        <v>598</v>
      </c>
      <c r="AB2" t="s">
        <v>599</v>
      </c>
      <c r="AC2" t="s">
        <v>600</v>
      </c>
      <c r="AD2" t="s">
        <v>601</v>
      </c>
      <c r="AE2" t="s">
        <v>602</v>
      </c>
      <c r="AF2" t="s">
        <v>594</v>
      </c>
      <c r="AG2" t="s">
        <v>598</v>
      </c>
      <c r="AH2" s="1510"/>
      <c r="AI2" s="646"/>
    </row>
    <row r="3" spans="1:40" ht="20.25" x14ac:dyDescent="0.3">
      <c r="A3" s="793">
        <f>IF(date!B6="","",date!B6)</f>
        <v>43466</v>
      </c>
      <c r="B3" s="792" t="s">
        <v>284</v>
      </c>
      <c r="C3" s="539" t="s">
        <v>284</v>
      </c>
      <c r="D3" s="336" t="s">
        <v>417</v>
      </c>
      <c r="E3" s="337"/>
      <c r="F3" s="338" t="s">
        <v>584</v>
      </c>
      <c r="G3" s="338" t="s">
        <v>73</v>
      </c>
      <c r="H3" s="338" t="s">
        <v>735</v>
      </c>
      <c r="I3" s="338" t="s">
        <v>603</v>
      </c>
      <c r="J3" s="338" t="s">
        <v>584</v>
      </c>
      <c r="K3" s="338" t="s">
        <v>735</v>
      </c>
      <c r="L3" s="338" t="s">
        <v>603</v>
      </c>
      <c r="M3" s="338" t="s">
        <v>604</v>
      </c>
      <c r="N3" s="338"/>
      <c r="O3" s="339" t="s">
        <v>332</v>
      </c>
      <c r="P3" s="341" t="s">
        <v>36</v>
      </c>
      <c r="Q3" s="339" t="s">
        <v>332</v>
      </c>
      <c r="R3" s="338"/>
      <c r="S3" s="338"/>
      <c r="T3" s="338"/>
      <c r="U3" s="338" t="s">
        <v>419</v>
      </c>
      <c r="V3" s="338" t="s">
        <v>419</v>
      </c>
      <c r="W3" s="338" t="s">
        <v>589</v>
      </c>
      <c r="X3" s="338" t="s">
        <v>423</v>
      </c>
      <c r="Y3" s="340" t="s">
        <v>589</v>
      </c>
      <c r="AA3" s="547" t="s">
        <v>721</v>
      </c>
      <c r="AB3" t="s">
        <v>605</v>
      </c>
      <c r="AC3" t="s">
        <v>605</v>
      </c>
      <c r="AD3" t="s">
        <v>605</v>
      </c>
      <c r="AE3" t="s">
        <v>605</v>
      </c>
      <c r="AF3" t="s">
        <v>719</v>
      </c>
      <c r="AG3" t="s">
        <v>720</v>
      </c>
      <c r="AH3" s="646"/>
      <c r="AI3" s="646"/>
    </row>
    <row r="4" spans="1:40" ht="21" thickBot="1" x14ac:dyDescent="0.35">
      <c r="A4" s="794">
        <f>IF(date!B6="","",date!B6)</f>
        <v>43466</v>
      </c>
      <c r="B4" s="792" t="s">
        <v>481</v>
      </c>
      <c r="C4" s="539" t="s">
        <v>481</v>
      </c>
      <c r="D4" s="765" t="s">
        <v>802</v>
      </c>
      <c r="E4" s="337"/>
      <c r="F4" s="338" t="s">
        <v>606</v>
      </c>
      <c r="G4" s="338"/>
      <c r="H4" s="338" t="s">
        <v>485</v>
      </c>
      <c r="I4" s="338" t="s">
        <v>606</v>
      </c>
      <c r="J4" s="338" t="s">
        <v>483</v>
      </c>
      <c r="K4" s="338" t="s">
        <v>483</v>
      </c>
      <c r="L4" s="338" t="s">
        <v>483</v>
      </c>
      <c r="M4" s="338"/>
      <c r="N4" s="338"/>
      <c r="O4" s="341" t="s">
        <v>333</v>
      </c>
      <c r="P4" s="341" t="s">
        <v>38</v>
      </c>
      <c r="Q4" s="341" t="s">
        <v>333</v>
      </c>
      <c r="R4" s="338"/>
      <c r="S4" s="338"/>
      <c r="T4" s="338"/>
      <c r="U4" s="338"/>
      <c r="V4" s="338"/>
      <c r="W4" s="338"/>
      <c r="X4" s="338" t="s">
        <v>605</v>
      </c>
      <c r="Y4" s="340"/>
      <c r="AH4" s="629"/>
      <c r="AI4" s="646"/>
    </row>
    <row r="5" spans="1:40" ht="20.25" x14ac:dyDescent="0.3">
      <c r="A5" s="830">
        <v>1</v>
      </c>
      <c r="B5" s="718">
        <f>'dmr 1'!B10</f>
        <v>55.899334378472254</v>
      </c>
      <c r="C5" s="770">
        <f>'dmr 1'!D10</f>
        <v>58.754506888888827</v>
      </c>
      <c r="D5" s="771">
        <f>'[1]Process Lab'!$L3</f>
        <v>3.5482316576729556</v>
      </c>
      <c r="E5" s="772" t="e">
        <f>J5*#REF!*8.34/W5</f>
        <v>#REF!</v>
      </c>
      <c r="F5" s="704" t="e">
        <v>#REF!</v>
      </c>
      <c r="G5" s="704">
        <f>IF('[1]Plant Data'!R4="","",'[1]Plant Data'!R4)</f>
        <v>6.9219735899305492</v>
      </c>
      <c r="H5" s="704">
        <f>IF([2]TSS!E4="","",[2]TSS!E4)</f>
        <v>13</v>
      </c>
      <c r="I5" s="704"/>
      <c r="J5" s="704"/>
      <c r="K5" s="777">
        <f>IF([2]BOD!E4="","",[2]BOD!E4)</f>
        <v>13</v>
      </c>
      <c r="L5" s="776" t="e">
        <f t="shared" ref="L5:L6" si="0">(J5-K5)/J5*100</f>
        <v>#DIV/0!</v>
      </c>
      <c r="M5" s="704">
        <f>'[1]Process Lab'!AH3</f>
        <v>8</v>
      </c>
      <c r="N5" s="704"/>
      <c r="O5" s="704">
        <f>IF('[1]Plant Data'!AF4="","",'[1]Plant Data'!AF4)</f>
        <v>1779.656824305554</v>
      </c>
      <c r="P5" s="704">
        <f>IF('dmr 3'!F10="","",'dmr 3'!F10)</f>
        <v>1103.3872310694435</v>
      </c>
      <c r="Q5" s="1396">
        <f>IF('[1]Plant Data'!U4="","",'[1]Plant Data'!U4)</f>
        <v>0</v>
      </c>
      <c r="R5" s="718">
        <f>IF('[1]Process Lab'!K3="","",'[1]Process Lab'!K3)</f>
        <v>187.33333333333334</v>
      </c>
      <c r="S5" s="704">
        <f>IF('[1]Process Lab'!D3="","",'[1]Process Lab'!D3)</f>
        <v>1924</v>
      </c>
      <c r="T5" s="704">
        <f>IF('[1]Process Lab'!E3="","",'[1]Process Lab'!E3)</f>
        <v>476.66666666666669</v>
      </c>
      <c r="U5" s="704">
        <f>IF('[1]Process Lab'!AH3="","",'[1]Process Lab'!AH3)</f>
        <v>8</v>
      </c>
      <c r="V5" s="704">
        <f>IF('[1]Process Lab'!AI3="","",'[1]Process Lab'!AI3)</f>
        <v>8</v>
      </c>
      <c r="W5" s="773">
        <f t="shared" ref="W5:W6" si="1">IF(OR(S5="",U5="",S5=0,U5=0),"",S5*8.34*1.82*U5)</f>
        <v>233632.08960000001</v>
      </c>
      <c r="X5" s="774">
        <f>IF(OR(T5="",V5=""),"",T5*8.34*1.46*V5)</f>
        <v>46432.671999999999</v>
      </c>
      <c r="Y5" s="779">
        <f t="shared" ref="Y5:Y6" si="2">IF(OR(W5="",X5=""),"",W5+X5)</f>
        <v>280064.76160000003</v>
      </c>
      <c r="AA5" s="73">
        <f t="shared" ref="AA5:AA28" si="3">IF(OR(AB5="",AC5=""),"",AB5/AC5)</f>
        <v>2.7590816371380882</v>
      </c>
      <c r="AB5" s="72">
        <f t="shared" ref="AB5:AB35" si="4">IF(OR(W5="",X5=""),"",W5+X5)</f>
        <v>280064.76160000003</v>
      </c>
      <c r="AC5" s="72">
        <f t="shared" ref="AC5:AC35" si="5">IF(OR(AD5="",AE5=""),"",AD5+AE5)</f>
        <v>101506.51500493575</v>
      </c>
      <c r="AD5" s="72">
        <f>IF('WAS-TWAS'!C5="","",'WAS-TWAS'!C5)</f>
        <v>95136.351368042422</v>
      </c>
      <c r="AE5" s="72">
        <f>IF(OR(C5="",H5="",ISTEXT(C5)=TRUE,ISTEXT(H5)=TRUE),"",C5*8.34*H5)</f>
        <v>6370.1636368933268</v>
      </c>
      <c r="AF5" s="73"/>
      <c r="AG5" s="64">
        <f>IF(OR(W5="",AD5=""),"",W5/AD5)</f>
        <v>2.4557604558133197</v>
      </c>
      <c r="AH5" s="1511"/>
      <c r="AI5" s="1"/>
      <c r="AJ5" s="1"/>
    </row>
    <row r="6" spans="1:40" ht="20.25" x14ac:dyDescent="0.3">
      <c r="A6" s="831">
        <v>2</v>
      </c>
      <c r="B6" s="708">
        <f>'dmr 1'!B11</f>
        <v>56.550915771527805</v>
      </c>
      <c r="C6" s="766">
        <f>'dmr 1'!D11</f>
        <v>60.347685031250165</v>
      </c>
      <c r="D6" s="767">
        <f>'[1]Process Lab'!$L4</f>
        <v>3.3440456276742325</v>
      </c>
      <c r="E6" s="768" t="e">
        <f>J6*#REF!*8.34/W6</f>
        <v>#REF!</v>
      </c>
      <c r="F6" s="699" t="e">
        <v>#REF!</v>
      </c>
      <c r="G6" s="699">
        <f>IF('[1]Plant Data'!R5="","",'[1]Plant Data'!R5)</f>
        <v>6.5235838833333366</v>
      </c>
      <c r="H6" s="699">
        <f>IF([2]TSS!E5="","",[2]TSS!E5)</f>
        <v>12</v>
      </c>
      <c r="I6" s="699"/>
      <c r="J6" s="699"/>
      <c r="K6" s="778">
        <f>IF([2]BOD!E5="","",[2]BOD!E5)</f>
        <v>9</v>
      </c>
      <c r="L6" s="734" t="e">
        <f t="shared" si="0"/>
        <v>#DIV/0!</v>
      </c>
      <c r="M6" s="699">
        <f>'[1]Process Lab'!AH4</f>
        <v>8</v>
      </c>
      <c r="N6" s="699"/>
      <c r="O6" s="699">
        <f>IF('[1]Plant Data'!AF5="","",'[1]Plant Data'!AF5)</f>
        <v>1769.8562033194482</v>
      </c>
      <c r="P6" s="699">
        <f>IF('dmr 3'!F11="","",'dmr 3'!F11)</f>
        <v>1097.3108460580579</v>
      </c>
      <c r="Q6" s="1397">
        <f>IF('[1]Plant Data'!U5="","",'[1]Plant Data'!U5)</f>
        <v>0.33731540972222224</v>
      </c>
      <c r="R6" s="708">
        <f>IF('[1]Process Lab'!K4="","",'[1]Process Lab'!K4)</f>
        <v>179.33333333333334</v>
      </c>
      <c r="S6" s="699">
        <f>IF('[1]Process Lab'!D4="","",'[1]Process Lab'!D4)</f>
        <v>1841</v>
      </c>
      <c r="T6" s="699">
        <f>IF('[1]Process Lab'!E4="","",'[1]Process Lab'!E4)</f>
        <v>366.66666666666669</v>
      </c>
      <c r="U6" s="699">
        <f>IF('[1]Process Lab'!AH4="","",'[1]Process Lab'!AH4)</f>
        <v>8</v>
      </c>
      <c r="V6" s="699">
        <f>IF('[1]Process Lab'!AI4="","",'[1]Process Lab'!AI4)</f>
        <v>8</v>
      </c>
      <c r="W6" s="769">
        <f t="shared" si="1"/>
        <v>223553.36640000003</v>
      </c>
      <c r="X6" s="775">
        <f>IF(OR(T6="",V6=""),"",T6*8.34*1.46*V6)</f>
        <v>35717.440000000002</v>
      </c>
      <c r="Y6" s="780">
        <f t="shared" si="2"/>
        <v>259270.80640000003</v>
      </c>
      <c r="AA6" s="73">
        <f t="shared" si="3"/>
        <v>2.6619390196050978</v>
      </c>
      <c r="AB6" s="72">
        <f t="shared" si="4"/>
        <v>259270.80640000003</v>
      </c>
      <c r="AC6" s="72">
        <f t="shared" si="5"/>
        <v>97399.22834087431</v>
      </c>
      <c r="AD6" s="72">
        <f>IF('WAS-TWAS'!C6="","",'WAS-TWAS'!C6)</f>
        <v>91359.632022946796</v>
      </c>
      <c r="AE6" s="72">
        <f t="shared" ref="AE6:AE35" si="6">IF(OR(C6="",H6="",ISTEXT(C6)=TRUE,ISTEXT(H6)=TRUE),"",C6*8.34*H6)</f>
        <v>6039.5963179275168</v>
      </c>
      <c r="AF6" s="73"/>
      <c r="AG6" s="64">
        <f t="shared" ref="AG6:AG35" si="7">IF(OR(W6="",AD6=""),"",W6/AD6)</f>
        <v>2.4469600134099725</v>
      </c>
      <c r="AH6" s="1511"/>
      <c r="AI6" s="1"/>
      <c r="AJ6" s="1"/>
      <c r="AK6" s="856" t="s">
        <v>108</v>
      </c>
      <c r="AL6" s="185" t="s">
        <v>107</v>
      </c>
      <c r="AM6" s="185" t="s">
        <v>114</v>
      </c>
      <c r="AN6" s="199" t="s">
        <v>106</v>
      </c>
    </row>
    <row r="7" spans="1:40" ht="20.25" x14ac:dyDescent="0.3">
      <c r="A7" s="831">
        <v>3</v>
      </c>
      <c r="B7" s="708">
        <f>'dmr 1'!B12</f>
        <v>59.265884118055446</v>
      </c>
      <c r="C7" s="766">
        <f>'dmr 1'!D12</f>
        <v>63.298762079861191</v>
      </c>
      <c r="D7" s="767">
        <f>'[1]Process Lab'!$L5</f>
        <v>3.3160782115813547</v>
      </c>
      <c r="E7" s="768" t="e">
        <f>J7*#REF!*8.34/W7</f>
        <v>#REF!</v>
      </c>
      <c r="F7" s="699" t="e">
        <v>#REF!</v>
      </c>
      <c r="G7" s="699">
        <f>IF('[1]Plant Data'!R6="","",'[1]Plant Data'!R6)</f>
        <v>6.3302720156250079</v>
      </c>
      <c r="H7" s="699">
        <f>IF([2]TSS!E6="","",[2]TSS!E6)</f>
        <v>11</v>
      </c>
      <c r="I7" s="699"/>
      <c r="J7" s="699"/>
      <c r="K7" s="778">
        <f>IF([2]BOD!E6="","",[2]BOD!E6)</f>
        <v>8</v>
      </c>
      <c r="L7" s="734" t="e">
        <f t="shared" ref="L7:L33" si="8">(J7-K7)/J7*100</f>
        <v>#DIV/0!</v>
      </c>
      <c r="M7" s="699">
        <f>'[1]Process Lab'!AH5</f>
        <v>8</v>
      </c>
      <c r="N7" s="699"/>
      <c r="O7" s="699">
        <f>IF('[1]Plant Data'!AF6="","",'[1]Plant Data'!AF6)</f>
        <v>1834.2440236111106</v>
      </c>
      <c r="P7" s="699">
        <f>IF('dmr 3'!F12="","",'dmr 3'!F12)</f>
        <v>1137.2312946388886</v>
      </c>
      <c r="Q7" s="1397">
        <f>IF('[1]Plant Data'!U6="","",'[1]Plant Data'!U6)</f>
        <v>0</v>
      </c>
      <c r="R7" s="708">
        <f>IF('[1]Process Lab'!K5="","",'[1]Process Lab'!K5)</f>
        <v>176.66666666666666</v>
      </c>
      <c r="S7" s="699">
        <f>IF('[1]Process Lab'!D5="","",'[1]Process Lab'!D5)</f>
        <v>1826</v>
      </c>
      <c r="T7" s="699">
        <f>IF('[1]Process Lab'!E5="","",'[1]Process Lab'!E5)</f>
        <v>503.33333333333331</v>
      </c>
      <c r="U7" s="699">
        <f>IF('[1]Process Lab'!AH5="","",'[1]Process Lab'!AH5)</f>
        <v>8</v>
      </c>
      <c r="V7" s="699">
        <f>IF('[1]Process Lab'!AI5="","",'[1]Process Lab'!AI5)</f>
        <v>8</v>
      </c>
      <c r="W7" s="769">
        <f t="shared" ref="W7:W33" si="9">IF(OR(S7="",U7="",S7=0,U7=0),"",S7*8.34*1.82*U7)</f>
        <v>221731.91040000002</v>
      </c>
      <c r="X7" s="775">
        <f t="shared" ref="X7:X33" si="10">IF(OR(T7="",V7=""),"",T7*8.34*1.46*V7)</f>
        <v>49030.304000000004</v>
      </c>
      <c r="Y7" s="780">
        <f t="shared" ref="Y7:Y33" si="11">IF(OR(W7="",X7=""),"",W7+X7)</f>
        <v>270762.21440000006</v>
      </c>
      <c r="AA7" s="73">
        <f t="shared" si="3"/>
        <v>2.9265930991244757</v>
      </c>
      <c r="AB7" s="72">
        <f t="shared" si="4"/>
        <v>270762.21440000006</v>
      </c>
      <c r="AC7" s="72">
        <f t="shared" si="5"/>
        <v>92517.888626540429</v>
      </c>
      <c r="AD7" s="72">
        <f>IF('WAS-TWAS'!C7="","",'WAS-TWAS'!C7)</f>
        <v>86710.860193333967</v>
      </c>
      <c r="AE7" s="72">
        <f t="shared" si="6"/>
        <v>5807.0284332064657</v>
      </c>
      <c r="AF7" s="73"/>
      <c r="AG7" s="64">
        <f t="shared" si="7"/>
        <v>2.5571411690025654</v>
      </c>
      <c r="AH7" s="1511"/>
      <c r="AI7" s="1"/>
      <c r="AJ7" s="1"/>
      <c r="AK7" t="s">
        <v>599</v>
      </c>
      <c r="AL7" t="s">
        <v>232</v>
      </c>
      <c r="AM7" s="540" t="s">
        <v>427</v>
      </c>
      <c r="AN7" s="309" t="s">
        <v>424</v>
      </c>
    </row>
    <row r="8" spans="1:40" ht="20.25" x14ac:dyDescent="0.3">
      <c r="A8" s="831">
        <v>4</v>
      </c>
      <c r="B8" s="708">
        <f>'dmr 1'!B13</f>
        <v>65.818315354166813</v>
      </c>
      <c r="C8" s="766">
        <f>'dmr 1'!D13</f>
        <v>68.112197826388936</v>
      </c>
      <c r="D8" s="767">
        <f>'[1]Process Lab'!$L6</f>
        <v>3.1326262938248042</v>
      </c>
      <c r="E8" s="768" t="e">
        <f>J8*#REF!*8.34/W8</f>
        <v>#REF!</v>
      </c>
      <c r="F8" s="699" t="e">
        <v>#REF!</v>
      </c>
      <c r="G8" s="699">
        <f>IF('[1]Plant Data'!R7="","",'[1]Plant Data'!R7)</f>
        <v>7.7418595725694797</v>
      </c>
      <c r="H8" s="699">
        <f>IF([2]TSS!E7="","",[2]TSS!E7)</f>
        <v>12</v>
      </c>
      <c r="I8" s="699"/>
      <c r="J8" s="699"/>
      <c r="K8" s="778">
        <f>IF([2]BOD!E7="","",[2]BOD!E7)</f>
        <v>12</v>
      </c>
      <c r="L8" s="734" t="e">
        <f t="shared" si="8"/>
        <v>#DIV/0!</v>
      </c>
      <c r="M8" s="699">
        <f>'[1]Process Lab'!AH6</f>
        <v>8</v>
      </c>
      <c r="N8" s="699"/>
      <c r="O8" s="699">
        <f>IF('[1]Plant Data'!AF7="","",'[1]Plant Data'!AF7)</f>
        <v>2064.9525861111051</v>
      </c>
      <c r="P8" s="699">
        <f>IF('dmr 3'!F13="","",'dmr 3'!F13)</f>
        <v>1280.2706033888851</v>
      </c>
      <c r="Q8" s="1397">
        <f>IF('[1]Plant Data'!U7="","",'[1]Plant Data'!U7)</f>
        <v>0</v>
      </c>
      <c r="R8" s="708">
        <f>IF('[1]Process Lab'!K6="","",'[1]Process Lab'!K6)</f>
        <v>178</v>
      </c>
      <c r="S8" s="699">
        <f>IF('[1]Process Lab'!D6="","",'[1]Process Lab'!D6)</f>
        <v>1811.3333333333333</v>
      </c>
      <c r="T8" s="699">
        <f>IF('[1]Process Lab'!E6="","",'[1]Process Lab'!E6)</f>
        <v>651.33333333333337</v>
      </c>
      <c r="U8" s="699">
        <f>IF('[1]Process Lab'!AH6="","",'[1]Process Lab'!AH6)</f>
        <v>8</v>
      </c>
      <c r="V8" s="699">
        <f>IF('[1]Process Lab'!AI6="","",'[1]Process Lab'!AI6)</f>
        <v>8</v>
      </c>
      <c r="W8" s="769">
        <f t="shared" si="9"/>
        <v>219950.93119999999</v>
      </c>
      <c r="X8" s="775">
        <f t="shared" si="10"/>
        <v>63447.161599999999</v>
      </c>
      <c r="Y8" s="780">
        <f t="shared" si="11"/>
        <v>283398.09279999998</v>
      </c>
      <c r="AA8" s="73">
        <f t="shared" si="3"/>
        <v>2.8493287616545269</v>
      </c>
      <c r="AB8" s="72">
        <f t="shared" si="4"/>
        <v>283398.09279999998</v>
      </c>
      <c r="AC8" s="72">
        <f t="shared" si="5"/>
        <v>99461.352657472395</v>
      </c>
      <c r="AD8" s="72">
        <f>IF('WAS-TWAS'!C8="","",'WAS-TWAS'!C8)</f>
        <v>92644.683899007388</v>
      </c>
      <c r="AE8" s="72">
        <f t="shared" si="6"/>
        <v>6816.6687584650044</v>
      </c>
      <c r="AF8" s="73"/>
      <c r="AG8" s="64">
        <f t="shared" si="7"/>
        <v>2.3741344019239143</v>
      </c>
      <c r="AH8" s="1511"/>
      <c r="AI8" s="1"/>
      <c r="AJ8" s="1"/>
      <c r="AK8" t="s">
        <v>600</v>
      </c>
      <c r="AL8" t="s">
        <v>233</v>
      </c>
      <c r="AM8" s="540" t="s">
        <v>428</v>
      </c>
      <c r="AN8" s="309" t="s">
        <v>425</v>
      </c>
    </row>
    <row r="9" spans="1:40" ht="20.25" customHeight="1" x14ac:dyDescent="0.3">
      <c r="A9" s="831">
        <v>5</v>
      </c>
      <c r="B9" s="708">
        <f>'dmr 1'!B14</f>
        <v>56.328494034350783</v>
      </c>
      <c r="C9" s="766">
        <f>'dmr 1'!D14</f>
        <v>58.74425769791663</v>
      </c>
      <c r="D9" s="767">
        <f>'[1]Process Lab'!$L7</f>
        <v>3.0894566263365193</v>
      </c>
      <c r="E9" s="768" t="e">
        <f>J9*#REF!*8.34/W9</f>
        <v>#REF!</v>
      </c>
      <c r="F9" s="699" t="e">
        <v>#REF!</v>
      </c>
      <c r="G9" s="699">
        <f>IF('[1]Plant Data'!R8="","",'[1]Plant Data'!R8)</f>
        <v>7.6204247076388851</v>
      </c>
      <c r="H9" s="699">
        <f>IF([2]TSS!E8="","",[2]TSS!E8)</f>
        <v>8</v>
      </c>
      <c r="I9" s="699"/>
      <c r="J9" s="699"/>
      <c r="K9" s="778">
        <f>IF([2]BOD!E8="","",[2]BOD!E8)</f>
        <v>10</v>
      </c>
      <c r="L9" s="734" t="e">
        <f t="shared" si="8"/>
        <v>#DIV/0!</v>
      </c>
      <c r="M9" s="699">
        <f>'[1]Process Lab'!AH7</f>
        <v>8</v>
      </c>
      <c r="N9" s="699"/>
      <c r="O9" s="699">
        <f>IF('[1]Plant Data'!AF8="","",'[1]Plant Data'!AF8)</f>
        <v>1969.3928374652767</v>
      </c>
      <c r="P9" s="699">
        <f>IF('dmr 3'!F14="","",'dmr 3'!F14)</f>
        <v>1221.0235592284716</v>
      </c>
      <c r="Q9" s="1397">
        <f>IF('[1]Plant Data'!U8="","",'[1]Plant Data'!U8)</f>
        <v>0</v>
      </c>
      <c r="R9" s="708">
        <f>IF('[1]Process Lab'!K7="","",'[1]Process Lab'!K7)</f>
        <v>209.66666666666666</v>
      </c>
      <c r="S9" s="699">
        <f>IF('[1]Process Lab'!D7="","",'[1]Process Lab'!D7)</f>
        <v>1695</v>
      </c>
      <c r="T9" s="699">
        <f>IF('[1]Process Lab'!E7="","",'[1]Process Lab'!E7)</f>
        <v>598.66666666666663</v>
      </c>
      <c r="U9" s="699">
        <f>IF('[1]Process Lab'!AH7="","",'[1]Process Lab'!AH7)</f>
        <v>8</v>
      </c>
      <c r="V9" s="699">
        <f>IF('[1]Process Lab'!AI7="","",'[1]Process Lab'!AI7)</f>
        <v>8</v>
      </c>
      <c r="W9" s="769">
        <f t="shared" si="9"/>
        <v>205824.52799999999</v>
      </c>
      <c r="X9" s="775">
        <f t="shared" si="10"/>
        <v>58316.838399999986</v>
      </c>
      <c r="Y9" s="780">
        <f t="shared" si="11"/>
        <v>264141.3664</v>
      </c>
      <c r="AA9" s="73">
        <f t="shared" si="3"/>
        <v>2.6710065661875904</v>
      </c>
      <c r="AB9" s="72">
        <f t="shared" si="4"/>
        <v>264141.3664</v>
      </c>
      <c r="AC9" s="72">
        <f t="shared" si="5"/>
        <v>98892.069283460078</v>
      </c>
      <c r="AD9" s="72">
        <f>IF('WAS-TWAS'!C9="","",'WAS-TWAS'!C9)</f>
        <v>94972.652409855087</v>
      </c>
      <c r="AE9" s="72">
        <f t="shared" si="6"/>
        <v>3919.4168736049974</v>
      </c>
      <c r="AF9" s="73"/>
      <c r="AG9" s="64">
        <f t="shared" si="7"/>
        <v>2.1671978488266594</v>
      </c>
      <c r="AH9" s="1511"/>
      <c r="AI9" s="1"/>
      <c r="AJ9" s="1"/>
      <c r="AK9" t="s">
        <v>601</v>
      </c>
      <c r="AL9" t="s">
        <v>234</v>
      </c>
      <c r="AM9" s="1652" t="s">
        <v>426</v>
      </c>
      <c r="AN9" s="309" t="s">
        <v>430</v>
      </c>
    </row>
    <row r="10" spans="1:40" ht="20.25" x14ac:dyDescent="0.3">
      <c r="A10" s="831">
        <v>6</v>
      </c>
      <c r="B10" s="708">
        <f>'dmr 1'!B15</f>
        <v>103.1240249895835</v>
      </c>
      <c r="C10" s="766">
        <f>'dmr 1'!D15</f>
        <v>91.144097100694552</v>
      </c>
      <c r="D10" s="767">
        <f>'[1]Process Lab'!$L8</f>
        <v>3.1211539233652856</v>
      </c>
      <c r="E10" s="768" t="e">
        <f>J10*#REF!*8.34/W10</f>
        <v>#REF!</v>
      </c>
      <c r="F10" s="699" t="e">
        <v>#REF!</v>
      </c>
      <c r="G10" s="699">
        <f>IF('[1]Plant Data'!R9="","",'[1]Plant Data'!R9)</f>
        <v>9.3956969958333474</v>
      </c>
      <c r="H10" s="699">
        <f>IF([2]TSS!E9="","",[2]TSS!E9)</f>
        <v>14</v>
      </c>
      <c r="I10" s="699"/>
      <c r="J10" s="699"/>
      <c r="K10" s="778">
        <f>IF([2]BOD!E9="","",[2]BOD!E9)</f>
        <v>13</v>
      </c>
      <c r="L10" s="734" t="e">
        <f t="shared" si="8"/>
        <v>#DIV/0!</v>
      </c>
      <c r="M10" s="699">
        <f>'[1]Process Lab'!AH8</f>
        <v>8</v>
      </c>
      <c r="N10" s="699"/>
      <c r="O10" s="699">
        <f>IF('[1]Plant Data'!AF9="","",'[1]Plant Data'!AF9)</f>
        <v>2594.2819092503514</v>
      </c>
      <c r="P10" s="699">
        <f>IF('dmr 3'!F15="","",'dmr 3'!F15)</f>
        <v>1608.4547837352179</v>
      </c>
      <c r="Q10" s="1397">
        <f>IF('[1]Plant Data'!U9="","",'[1]Plant Data'!U9)</f>
        <v>0</v>
      </c>
      <c r="R10" s="708">
        <f>IF('[1]Process Lab'!K8="","",'[1]Process Lab'!K8)</f>
        <v>218.66666666666666</v>
      </c>
      <c r="S10" s="699">
        <f>IF('[1]Process Lab'!D8="","",'[1]Process Lab'!D8)</f>
        <v>1524.6666666666667</v>
      </c>
      <c r="T10" s="699">
        <f>IF('[1]Process Lab'!E8="","",'[1]Process Lab'!E8)</f>
        <v>877</v>
      </c>
      <c r="U10" s="699">
        <f>IF('[1]Process Lab'!AH8="","",'[1]Process Lab'!AH8)</f>
        <v>8</v>
      </c>
      <c r="V10" s="699">
        <f>IF('[1]Process Lab'!AI8="","",'[1]Process Lab'!AI8)</f>
        <v>8</v>
      </c>
      <c r="W10" s="769">
        <f t="shared" si="9"/>
        <v>185140.88320000001</v>
      </c>
      <c r="X10" s="775">
        <f t="shared" si="10"/>
        <v>85429.622400000007</v>
      </c>
      <c r="Y10" s="780">
        <f t="shared" si="11"/>
        <v>270570.50560000003</v>
      </c>
      <c r="AA10" s="73">
        <f t="shared" si="3"/>
        <v>2.7323918776282028</v>
      </c>
      <c r="AB10" s="72">
        <f t="shared" si="4"/>
        <v>270570.50560000003</v>
      </c>
      <c r="AC10" s="72">
        <f t="shared" si="5"/>
        <v>99023.31646325317</v>
      </c>
      <c r="AD10" s="72">
        <f>IF('WAS-TWAS'!C10="","",'WAS-TWAS'!C10)</f>
        <v>88381.33168577608</v>
      </c>
      <c r="AE10" s="72">
        <f t="shared" si="6"/>
        <v>10641.984777477095</v>
      </c>
      <c r="AF10" s="73"/>
      <c r="AG10" s="64">
        <f t="shared" si="7"/>
        <v>2.0947962614801403</v>
      </c>
      <c r="AH10" s="1511"/>
      <c r="AI10" s="1512"/>
      <c r="AJ10" s="1513"/>
      <c r="AM10" s="1652"/>
      <c r="AN10" s="309"/>
    </row>
    <row r="11" spans="1:40" ht="20.25" x14ac:dyDescent="0.3">
      <c r="A11" s="831">
        <v>7</v>
      </c>
      <c r="B11" s="708">
        <f>'dmr 1'!B16</f>
        <v>59.377203996527662</v>
      </c>
      <c r="C11" s="766">
        <f>'dmr 1'!D16</f>
        <v>69.217215423611108</v>
      </c>
      <c r="D11" s="767">
        <f>'[1]Process Lab'!$L9</f>
        <v>3.1305393239489527</v>
      </c>
      <c r="E11" s="768" t="e">
        <f>J11*#REF!*8.34/W11</f>
        <v>#REF!</v>
      </c>
      <c r="F11" s="699" t="e">
        <v>#REF!</v>
      </c>
      <c r="G11" s="699">
        <f>IF('[1]Plant Data'!R10="","",'[1]Plant Data'!R10)</f>
        <v>9.3209169506944587</v>
      </c>
      <c r="H11" s="699">
        <f>IF([2]TSS!E10="","",[2]TSS!E10)</f>
        <v>19</v>
      </c>
      <c r="I11" s="699"/>
      <c r="J11" s="699"/>
      <c r="K11" s="778">
        <f>IF([2]BOD!E10="","",[2]BOD!E10)</f>
        <v>15</v>
      </c>
      <c r="L11" s="734" t="e">
        <f t="shared" si="8"/>
        <v>#DIV/0!</v>
      </c>
      <c r="M11" s="699">
        <f>'[1]Process Lab'!AH9</f>
        <v>8</v>
      </c>
      <c r="N11" s="699"/>
      <c r="O11" s="699">
        <f>IF('[1]Plant Data'!AF10="","",'[1]Plant Data'!AF10)</f>
        <v>1950.3534989236075</v>
      </c>
      <c r="P11" s="699">
        <f>IF('dmr 3'!F16="","",'dmr 3'!F16)</f>
        <v>1209.2191693326367</v>
      </c>
      <c r="Q11" s="1397">
        <f>IF('[1]Plant Data'!U10="","",'[1]Plant Data'!U10)</f>
        <v>0</v>
      </c>
      <c r="R11" s="708">
        <f>IF('[1]Process Lab'!K9="","",'[1]Process Lab'!K9)</f>
        <v>201</v>
      </c>
      <c r="S11" s="699">
        <f>IF('[1]Process Lab'!D9="","",'[1]Process Lab'!D9)</f>
        <v>1866</v>
      </c>
      <c r="T11" s="699">
        <f>IF('[1]Process Lab'!E9="","",'[1]Process Lab'!E9)</f>
        <v>787</v>
      </c>
      <c r="U11" s="699">
        <f>IF('[1]Process Lab'!AH9="","",'[1]Process Lab'!AH9)</f>
        <v>8</v>
      </c>
      <c r="V11" s="699">
        <f>IF('[1]Process Lab'!AI9="","",'[1]Process Lab'!AI9)</f>
        <v>8</v>
      </c>
      <c r="W11" s="769">
        <f t="shared" si="9"/>
        <v>226589.12640000001</v>
      </c>
      <c r="X11" s="775">
        <f t="shared" si="10"/>
        <v>76662.614399999991</v>
      </c>
      <c r="Y11" s="780">
        <f t="shared" si="11"/>
        <v>303251.74080000003</v>
      </c>
      <c r="AA11" s="73">
        <f t="shared" si="3"/>
        <v>3.2526652157946878</v>
      </c>
      <c r="AB11" s="72">
        <f t="shared" si="4"/>
        <v>303251.74080000003</v>
      </c>
      <c r="AC11" s="72">
        <f t="shared" si="5"/>
        <v>93231.771695234202</v>
      </c>
      <c r="AD11" s="72">
        <f>IF('WAS-TWAS'!C11="","",'WAS-TWAS'!C11)</f>
        <v>82263.611739208791</v>
      </c>
      <c r="AE11" s="72">
        <f t="shared" si="6"/>
        <v>10968.159956025416</v>
      </c>
      <c r="AF11" s="73"/>
      <c r="AG11" s="73">
        <f t="shared" si="7"/>
        <v>2.7544271593414886</v>
      </c>
      <c r="AK11" t="s">
        <v>602</v>
      </c>
      <c r="AL11" t="s">
        <v>235</v>
      </c>
      <c r="AM11" s="541" t="s">
        <v>429</v>
      </c>
      <c r="AN11" s="309" t="s">
        <v>431</v>
      </c>
    </row>
    <row r="12" spans="1:40" ht="20.25" x14ac:dyDescent="0.3">
      <c r="A12" s="831">
        <v>8</v>
      </c>
      <c r="B12" s="708">
        <f>'dmr 1'!B17</f>
        <v>94.233337409722296</v>
      </c>
      <c r="C12" s="766">
        <f>'dmr 1'!D17</f>
        <v>91.644257361111073</v>
      </c>
      <c r="D12" s="767">
        <f>'[1]Process Lab'!$L10</f>
        <v>3.1763164941063127</v>
      </c>
      <c r="E12" s="768" t="e">
        <f>J12*#REF!*8.34/W12</f>
        <v>#REF!</v>
      </c>
      <c r="F12" s="699" t="e">
        <v>#REF!</v>
      </c>
      <c r="G12" s="699">
        <f>IF('[1]Plant Data'!R11="","",'[1]Plant Data'!R11)</f>
        <v>9.7374893395833233</v>
      </c>
      <c r="H12" s="699">
        <f>IF([2]TSS!E11="","",[2]TSS!E11)</f>
        <v>16</v>
      </c>
      <c r="I12" s="699"/>
      <c r="J12" s="699"/>
      <c r="K12" s="778">
        <f>IF([2]BOD!E11="","",[2]BOD!E11)</f>
        <v>11</v>
      </c>
      <c r="L12" s="734" t="e">
        <f t="shared" si="8"/>
        <v>#DIV/0!</v>
      </c>
      <c r="M12" s="699">
        <f>'[1]Process Lab'!AH10</f>
        <v>8</v>
      </c>
      <c r="N12" s="699"/>
      <c r="O12" s="699">
        <f>IF('[1]Plant Data'!AF11="","",'[1]Plant Data'!AF11)</f>
        <v>2526.1769365893374</v>
      </c>
      <c r="P12" s="699">
        <f>IF('dmr 3'!F17="","",'dmr 3'!F17)</f>
        <v>1566.2297006853892</v>
      </c>
      <c r="Q12" s="1397">
        <f>IF('[1]Plant Data'!U11="","",'[1]Plant Data'!U11)</f>
        <v>0</v>
      </c>
      <c r="R12" s="708">
        <f>IF('[1]Process Lab'!K10="","",'[1]Process Lab'!K10)</f>
        <v>238.5</v>
      </c>
      <c r="S12" s="699">
        <f>IF('[1]Process Lab'!D10="","",'[1]Process Lab'!D10)</f>
        <v>1333</v>
      </c>
      <c r="T12" s="699">
        <f>IF('[1]Process Lab'!E10="","",'[1]Process Lab'!E10)</f>
        <v>532</v>
      </c>
      <c r="U12" s="699">
        <f>IF('[1]Process Lab'!AH10="","",'[1]Process Lab'!AH10)</f>
        <v>8</v>
      </c>
      <c r="V12" s="699">
        <f>IF('[1]Process Lab'!AI10="","",'[1]Process Lab'!AI10)</f>
        <v>8</v>
      </c>
      <c r="W12" s="769">
        <f t="shared" si="9"/>
        <v>161866.72320000001</v>
      </c>
      <c r="X12" s="775">
        <f t="shared" si="10"/>
        <v>51822.758399999999</v>
      </c>
      <c r="Y12" s="780">
        <f t="shared" si="11"/>
        <v>213689.4816</v>
      </c>
      <c r="AA12" s="73">
        <f t="shared" si="3"/>
        <v>2.2990032048567195</v>
      </c>
      <c r="AB12" s="72">
        <f t="shared" si="4"/>
        <v>213689.4816</v>
      </c>
      <c r="AC12" s="72">
        <f t="shared" si="5"/>
        <v>92948.753246004169</v>
      </c>
      <c r="AD12" s="72">
        <f>IF('WAS-TWAS'!C12="","",'WAS-TWAS'!C12)</f>
        <v>80719.74354373751</v>
      </c>
      <c r="AE12" s="72">
        <f t="shared" si="6"/>
        <v>12229.009702266661</v>
      </c>
      <c r="AF12" s="73"/>
      <c r="AG12" s="73">
        <f t="shared" si="7"/>
        <v>2.0052928328779127</v>
      </c>
      <c r="AM12" s="541"/>
      <c r="AN12" s="309"/>
    </row>
    <row r="13" spans="1:40" ht="20.25" x14ac:dyDescent="0.3">
      <c r="A13" s="831">
        <v>9</v>
      </c>
      <c r="B13" s="708">
        <f>'dmr 1'!B18</f>
        <v>83.880514163194348</v>
      </c>
      <c r="C13" s="766">
        <f>'dmr 1'!D18</f>
        <v>88.402698861110949</v>
      </c>
      <c r="D13" s="767">
        <f>'[1]Process Lab'!$L11</f>
        <v>3.2837100444925085</v>
      </c>
      <c r="E13" s="768" t="e">
        <f>J13*#REF!*8.34/W13</f>
        <v>#REF!</v>
      </c>
      <c r="F13" s="699" t="e">
        <v>#REF!</v>
      </c>
      <c r="G13" s="699">
        <f>IF('[1]Plant Data'!R12="","",'[1]Plant Data'!R12)</f>
        <v>9.1699332138888909</v>
      </c>
      <c r="H13" s="699">
        <f>IF([2]TSS!E12="","",[2]TSS!E12)</f>
        <v>22</v>
      </c>
      <c r="I13" s="699"/>
      <c r="J13" s="699"/>
      <c r="K13" s="778">
        <f>IF([2]BOD!E12="","",[2]BOD!E12)</f>
        <v>13</v>
      </c>
      <c r="L13" s="734" t="e">
        <f t="shared" si="8"/>
        <v>#DIV/0!</v>
      </c>
      <c r="M13" s="699">
        <f>'[1]Process Lab'!AH11</f>
        <v>8</v>
      </c>
      <c r="N13" s="699"/>
      <c r="O13" s="699">
        <f>IF('[1]Plant Data'!AF12="","",'[1]Plant Data'!AF12)</f>
        <v>1828.9307754166591</v>
      </c>
      <c r="P13" s="699">
        <f>IF('dmr 3'!F18="","",'dmr 3'!F18)</f>
        <v>1133.9370807583286</v>
      </c>
      <c r="Q13" s="1397">
        <f>IF('[1]Plant Data'!U12="","",'[1]Plant Data'!U12)</f>
        <v>0</v>
      </c>
      <c r="R13" s="708">
        <f>IF('[1]Process Lab'!K11="","",'[1]Process Lab'!K11)</f>
        <v>188</v>
      </c>
      <c r="S13" s="699">
        <f>IF('[1]Process Lab'!D11="","",'[1]Process Lab'!D11)</f>
        <v>1689.6666666666667</v>
      </c>
      <c r="T13" s="699">
        <f>IF('[1]Process Lab'!E11="","",'[1]Process Lab'!E11)</f>
        <v>597</v>
      </c>
      <c r="U13" s="699">
        <f>IF('[1]Process Lab'!AH11="","",'[1]Process Lab'!AH11)</f>
        <v>8</v>
      </c>
      <c r="V13" s="699">
        <f>IF('[1]Process Lab'!AI11="","",'[1]Process Lab'!AI11)</f>
        <v>8</v>
      </c>
      <c r="W13" s="769">
        <f t="shared" si="9"/>
        <v>205176.89920000001</v>
      </c>
      <c r="X13" s="775">
        <f t="shared" si="10"/>
        <v>58154.486399999994</v>
      </c>
      <c r="Y13" s="780">
        <f t="shared" si="11"/>
        <v>263331.38560000004</v>
      </c>
      <c r="AA13" s="73">
        <f t="shared" si="3"/>
        <v>2.7737323124592455</v>
      </c>
      <c r="AB13" s="72">
        <f t="shared" si="4"/>
        <v>263331.38560000004</v>
      </c>
      <c r="AC13" s="72">
        <f t="shared" si="5"/>
        <v>94937.562798381681</v>
      </c>
      <c r="AD13" s="72">
        <f>IF('WAS-TWAS'!C13="","",'WAS-TWAS'!C13)</f>
        <v>78717.435611345049</v>
      </c>
      <c r="AE13" s="72">
        <f t="shared" si="6"/>
        <v>16220.127187036636</v>
      </c>
      <c r="AF13" s="73"/>
      <c r="AG13" s="73">
        <f t="shared" si="7"/>
        <v>2.6064987712891039</v>
      </c>
    </row>
    <row r="14" spans="1:40" ht="20.25" x14ac:dyDescent="0.3">
      <c r="A14" s="831">
        <v>10</v>
      </c>
      <c r="B14" s="708">
        <f>'dmr 1'!B19</f>
        <v>64.316404541666643</v>
      </c>
      <c r="C14" s="766">
        <f>'dmr 1'!D19</f>
        <v>70.522887642361169</v>
      </c>
      <c r="D14" s="767">
        <f>'[1]Process Lab'!$L12</f>
        <v>3.4690266189743553</v>
      </c>
      <c r="E14" s="768" t="e">
        <f>J14*#REF!*8.34/W14</f>
        <v>#REF!</v>
      </c>
      <c r="F14" s="699" t="e">
        <v>#REF!</v>
      </c>
      <c r="G14" s="699">
        <f>IF('[1]Plant Data'!R13="","",'[1]Plant Data'!R13)</f>
        <v>7.6580857038194408</v>
      </c>
      <c r="H14" s="699">
        <f>IF([2]TSS!E13="","",[2]TSS!E13)</f>
        <v>12</v>
      </c>
      <c r="I14" s="699"/>
      <c r="J14" s="699"/>
      <c r="K14" s="778">
        <f>IF([2]BOD!E13="","",[2]BOD!E13)</f>
        <v>8</v>
      </c>
      <c r="L14" s="734" t="e">
        <f t="shared" si="8"/>
        <v>#DIV/0!</v>
      </c>
      <c r="M14" s="699">
        <f>'[1]Process Lab'!AH12</f>
        <v>8</v>
      </c>
      <c r="N14" s="699"/>
      <c r="O14" s="699">
        <f>IF('[1]Plant Data'!AF13="","",'[1]Plant Data'!AF13)</f>
        <v>1562.8910305475026</v>
      </c>
      <c r="P14" s="699">
        <f>IF('dmr 3'!F19="","",'dmr 3'!F19)</f>
        <v>968.99243893945163</v>
      </c>
      <c r="Q14" s="1397">
        <f>IF('[1]Plant Data'!U13="","",'[1]Plant Data'!U13)</f>
        <v>0</v>
      </c>
      <c r="R14" s="708">
        <f>IF('[1]Process Lab'!K12="","",'[1]Process Lab'!K12)</f>
        <v>217.66666666666666</v>
      </c>
      <c r="S14" s="699">
        <f>IF('[1]Process Lab'!D12="","",'[1]Process Lab'!D12)</f>
        <v>1894.6666666666667</v>
      </c>
      <c r="T14" s="699">
        <f>IF('[1]Process Lab'!E12="","",'[1]Process Lab'!E12)</f>
        <v>707.33333333333337</v>
      </c>
      <c r="U14" s="699">
        <f>IF('[1]Process Lab'!AH12="","",'[1]Process Lab'!AH12)</f>
        <v>8</v>
      </c>
      <c r="V14" s="699">
        <f>IF('[1]Process Lab'!AI12="","",'[1]Process Lab'!AI12)</f>
        <v>8</v>
      </c>
      <c r="W14" s="769">
        <f t="shared" si="9"/>
        <v>230070.1312</v>
      </c>
      <c r="X14" s="775">
        <f t="shared" si="10"/>
        <v>68902.188800000004</v>
      </c>
      <c r="Y14" s="780">
        <f t="shared" si="11"/>
        <v>298972.32</v>
      </c>
      <c r="AA14" s="73">
        <f t="shared" si="3"/>
        <v>3.4752154785048086</v>
      </c>
      <c r="AB14" s="72">
        <f t="shared" si="4"/>
        <v>298972.32</v>
      </c>
      <c r="AC14" s="72">
        <f t="shared" si="5"/>
        <v>86029.865442654831</v>
      </c>
      <c r="AD14" s="72">
        <f>IF('WAS-TWAS'!C14="","",'WAS-TWAS'!C14)</f>
        <v>78971.934847407319</v>
      </c>
      <c r="AE14" s="72">
        <f t="shared" si="6"/>
        <v>7057.9305952475061</v>
      </c>
      <c r="AF14" s="73"/>
      <c r="AG14" s="73">
        <f t="shared" si="7"/>
        <v>2.9133151118121972</v>
      </c>
    </row>
    <row r="15" spans="1:40" ht="20.25" x14ac:dyDescent="0.3">
      <c r="A15" s="831">
        <v>11</v>
      </c>
      <c r="B15" s="708">
        <f>'dmr 1'!B20</f>
        <v>56.603756809870134</v>
      </c>
      <c r="C15" s="766">
        <f>'dmr 1'!D20</f>
        <v>61.557874996527929</v>
      </c>
      <c r="D15" s="767">
        <f>'[1]Process Lab'!$L13</f>
        <v>3.2908537352952805</v>
      </c>
      <c r="E15" s="768" t="e">
        <f>J15*#REF!*8.34/W15</f>
        <v>#REF!</v>
      </c>
      <c r="F15" s="699" t="e">
        <v>#REF!</v>
      </c>
      <c r="G15" s="699">
        <f>IF('[1]Plant Data'!R14="","",'[1]Plant Data'!R14)</f>
        <v>6.8565018940972173</v>
      </c>
      <c r="H15" s="699">
        <f>IF([2]TSS!E14="","",[2]TSS!E14)</f>
        <v>13</v>
      </c>
      <c r="I15" s="699"/>
      <c r="J15" s="699"/>
      <c r="K15" s="778">
        <f>IF([2]BOD!E14="","",[2]BOD!E14)</f>
        <v>9</v>
      </c>
      <c r="L15" s="734" t="e">
        <f t="shared" si="8"/>
        <v>#DIV/0!</v>
      </c>
      <c r="M15" s="699">
        <f>'[1]Process Lab'!AH13</f>
        <v>8</v>
      </c>
      <c r="N15" s="699"/>
      <c r="O15" s="699">
        <f>IF('[1]Plant Data'!AF14="","",'[1]Plant Data'!AF14)</f>
        <v>1959.5854235069457</v>
      </c>
      <c r="P15" s="699">
        <f>IF('dmr 3'!F20="","",'dmr 3'!F20)</f>
        <v>1214.9429625743064</v>
      </c>
      <c r="Q15" s="1397">
        <f>IF('[1]Plant Data'!U14="","",'[1]Plant Data'!U14)</f>
        <v>0</v>
      </c>
      <c r="R15" s="708">
        <f>IF('[1]Process Lab'!K13="","",'[1]Process Lab'!K13)</f>
        <v>214.66666666666666</v>
      </c>
      <c r="S15" s="699">
        <f>IF('[1]Process Lab'!D13="","",'[1]Process Lab'!D13)</f>
        <v>1857.6666666666667</v>
      </c>
      <c r="T15" s="699">
        <f>IF('[1]Process Lab'!E13="","",'[1]Process Lab'!E13)</f>
        <v>547.66666666666663</v>
      </c>
      <c r="U15" s="699">
        <f>IF('[1]Process Lab'!AH13="","",'[1]Process Lab'!AH13)</f>
        <v>8</v>
      </c>
      <c r="V15" s="699">
        <f>IF('[1]Process Lab'!AI13="","",'[1]Process Lab'!AI13)</f>
        <v>8</v>
      </c>
      <c r="W15" s="769">
        <f t="shared" si="9"/>
        <v>225577.20640000002</v>
      </c>
      <c r="X15" s="775">
        <f t="shared" si="10"/>
        <v>53348.867200000001</v>
      </c>
      <c r="Y15" s="780">
        <f t="shared" si="11"/>
        <v>278926.0736</v>
      </c>
      <c r="AA15" s="73">
        <f t="shared" si="3"/>
        <v>2.8434196508197092</v>
      </c>
      <c r="AB15" s="72">
        <f t="shared" si="4"/>
        <v>278926.0736</v>
      </c>
      <c r="AC15" s="72">
        <f t="shared" si="5"/>
        <v>98095.2894236313</v>
      </c>
      <c r="AD15" s="72">
        <f>IF('WAS-TWAS'!C15="","",'WAS-TWAS'!C15)</f>
        <v>91421.184616507744</v>
      </c>
      <c r="AE15" s="72">
        <f t="shared" si="6"/>
        <v>6674.1048071235582</v>
      </c>
      <c r="AF15" s="73"/>
      <c r="AG15" s="73">
        <f t="shared" si="7"/>
        <v>2.4674500483257575</v>
      </c>
    </row>
    <row r="16" spans="1:40" ht="20.25" x14ac:dyDescent="0.3">
      <c r="A16" s="831">
        <v>12</v>
      </c>
      <c r="B16" s="708">
        <f>'dmr 1'!B21</f>
        <v>54.47560737847212</v>
      </c>
      <c r="C16" s="766">
        <f>'dmr 1'!D21</f>
        <v>58.063271434027875</v>
      </c>
      <c r="D16" s="767">
        <f>'[1]Process Lab'!$L14</f>
        <v>3.3002284220579305</v>
      </c>
      <c r="E16" s="768" t="e">
        <f>J16*#REF!*8.34/W16</f>
        <v>#REF!</v>
      </c>
      <c r="F16" s="699" t="e">
        <v>#REF!</v>
      </c>
      <c r="G16" s="699">
        <f>IF('[1]Plant Data'!R15="","",'[1]Plant Data'!R15)</f>
        <v>6.5608305048611193</v>
      </c>
      <c r="H16" s="699">
        <f>IF([2]TSS!E15="","",[2]TSS!E15)</f>
        <v>14</v>
      </c>
      <c r="I16" s="699"/>
      <c r="J16" s="699"/>
      <c r="K16" s="778">
        <f>IF([2]BOD!E15="","",[2]BOD!E15)</f>
        <v>10</v>
      </c>
      <c r="L16" s="734" t="e">
        <f t="shared" si="8"/>
        <v>#DIV/0!</v>
      </c>
      <c r="M16" s="699">
        <f>'[1]Process Lab'!AH14</f>
        <v>8</v>
      </c>
      <c r="N16" s="699"/>
      <c r="O16" s="699">
        <f>IF('[1]Plant Data'!AF15="","",'[1]Plant Data'!AF15)</f>
        <v>1771.0693276041675</v>
      </c>
      <c r="P16" s="699">
        <f>IF('dmr 3'!F21="","",'dmr 3'!F21)</f>
        <v>1098.0629831145839</v>
      </c>
      <c r="Q16" s="1397">
        <f>IF('[1]Plant Data'!U15="","",'[1]Plant Data'!U15)</f>
        <v>0</v>
      </c>
      <c r="R16" s="708">
        <f>IF('[1]Process Lab'!K14="","",'[1]Process Lab'!K14)</f>
        <v>200.33333333333334</v>
      </c>
      <c r="S16" s="699">
        <f>IF('[1]Process Lab'!D14="","",'[1]Process Lab'!D14)</f>
        <v>1887.3333333333333</v>
      </c>
      <c r="T16" s="699">
        <f>IF('[1]Process Lab'!E14="","",'[1]Process Lab'!E14)</f>
        <v>466.66666666666669</v>
      </c>
      <c r="U16" s="699">
        <f>IF('[1]Process Lab'!AH14="","",'[1]Process Lab'!AH14)</f>
        <v>8</v>
      </c>
      <c r="V16" s="699">
        <f>IF('[1]Process Lab'!AI14="","",'[1]Process Lab'!AI14)</f>
        <v>8</v>
      </c>
      <c r="W16" s="769">
        <f t="shared" si="9"/>
        <v>229179.6416</v>
      </c>
      <c r="X16" s="775">
        <f t="shared" si="10"/>
        <v>45458.559999999998</v>
      </c>
      <c r="Y16" s="780">
        <f t="shared" si="11"/>
        <v>274638.20160000003</v>
      </c>
      <c r="AA16" s="73">
        <f t="shared" si="3"/>
        <v>3.0060242948961418</v>
      </c>
      <c r="AB16" s="72">
        <f t="shared" si="4"/>
        <v>274638.20160000003</v>
      </c>
      <c r="AC16" s="72">
        <f t="shared" si="5"/>
        <v>91362.602114128546</v>
      </c>
      <c r="AD16" s="72">
        <f>IF('WAS-TWAS'!C16="","",'WAS-TWAS'!C16)</f>
        <v>84583.134541491454</v>
      </c>
      <c r="AE16" s="72">
        <f t="shared" si="6"/>
        <v>6779.4675726370951</v>
      </c>
      <c r="AF16" s="73"/>
      <c r="AG16" s="73">
        <f t="shared" si="7"/>
        <v>2.7095193721814379</v>
      </c>
    </row>
    <row r="17" spans="1:33" ht="20.25" x14ac:dyDescent="0.3">
      <c r="A17" s="831">
        <v>13</v>
      </c>
      <c r="B17" s="708">
        <f>'dmr 1'!B22</f>
        <v>53.42617720138891</v>
      </c>
      <c r="C17" s="766">
        <f>'dmr 1'!D22</f>
        <v>56.689736284722244</v>
      </c>
      <c r="D17" s="767">
        <f>'[1]Process Lab'!$L15</f>
        <v>3.37751550068714</v>
      </c>
      <c r="E17" s="768" t="e">
        <f>J17*#REF!*8.34/W17</f>
        <v>#REF!</v>
      </c>
      <c r="F17" s="699" t="e">
        <v>#REF!</v>
      </c>
      <c r="G17" s="699">
        <f>IF('[1]Plant Data'!R16="","",'[1]Plant Data'!R16)</f>
        <v>7.0167031718750028</v>
      </c>
      <c r="H17" s="699">
        <f>IF([2]TSS!E16="","",[2]TSS!E16)</f>
        <v>10</v>
      </c>
      <c r="I17" s="699"/>
      <c r="J17" s="699"/>
      <c r="K17" s="778">
        <f>IF([2]BOD!E16="","",[2]BOD!E16)</f>
        <v>8</v>
      </c>
      <c r="L17" s="734" t="e">
        <f t="shared" si="8"/>
        <v>#DIV/0!</v>
      </c>
      <c r="M17" s="699">
        <f>'[1]Process Lab'!AH15</f>
        <v>8</v>
      </c>
      <c r="N17" s="699"/>
      <c r="O17" s="699">
        <f>IF('[1]Plant Data'!AF16="","",'[1]Plant Data'!AF16)</f>
        <v>1690.9566275694442</v>
      </c>
      <c r="P17" s="699">
        <f>IF('dmr 3'!F22="","",'dmr 3'!F22)</f>
        <v>1048.3931090930555</v>
      </c>
      <c r="Q17" s="1397">
        <f>IF('[1]Plant Data'!U16="","",'[1]Plant Data'!U16)</f>
        <v>0</v>
      </c>
      <c r="R17" s="708">
        <f>IF('[1]Process Lab'!K15="","",'[1]Process Lab'!K15)</f>
        <v>271.33333333333331</v>
      </c>
      <c r="S17" s="699">
        <f>IF('[1]Process Lab'!D15="","",'[1]Process Lab'!D15)</f>
        <v>1835</v>
      </c>
      <c r="T17" s="699">
        <f>IF('[1]Process Lab'!E15="","",'[1]Process Lab'!E15)</f>
        <v>495.33333333333331</v>
      </c>
      <c r="U17" s="699">
        <f>IF('[1]Process Lab'!AH15="","",'[1]Process Lab'!AH15)</f>
        <v>8</v>
      </c>
      <c r="V17" s="699">
        <f>IF('[1]Process Lab'!AI15="","",'[1]Process Lab'!AI15)</f>
        <v>8</v>
      </c>
      <c r="W17" s="769">
        <f t="shared" si="9"/>
        <v>222824.78400000001</v>
      </c>
      <c r="X17" s="775">
        <f t="shared" si="10"/>
        <v>48251.0144</v>
      </c>
      <c r="Y17" s="780">
        <f t="shared" si="11"/>
        <v>271075.79840000003</v>
      </c>
      <c r="AA17" s="73">
        <f t="shared" si="3"/>
        <v>3.4619062328228671</v>
      </c>
      <c r="AB17" s="72">
        <f t="shared" si="4"/>
        <v>271075.79840000003</v>
      </c>
      <c r="AC17" s="72">
        <f t="shared" si="5"/>
        <v>78302.46695588938</v>
      </c>
      <c r="AD17" s="72">
        <f>IF('WAS-TWAS'!C17="","",'WAS-TWAS'!C17)</f>
        <v>73574.54294974354</v>
      </c>
      <c r="AE17" s="72">
        <f t="shared" si="6"/>
        <v>4727.9240061458349</v>
      </c>
      <c r="AF17" s="73"/>
      <c r="AG17" s="73">
        <f t="shared" si="7"/>
        <v>3.0285581814922673</v>
      </c>
    </row>
    <row r="18" spans="1:33" ht="20.25" x14ac:dyDescent="0.3">
      <c r="A18" s="831">
        <v>14</v>
      </c>
      <c r="B18" s="708">
        <f>'dmr 1'!B23</f>
        <v>54.302129215277787</v>
      </c>
      <c r="C18" s="766">
        <f>'dmr 1'!D23</f>
        <v>59.238072753472281</v>
      </c>
      <c r="D18" s="767">
        <f>'[1]Process Lab'!$L16</f>
        <v>3.3863489971242413</v>
      </c>
      <c r="E18" s="768" t="e">
        <f>J18*#REF!*8.34/W18</f>
        <v>#REF!</v>
      </c>
      <c r="F18" s="699" t="e">
        <v>#REF!</v>
      </c>
      <c r="G18" s="699">
        <f>IF('[1]Plant Data'!R17="","",'[1]Plant Data'!R17)</f>
        <v>7.3005106850694563</v>
      </c>
      <c r="H18" s="699">
        <f>IF([2]TSS!E17="","",[2]TSS!E17)</f>
        <v>14</v>
      </c>
      <c r="I18" s="699"/>
      <c r="J18" s="699"/>
      <c r="K18" s="778">
        <f>IF([2]BOD!E17="","",[2]BOD!E17)</f>
        <v>7</v>
      </c>
      <c r="L18" s="734" t="e">
        <f t="shared" si="8"/>
        <v>#DIV/0!</v>
      </c>
      <c r="M18" s="699">
        <f>'[1]Process Lab'!AH16</f>
        <v>8</v>
      </c>
      <c r="N18" s="699"/>
      <c r="O18" s="699">
        <f>IF('[1]Plant Data'!AF17="","",'[1]Plant Data'!AF17)</f>
        <v>1648.1204309375028</v>
      </c>
      <c r="P18" s="699">
        <f>IF('dmr 3'!F23="","",'dmr 3'!F23)</f>
        <v>1021.8346671812517</v>
      </c>
      <c r="Q18" s="1397">
        <f>IF('[1]Plant Data'!U17="","",'[1]Plant Data'!U17)</f>
        <v>0</v>
      </c>
      <c r="R18" s="708">
        <f>IF('[1]Process Lab'!K16="","",'[1]Process Lab'!K16)</f>
        <v>281.66666666666669</v>
      </c>
      <c r="S18" s="699">
        <f>IF('[1]Process Lab'!D16="","",'[1]Process Lab'!D16)</f>
        <v>1723.3333333333333</v>
      </c>
      <c r="T18" s="699">
        <f>IF('[1]Process Lab'!E16="","",'[1]Process Lab'!E16)</f>
        <v>770.33333333333337</v>
      </c>
      <c r="U18" s="699">
        <f>IF('[1]Process Lab'!AH16="","",'[1]Process Lab'!AH16)</f>
        <v>8</v>
      </c>
      <c r="V18" s="699">
        <f>IF('[1]Process Lab'!AI16="","",'[1]Process Lab'!AI16)</f>
        <v>8</v>
      </c>
      <c r="W18" s="769">
        <f t="shared" si="9"/>
        <v>209265.05599999998</v>
      </c>
      <c r="X18" s="775">
        <f t="shared" si="10"/>
        <v>75039.094400000002</v>
      </c>
      <c r="Y18" s="780">
        <f t="shared" si="11"/>
        <v>284304.15039999998</v>
      </c>
      <c r="AA18" s="73">
        <f t="shared" si="3"/>
        <v>3.4825032124560953</v>
      </c>
      <c r="AB18" s="72">
        <f t="shared" si="4"/>
        <v>284304.15039999998</v>
      </c>
      <c r="AC18" s="72">
        <f t="shared" si="5"/>
        <v>81637.871684686717</v>
      </c>
      <c r="AD18" s="72">
        <f>IF('WAS-TWAS'!C18="","",'WAS-TWAS'!C18)</f>
        <v>74721.234309991298</v>
      </c>
      <c r="AE18" s="72">
        <f t="shared" si="6"/>
        <v>6916.6373746954232</v>
      </c>
      <c r="AF18" s="73"/>
      <c r="AG18" s="73">
        <f t="shared" si="7"/>
        <v>2.8006102673817614</v>
      </c>
    </row>
    <row r="19" spans="1:33" ht="20.25" x14ac:dyDescent="0.3">
      <c r="A19" s="831">
        <v>15</v>
      </c>
      <c r="B19" s="708">
        <f>'dmr 1'!B24</f>
        <v>53.210505878472226</v>
      </c>
      <c r="C19" s="766">
        <f>'dmr 1'!D24</f>
        <v>56.735524038194519</v>
      </c>
      <c r="D19" s="767">
        <f>'[1]Process Lab'!$L17</f>
        <v>3.6482871612638288</v>
      </c>
      <c r="E19" s="768" t="e">
        <f>J19*#REF!*8.34/W19</f>
        <v>#REF!</v>
      </c>
      <c r="F19" s="699" t="e">
        <v>#REF!</v>
      </c>
      <c r="G19" s="699">
        <f>IF('[1]Plant Data'!R18="","",'[1]Plant Data'!R18)</f>
        <v>7.4587404996527686</v>
      </c>
      <c r="H19" s="699">
        <f>IF([2]TSS!E18="","",[2]TSS!E18)</f>
        <v>27</v>
      </c>
      <c r="I19" s="699"/>
      <c r="J19" s="699"/>
      <c r="K19" s="778">
        <f>IF([2]BOD!E18="","",[2]BOD!E18)</f>
        <v>8</v>
      </c>
      <c r="L19" s="734" t="e">
        <f t="shared" si="8"/>
        <v>#DIV/0!</v>
      </c>
      <c r="M19" s="699">
        <f>'[1]Process Lab'!AH17</f>
        <v>8</v>
      </c>
      <c r="N19" s="699"/>
      <c r="O19" s="699">
        <f>IF('[1]Plant Data'!AF18="","",'[1]Plant Data'!AF18)</f>
        <v>1618.4715240972246</v>
      </c>
      <c r="P19" s="699">
        <f>IF('dmr 3'!F24="","",'dmr 3'!F24)</f>
        <v>1003.4523449402792</v>
      </c>
      <c r="Q19" s="1397">
        <f>IF('[1]Plant Data'!U18="","",'[1]Plant Data'!U18)</f>
        <v>0</v>
      </c>
      <c r="R19" s="708">
        <f>IF('[1]Process Lab'!K17="","",'[1]Process Lab'!K17)</f>
        <v>239.33333333333334</v>
      </c>
      <c r="S19" s="699">
        <f>IF('[1]Process Lab'!D17="","",'[1]Process Lab'!D17)</f>
        <v>1790.6666666666667</v>
      </c>
      <c r="T19" s="699">
        <f>IF('[1]Process Lab'!E17="","",'[1]Process Lab'!E17)</f>
        <v>467</v>
      </c>
      <c r="U19" s="699">
        <f>IF('[1]Process Lab'!AH17="","",'[1]Process Lab'!AH17)</f>
        <v>8</v>
      </c>
      <c r="V19" s="699">
        <f>IF('[1]Process Lab'!AI17="","",'[1]Process Lab'!AI17)</f>
        <v>8</v>
      </c>
      <c r="W19" s="769">
        <f t="shared" si="9"/>
        <v>217441.36960000001</v>
      </c>
      <c r="X19" s="775">
        <f t="shared" si="10"/>
        <v>45491.030399999996</v>
      </c>
      <c r="Y19" s="780">
        <f t="shared" si="11"/>
        <v>262932.40000000002</v>
      </c>
      <c r="AA19" s="73">
        <f t="shared" si="3"/>
        <v>3.1103789744072019</v>
      </c>
      <c r="AB19" s="72">
        <f t="shared" si="4"/>
        <v>262932.40000000002</v>
      </c>
      <c r="AC19" s="72">
        <f t="shared" si="5"/>
        <v>84533.879042862143</v>
      </c>
      <c r="AD19" s="72">
        <f>IF('WAS-TWAS'!C19="","",'WAS-TWAS'!C19)</f>
        <v>71758.1737399415</v>
      </c>
      <c r="AE19" s="72">
        <f t="shared" si="6"/>
        <v>12775.705302920642</v>
      </c>
      <c r="AF19" s="73"/>
      <c r="AG19" s="73">
        <f t="shared" si="7"/>
        <v>3.0301965374429449</v>
      </c>
    </row>
    <row r="20" spans="1:33" ht="20.25" x14ac:dyDescent="0.3">
      <c r="A20" s="831">
        <v>16</v>
      </c>
      <c r="B20" s="708">
        <f>'dmr 1'!B25</f>
        <v>68.516345393857577</v>
      </c>
      <c r="C20" s="766">
        <f>'dmr 1'!D25</f>
        <v>66.036492493055562</v>
      </c>
      <c r="D20" s="767">
        <f>'[1]Process Lab'!$L18</f>
        <v>3.7829292325120902</v>
      </c>
      <c r="E20" s="768" t="e">
        <f>J20*#REF!*8.34/W20</f>
        <v>#REF!</v>
      </c>
      <c r="F20" s="699" t="e">
        <v>#REF!</v>
      </c>
      <c r="G20" s="699">
        <f>IF('[1]Plant Data'!R19="","",'[1]Plant Data'!R19)</f>
        <v>7.6913625069444427</v>
      </c>
      <c r="H20" s="699">
        <f>IF([2]TSS!E19="","",[2]TSS!E19)</f>
        <v>21</v>
      </c>
      <c r="I20" s="699"/>
      <c r="J20" s="699"/>
      <c r="K20" s="778">
        <f>IF([2]BOD!E19="","",[2]BOD!E19)</f>
        <v>9</v>
      </c>
      <c r="L20" s="734" t="e">
        <f t="shared" si="8"/>
        <v>#DIV/0!</v>
      </c>
      <c r="M20" s="699">
        <f>'[1]Process Lab'!AH18</f>
        <v>8</v>
      </c>
      <c r="N20" s="699"/>
      <c r="O20" s="699">
        <f>IF('[1]Plant Data'!AF19="","",'[1]Plant Data'!AF19)</f>
        <v>1810.272367777776</v>
      </c>
      <c r="P20" s="699">
        <f>IF('dmr 3'!F25="","",'dmr 3'!F25)</f>
        <v>1122.368868022221</v>
      </c>
      <c r="Q20" s="1397">
        <f>IF('[1]Plant Data'!U19="","",'[1]Plant Data'!U19)</f>
        <v>0</v>
      </c>
      <c r="R20" s="708">
        <f>IF('[1]Process Lab'!K18="","",'[1]Process Lab'!K18)</f>
        <v>204.66666666666666</v>
      </c>
      <c r="S20" s="699">
        <f>IF('[1]Process Lab'!D18="","",'[1]Process Lab'!D18)</f>
        <v>2024.3333333333333</v>
      </c>
      <c r="T20" s="699">
        <f>IF('[1]Process Lab'!E18="","",'[1]Process Lab'!E18)</f>
        <v>446.33333333333331</v>
      </c>
      <c r="U20" s="699">
        <f>IF('[1]Process Lab'!AH18="","",'[1]Process Lab'!AH18)</f>
        <v>8</v>
      </c>
      <c r="V20" s="699">
        <f>IF('[1]Process Lab'!AI18="","",'[1]Process Lab'!AI18)</f>
        <v>8</v>
      </c>
      <c r="W20" s="769">
        <f t="shared" si="9"/>
        <v>245815.60639999999</v>
      </c>
      <c r="X20" s="775">
        <f t="shared" si="10"/>
        <v>43477.865599999997</v>
      </c>
      <c r="Y20" s="780">
        <f t="shared" si="11"/>
        <v>289293.47200000001</v>
      </c>
      <c r="AA20" s="73">
        <f t="shared" si="3"/>
        <v>3.5039078421966461</v>
      </c>
      <c r="AB20" s="72">
        <f t="shared" si="4"/>
        <v>289293.47200000001</v>
      </c>
      <c r="AC20" s="72">
        <f t="shared" si="5"/>
        <v>82563.093845138952</v>
      </c>
      <c r="AD20" s="72">
        <f>IF('WAS-TWAS'!C20="","",'WAS-TWAS'!C20)</f>
        <v>70997.462549905205</v>
      </c>
      <c r="AE20" s="72">
        <f t="shared" si="6"/>
        <v>11565.63129523375</v>
      </c>
      <c r="AF20" s="73"/>
      <c r="AG20" s="73">
        <f t="shared" si="7"/>
        <v>3.4623153782040088</v>
      </c>
    </row>
    <row r="21" spans="1:33" ht="20.25" x14ac:dyDescent="0.3">
      <c r="A21" s="831">
        <v>17</v>
      </c>
      <c r="B21" s="708">
        <f>'dmr 1'!B26</f>
        <v>60.510709100694569</v>
      </c>
      <c r="C21" s="766">
        <f>'dmr 1'!D26</f>
        <v>70.716513208333325</v>
      </c>
      <c r="D21" s="767">
        <f>'[1]Process Lab'!$L19</f>
        <v>3.8322223592266949</v>
      </c>
      <c r="E21" s="768" t="e">
        <f>J21*#REF!*8.34/W21</f>
        <v>#REF!</v>
      </c>
      <c r="F21" s="699" t="e">
        <v>#REF!</v>
      </c>
      <c r="G21" s="699">
        <f>IF('[1]Plant Data'!R20="","",'[1]Plant Data'!R20)</f>
        <v>8.6687735517360966</v>
      </c>
      <c r="H21" s="699">
        <f>IF([2]TSS!E20="","",[2]TSS!E20)</f>
        <v>16</v>
      </c>
      <c r="I21" s="699"/>
      <c r="J21" s="699"/>
      <c r="K21" s="778">
        <f>IF([2]BOD!E20="","",[2]BOD!E20)</f>
        <v>10</v>
      </c>
      <c r="L21" s="734" t="e">
        <f t="shared" si="8"/>
        <v>#DIV/0!</v>
      </c>
      <c r="M21" s="699">
        <f>'[1]Process Lab'!AH19</f>
        <v>8</v>
      </c>
      <c r="N21" s="699"/>
      <c r="O21" s="699">
        <f>IF('[1]Plant Data'!AF20="","",'[1]Plant Data'!AF20)</f>
        <v>1681.2712764236112</v>
      </c>
      <c r="P21" s="699">
        <f>IF('dmr 3'!F26="","",'dmr 3'!F26)</f>
        <v>1042.388191382639</v>
      </c>
      <c r="Q21" s="1397">
        <f>IF('[1]Plant Data'!U20="","",'[1]Plant Data'!U20)</f>
        <v>0</v>
      </c>
      <c r="R21" s="708">
        <f>IF('[1]Process Lab'!K19="","",'[1]Process Lab'!K19)</f>
        <v>243</v>
      </c>
      <c r="S21" s="699">
        <f>IF('[1]Process Lab'!D19="","",'[1]Process Lab'!D19)</f>
        <v>2054</v>
      </c>
      <c r="T21" s="699">
        <f>IF('[1]Process Lab'!E19="","",'[1]Process Lab'!E19)</f>
        <v>739.66666666666663</v>
      </c>
      <c r="U21" s="699">
        <f>IF('[1]Process Lab'!AH19="","",'[1]Process Lab'!AH19)</f>
        <v>8</v>
      </c>
      <c r="V21" s="699">
        <f>IF('[1]Process Lab'!AI19="","",'[1]Process Lab'!AI19)</f>
        <v>8</v>
      </c>
      <c r="W21" s="769">
        <f t="shared" si="9"/>
        <v>249418.04160000003</v>
      </c>
      <c r="X21" s="775">
        <f t="shared" si="10"/>
        <v>72051.817599999995</v>
      </c>
      <c r="Y21" s="780">
        <f t="shared" si="11"/>
        <v>321469.85920000001</v>
      </c>
      <c r="AA21" s="73">
        <f t="shared" si="3"/>
        <v>3.5026054781131983</v>
      </c>
      <c r="AB21" s="72">
        <f t="shared" si="4"/>
        <v>321469.85920000001</v>
      </c>
      <c r="AC21" s="72">
        <f t="shared" si="5"/>
        <v>91780.207964835092</v>
      </c>
      <c r="AD21" s="72">
        <f>IF('WAS-TWAS'!C21="","",'WAS-TWAS'!C21)</f>
        <v>82343.796442315099</v>
      </c>
      <c r="AE21" s="72">
        <f t="shared" si="6"/>
        <v>9436.4115225199985</v>
      </c>
      <c r="AF21" s="73"/>
      <c r="AG21" s="73">
        <f t="shared" si="7"/>
        <v>3.0289839960770655</v>
      </c>
    </row>
    <row r="22" spans="1:33" ht="20.25" x14ac:dyDescent="0.3">
      <c r="A22" s="831">
        <v>18</v>
      </c>
      <c r="B22" s="708">
        <f>'dmr 1'!B27</f>
        <v>131.26475308333329</v>
      </c>
      <c r="C22" s="766">
        <f>'dmr 1'!D27</f>
        <v>85.819587923611024</v>
      </c>
      <c r="D22" s="767">
        <f>'[1]Process Lab'!$L20</f>
        <v>3.7984732163015273</v>
      </c>
      <c r="E22" s="768" t="e">
        <f>J22*#REF!*8.34/W22</f>
        <v>#REF!</v>
      </c>
      <c r="F22" s="699" t="e">
        <v>#REF!</v>
      </c>
      <c r="G22" s="699">
        <f>IF('[1]Plant Data'!R21="","",'[1]Plant Data'!R21)</f>
        <v>8.8828787718750224</v>
      </c>
      <c r="H22" s="699">
        <f>IF([2]TSS!E21="","",[2]TSS!E21)</f>
        <v>16</v>
      </c>
      <c r="I22" s="699"/>
      <c r="J22" s="699"/>
      <c r="K22" s="778">
        <f>IF([2]BOD!E21="","",[2]BOD!E21)</f>
        <v>9</v>
      </c>
      <c r="L22" s="734" t="e">
        <f t="shared" si="8"/>
        <v>#DIV/0!</v>
      </c>
      <c r="M22" s="699">
        <f>'[1]Process Lab'!AH20</f>
        <v>8</v>
      </c>
      <c r="N22" s="699"/>
      <c r="O22" s="699">
        <f>IF('[1]Plant Data'!AF21="","",'[1]Plant Data'!AF21)</f>
        <v>3335.293662236355</v>
      </c>
      <c r="P22" s="699">
        <f>IF('dmr 3'!F27="","",'dmr 3'!F27)</f>
        <v>2067.8820705865401</v>
      </c>
      <c r="Q22" s="1397">
        <f>IF('[1]Plant Data'!U21="","",'[1]Plant Data'!U21)</f>
        <v>0</v>
      </c>
      <c r="R22" s="708">
        <f>IF('[1]Process Lab'!K20="","",'[1]Process Lab'!K20)</f>
        <v>227.33333333333334</v>
      </c>
      <c r="S22" s="699">
        <f>IF('[1]Process Lab'!D20="","",'[1]Process Lab'!D20)</f>
        <v>1987.6666666666667</v>
      </c>
      <c r="T22" s="699">
        <f>IF('[1]Process Lab'!E20="","",'[1]Process Lab'!E20)</f>
        <v>943</v>
      </c>
      <c r="U22" s="699">
        <f>IF('[1]Process Lab'!AH20="","",'[1]Process Lab'!AH20)</f>
        <v>8</v>
      </c>
      <c r="V22" s="699">
        <f>IF('[1]Process Lab'!AI20="","",'[1]Process Lab'!AI20)</f>
        <v>8</v>
      </c>
      <c r="W22" s="769">
        <f t="shared" si="9"/>
        <v>241363.15839999999</v>
      </c>
      <c r="X22" s="775">
        <f t="shared" si="10"/>
        <v>91858.761599999998</v>
      </c>
      <c r="Y22" s="780">
        <f t="shared" si="11"/>
        <v>333221.92</v>
      </c>
      <c r="AA22" s="73">
        <f t="shared" si="3"/>
        <v>3.1346422731299173</v>
      </c>
      <c r="AB22" s="72">
        <f t="shared" si="4"/>
        <v>333221.92</v>
      </c>
      <c r="AC22" s="72">
        <f t="shared" si="5"/>
        <v>106303.01353885602</v>
      </c>
      <c r="AD22" s="72">
        <f>IF('WAS-TWAS'!C22="","",'WAS-TWAS'!C22)</f>
        <v>94851.247726329355</v>
      </c>
      <c r="AE22" s="72">
        <f t="shared" si="6"/>
        <v>11451.765812526655</v>
      </c>
      <c r="AF22" s="73"/>
      <c r="AG22" s="73">
        <f t="shared" si="7"/>
        <v>2.5446492712082796</v>
      </c>
    </row>
    <row r="23" spans="1:33" ht="20.25" x14ac:dyDescent="0.3">
      <c r="A23" s="831">
        <v>19</v>
      </c>
      <c r="B23" s="708">
        <f>'dmr 1'!B28</f>
        <v>188.44385234840274</v>
      </c>
      <c r="C23" s="766">
        <f>'dmr 1'!D28</f>
        <v>115.88933301736117</v>
      </c>
      <c r="D23" s="767">
        <f>'[1]Process Lab'!$L21</f>
        <v>3.8681899640678719</v>
      </c>
      <c r="E23" s="768" t="e">
        <f>J23*#REF!*8.34/W23</f>
        <v>#REF!</v>
      </c>
      <c r="F23" s="699" t="e">
        <v>#REF!</v>
      </c>
      <c r="G23" s="699">
        <f>IF('[1]Plant Data'!R22="","",'[1]Plant Data'!R22)</f>
        <v>17.392257844791704</v>
      </c>
      <c r="H23" s="699">
        <f>IF([2]TSS!E22="","",[2]TSS!E22)</f>
        <v>35</v>
      </c>
      <c r="I23" s="699"/>
      <c r="J23" s="699"/>
      <c r="K23" s="778">
        <f>IF([2]BOD!E22="","",[2]BOD!E22)</f>
        <v>16</v>
      </c>
      <c r="L23" s="734" t="e">
        <f t="shared" si="8"/>
        <v>#DIV/0!</v>
      </c>
      <c r="M23" s="699">
        <f>'[1]Process Lab'!AH21</f>
        <v>8</v>
      </c>
      <c r="N23" s="699"/>
      <c r="O23" s="699">
        <f>IF('[1]Plant Data'!AF22="","",'[1]Plant Data'!AF22)</f>
        <v>3813.8748779678526</v>
      </c>
      <c r="P23" s="699">
        <f>IF('dmr 3'!F28="","",'dmr 3'!F28)</f>
        <v>2364.6024243400684</v>
      </c>
      <c r="Q23" s="1397">
        <f>IF('[1]Plant Data'!U22="","",'[1]Plant Data'!U22)</f>
        <v>0</v>
      </c>
      <c r="R23" s="708">
        <f>IF('[1]Process Lab'!K21="","",'[1]Process Lab'!K21)</f>
        <v>240</v>
      </c>
      <c r="S23" s="699">
        <f>IF('[1]Process Lab'!D21="","",'[1]Process Lab'!D21)</f>
        <v>1040</v>
      </c>
      <c r="T23" s="699">
        <f>IF('[1]Process Lab'!E21="","",'[1]Process Lab'!E21)</f>
        <v>1404</v>
      </c>
      <c r="U23" s="699">
        <f>IF('[1]Process Lab'!AH21="","",'[1]Process Lab'!AH21)</f>
        <v>8</v>
      </c>
      <c r="V23" s="699">
        <f>IF('[1]Process Lab'!AI21="","",'[1]Process Lab'!AI21)</f>
        <v>8</v>
      </c>
      <c r="W23" s="769">
        <f t="shared" si="9"/>
        <v>126287.61600000001</v>
      </c>
      <c r="X23" s="775">
        <f t="shared" si="10"/>
        <v>136765.3248</v>
      </c>
      <c r="Y23" s="780">
        <f t="shared" si="11"/>
        <v>263052.94079999998</v>
      </c>
      <c r="AA23" s="73">
        <f t="shared" si="3"/>
        <v>1.9314617979383757</v>
      </c>
      <c r="AB23" s="72">
        <f t="shared" si="4"/>
        <v>263052.94079999998</v>
      </c>
      <c r="AC23" s="72">
        <f t="shared" si="5"/>
        <v>136193.70628027964</v>
      </c>
      <c r="AD23" s="72">
        <f>IF('WAS-TWAS'!C23="","",'WAS-TWAS'!C23)</f>
        <v>102365.60997251193</v>
      </c>
      <c r="AE23" s="72">
        <f t="shared" si="6"/>
        <v>33828.096307767722</v>
      </c>
      <c r="AF23" s="73"/>
      <c r="AG23" s="73">
        <f t="shared" si="7"/>
        <v>1.2336918232003093</v>
      </c>
    </row>
    <row r="24" spans="1:33" ht="20.25" x14ac:dyDescent="0.3">
      <c r="A24" s="831">
        <v>20</v>
      </c>
      <c r="B24" s="708">
        <f>'dmr 1'!B29</f>
        <v>145.46042676736121</v>
      </c>
      <c r="C24" s="766">
        <f>'dmr 1'!D29</f>
        <v>104.33788848263907</v>
      </c>
      <c r="D24" s="767">
        <f>'[1]Process Lab'!$L22</f>
        <v>3.6492028051026946</v>
      </c>
      <c r="E24" s="768" t="e">
        <f>J24*#REF!*8.34/W24</f>
        <v>#REF!</v>
      </c>
      <c r="F24" s="699" t="e">
        <v>#REF!</v>
      </c>
      <c r="G24" s="699">
        <f>IF('[1]Plant Data'!R23="","",'[1]Plant Data'!R23)</f>
        <v>8.7089143538194733</v>
      </c>
      <c r="H24" s="699">
        <f>IF([2]TSS!E23="","",[2]TSS!E23)</f>
        <v>17</v>
      </c>
      <c r="I24" s="699"/>
      <c r="J24" s="699"/>
      <c r="K24" s="778">
        <f>IF([2]BOD!E23="","",[2]BOD!E23)</f>
        <v>8</v>
      </c>
      <c r="L24" s="734" t="e">
        <f t="shared" si="8"/>
        <v>#DIV/0!</v>
      </c>
      <c r="M24" s="699">
        <f>'[1]Process Lab'!AH22</f>
        <v>8</v>
      </c>
      <c r="N24" s="699"/>
      <c r="O24" s="699">
        <f>IF('[1]Plant Data'!AF23="","",'[1]Plant Data'!AF23)</f>
        <v>2910.2554941985063</v>
      </c>
      <c r="P24" s="699">
        <f>IF('dmr 3'!F29="","",'dmr 3'!F29)</f>
        <v>1804.358406403074</v>
      </c>
      <c r="Q24" s="1397">
        <f>IF('[1]Plant Data'!U23="","",'[1]Plant Data'!U23)</f>
        <v>0</v>
      </c>
      <c r="R24" s="708">
        <f>IF('[1]Process Lab'!K22="","",'[1]Process Lab'!K22)</f>
        <v>255</v>
      </c>
      <c r="S24" s="699">
        <f>IF('[1]Process Lab'!D22="","",'[1]Process Lab'!D22)</f>
        <v>1432.5</v>
      </c>
      <c r="T24" s="699">
        <f>IF('[1]Process Lab'!E22="","",'[1]Process Lab'!E22)</f>
        <v>637.5</v>
      </c>
      <c r="U24" s="699">
        <f>IF('[1]Process Lab'!AH22="","",'[1]Process Lab'!AH22)</f>
        <v>8</v>
      </c>
      <c r="V24" s="699">
        <f>IF('[1]Process Lab'!AI22="","",'[1]Process Lab'!AI22)</f>
        <v>8</v>
      </c>
      <c r="W24" s="769">
        <f t="shared" si="9"/>
        <v>173949.04800000001</v>
      </c>
      <c r="X24" s="775">
        <f t="shared" si="10"/>
        <v>62099.64</v>
      </c>
      <c r="Y24" s="780">
        <f t="shared" si="11"/>
        <v>236048.68800000002</v>
      </c>
      <c r="AA24" s="73">
        <f t="shared" si="3"/>
        <v>2.1635665301952938</v>
      </c>
      <c r="AB24" s="72">
        <f t="shared" si="4"/>
        <v>236048.68800000002</v>
      </c>
      <c r="AC24" s="72">
        <f t="shared" si="5"/>
        <v>109101.65446989659</v>
      </c>
      <c r="AD24" s="72">
        <f>IF('WAS-TWAS'!C24="","",'WAS-TWAS'!C24)</f>
        <v>94308.628640828014</v>
      </c>
      <c r="AE24" s="72">
        <f t="shared" si="6"/>
        <v>14793.025829068569</v>
      </c>
      <c r="AF24" s="73"/>
      <c r="AG24" s="73">
        <f t="shared" si="7"/>
        <v>1.8444658829944447</v>
      </c>
    </row>
    <row r="25" spans="1:33" ht="20.25" x14ac:dyDescent="0.3">
      <c r="A25" s="831">
        <v>21</v>
      </c>
      <c r="B25" s="708">
        <f>'dmr 1'!B30</f>
        <v>67.602457659722162</v>
      </c>
      <c r="C25" s="766">
        <f>'dmr 1'!D30</f>
        <v>80.501469586805641</v>
      </c>
      <c r="D25" s="767">
        <f>'[1]Process Lab'!$L23</f>
        <v>3.5381174706468372</v>
      </c>
      <c r="E25" s="768" t="e">
        <f>J25*#REF!*8.34/W25</f>
        <v>#REF!</v>
      </c>
      <c r="F25" s="699" t="e">
        <v>#REF!</v>
      </c>
      <c r="G25" s="699">
        <f>IF('[1]Plant Data'!R24="","",'[1]Plant Data'!R24)</f>
        <v>7.9388027878472185</v>
      </c>
      <c r="H25" s="699">
        <f>IF([2]TSS!E24="","",[2]TSS!E24)</f>
        <v>22</v>
      </c>
      <c r="I25" s="699"/>
      <c r="J25" s="699"/>
      <c r="K25" s="778">
        <f>IF([2]BOD!E24="","",[2]BOD!E24)</f>
        <v>11</v>
      </c>
      <c r="L25" s="734" t="e">
        <f t="shared" si="8"/>
        <v>#DIV/0!</v>
      </c>
      <c r="M25" s="699">
        <f>'[1]Process Lab'!AH23</f>
        <v>8</v>
      </c>
      <c r="N25" s="699"/>
      <c r="O25" s="699">
        <f>IF('[1]Plant Data'!AF24="","",'[1]Plant Data'!AF24)</f>
        <v>1480.001657951389</v>
      </c>
      <c r="P25" s="699">
        <f>IF('dmr 3'!F30="","",'dmr 3'!F30)</f>
        <v>917.60102792986117</v>
      </c>
      <c r="Q25" s="1397">
        <f>IF('[1]Plant Data'!U24="","",'[1]Plant Data'!U24)</f>
        <v>0</v>
      </c>
      <c r="R25" s="708">
        <f>IF('[1]Process Lab'!K23="","",'[1]Process Lab'!K23)</f>
        <v>223</v>
      </c>
      <c r="S25" s="699">
        <f>IF('[1]Process Lab'!D23="","",'[1]Process Lab'!D23)</f>
        <v>1701.6666666666667</v>
      </c>
      <c r="T25" s="699">
        <f>IF('[1]Process Lab'!E23="","",'[1]Process Lab'!E23)</f>
        <v>1070.3333333333333</v>
      </c>
      <c r="U25" s="699">
        <f>IF('[1]Process Lab'!AH23="","",'[1]Process Lab'!AH23)</f>
        <v>8</v>
      </c>
      <c r="V25" s="699">
        <f>IF('[1]Process Lab'!AI23="","",'[1]Process Lab'!AI23)</f>
        <v>8</v>
      </c>
      <c r="W25" s="769">
        <f t="shared" si="9"/>
        <v>206634.06400000001</v>
      </c>
      <c r="X25" s="775">
        <f t="shared" si="10"/>
        <v>104262.4544</v>
      </c>
      <c r="Y25" s="780">
        <f t="shared" si="11"/>
        <v>310896.5184</v>
      </c>
      <c r="AA25" s="73">
        <f t="shared" si="3"/>
        <v>3.0955643005275029</v>
      </c>
      <c r="AB25" s="72">
        <f t="shared" si="4"/>
        <v>310896.5184</v>
      </c>
      <c r="AC25" s="72">
        <f t="shared" si="5"/>
        <v>100432.90599617697</v>
      </c>
      <c r="AD25" s="72">
        <f>IF('WAS-TWAS'!C25="","",'WAS-TWAS'!C25)</f>
        <v>85662.496356389864</v>
      </c>
      <c r="AE25" s="72">
        <f t="shared" si="6"/>
        <v>14770.4096397871</v>
      </c>
      <c r="AF25" s="73"/>
      <c r="AG25" s="73">
        <f t="shared" si="7"/>
        <v>2.4121882129178278</v>
      </c>
    </row>
    <row r="26" spans="1:33" ht="20.25" x14ac:dyDescent="0.3">
      <c r="A26" s="831">
        <v>22</v>
      </c>
      <c r="B26" s="708">
        <f>'dmr 1'!B31</f>
        <v>116.1367787708331</v>
      </c>
      <c r="C26" s="766">
        <f>'dmr 1'!D31</f>
        <v>90.231042760416614</v>
      </c>
      <c r="D26" s="767">
        <f>'[1]Process Lab'!$L24</f>
        <v>3.4984070964886058</v>
      </c>
      <c r="E26" s="768" t="e">
        <f>J26*#REF!*8.34/W26</f>
        <v>#REF!</v>
      </c>
      <c r="F26" s="699" t="e">
        <v>#REF!</v>
      </c>
      <c r="G26" s="699">
        <f>IF('[1]Plant Data'!R25="","",'[1]Plant Data'!R25)</f>
        <v>9.0955062569444287</v>
      </c>
      <c r="H26" s="699">
        <f>IF([2]TSS!E25="","",[2]TSS!E25)</f>
        <v>17</v>
      </c>
      <c r="I26" s="699"/>
      <c r="J26" s="699"/>
      <c r="K26" s="778">
        <f>IF([2]BOD!E25="","",[2]BOD!E25)</f>
        <v>12</v>
      </c>
      <c r="L26" s="734" t="e">
        <f t="shared" si="8"/>
        <v>#DIV/0!</v>
      </c>
      <c r="M26" s="699">
        <f>'[1]Process Lab'!AH24</f>
        <v>8</v>
      </c>
      <c r="N26" s="699"/>
      <c r="O26" s="699">
        <f>IF('[1]Plant Data'!AF25="","",'[1]Plant Data'!AF25)</f>
        <v>2493.9775853142355</v>
      </c>
      <c r="P26" s="699">
        <f>IF('dmr 3'!F31="","",'dmr 3'!F31)</f>
        <v>1546.266102894826</v>
      </c>
      <c r="Q26" s="1397">
        <f>IF('[1]Plant Data'!U25="","",'[1]Plant Data'!U25)</f>
        <v>0</v>
      </c>
      <c r="R26" s="708">
        <f>IF('[1]Process Lab'!K24="","",'[1]Process Lab'!K24)</f>
        <v>188.66666666666666</v>
      </c>
      <c r="S26" s="699">
        <f>IF('[1]Process Lab'!D24="","",'[1]Process Lab'!D24)</f>
        <v>1654.6666666666667</v>
      </c>
      <c r="T26" s="699">
        <f>IF('[1]Process Lab'!E24="","",'[1]Process Lab'!E24)</f>
        <v>707.33333333333337</v>
      </c>
      <c r="U26" s="699">
        <f>IF('[1]Process Lab'!AH24="","",'[1]Process Lab'!AH24)</f>
        <v>8</v>
      </c>
      <c r="V26" s="699">
        <f>IF('[1]Process Lab'!AI24="","",'[1]Process Lab'!AI24)</f>
        <v>8</v>
      </c>
      <c r="W26" s="769">
        <f t="shared" si="9"/>
        <v>200926.8352</v>
      </c>
      <c r="X26" s="775">
        <f t="shared" si="10"/>
        <v>68902.188800000004</v>
      </c>
      <c r="Y26" s="780">
        <f t="shared" si="11"/>
        <v>269829.02399999998</v>
      </c>
      <c r="AA26" s="73">
        <f t="shared" si="3"/>
        <v>2.9051651088100963</v>
      </c>
      <c r="AB26" s="72">
        <f t="shared" si="4"/>
        <v>269829.02399999998</v>
      </c>
      <c r="AC26" s="72">
        <f t="shared" si="5"/>
        <v>92879.066729022205</v>
      </c>
      <c r="AD26" s="72">
        <f>IF('WAS-TWAS'!C26="","",'WAS-TWAS'!C26)</f>
        <v>80086.109486450339</v>
      </c>
      <c r="AE26" s="72">
        <f t="shared" si="6"/>
        <v>12792.957242571869</v>
      </c>
      <c r="AF26" s="73"/>
      <c r="AG26" s="73">
        <f t="shared" si="7"/>
        <v>2.5088849550619581</v>
      </c>
    </row>
    <row r="27" spans="1:33" ht="20.25" x14ac:dyDescent="0.3">
      <c r="A27" s="831">
        <v>23</v>
      </c>
      <c r="B27" s="708">
        <f>'dmr 1'!B32</f>
        <v>82.363051128472321</v>
      </c>
      <c r="C27" s="766">
        <f>'dmr 1'!D32</f>
        <v>94.460625118055702</v>
      </c>
      <c r="D27" s="767">
        <f>'[1]Process Lab'!$L25</f>
        <v>3.3769449482828544</v>
      </c>
      <c r="E27" s="768" t="e">
        <f>J27*#REF!*8.34/W27</f>
        <v>#REF!</v>
      </c>
      <c r="F27" s="699" t="e">
        <v>#REF!</v>
      </c>
      <c r="G27" s="699">
        <f>IF('[1]Plant Data'!R26="","",'[1]Plant Data'!R26)</f>
        <v>9.6885069357638667</v>
      </c>
      <c r="H27" s="699">
        <f>IF([2]TSS!E26="","",[2]TSS!E26)</f>
        <v>16</v>
      </c>
      <c r="I27" s="699"/>
      <c r="J27" s="699"/>
      <c r="K27" s="778">
        <f>IF([2]BOD!E26="","",[2]BOD!E26)</f>
        <v>10</v>
      </c>
      <c r="L27" s="734" t="e">
        <f t="shared" si="8"/>
        <v>#DIV/0!</v>
      </c>
      <c r="M27" s="699">
        <f>'[1]Process Lab'!AH25</f>
        <v>8</v>
      </c>
      <c r="N27" s="699"/>
      <c r="O27" s="699">
        <f>IF('[1]Plant Data'!AF26="","",'[1]Plant Data'!AF26)</f>
        <v>1503.8248391618731</v>
      </c>
      <c r="P27" s="699">
        <f>IF('dmr 3'!F32="","",'dmr 3'!F32)</f>
        <v>932.37140028036129</v>
      </c>
      <c r="Q27" s="1397">
        <f>IF('[1]Plant Data'!U26="","",'[1]Plant Data'!U26)</f>
        <v>0</v>
      </c>
      <c r="R27" s="708">
        <f>IF('[1]Process Lab'!K25="","",'[1]Process Lab'!K25)</f>
        <v>211.33333333333334</v>
      </c>
      <c r="S27" s="699">
        <f>IF('[1]Process Lab'!D25="","",'[1]Process Lab'!D25)</f>
        <v>1645.3333333333333</v>
      </c>
      <c r="T27" s="699">
        <f>IF('[1]Process Lab'!E25="","",'[1]Process Lab'!E25)</f>
        <v>827</v>
      </c>
      <c r="U27" s="699">
        <f>IF('[1]Process Lab'!AH25="","",'[1]Process Lab'!AH25)</f>
        <v>8</v>
      </c>
      <c r="V27" s="699">
        <f>IF('[1]Process Lab'!AI25="","",'[1]Process Lab'!AI25)</f>
        <v>8</v>
      </c>
      <c r="W27" s="769">
        <f t="shared" si="9"/>
        <v>199793.48480000001</v>
      </c>
      <c r="X27" s="775">
        <f t="shared" si="10"/>
        <v>80559.062399999995</v>
      </c>
      <c r="Y27" s="780">
        <f t="shared" si="11"/>
        <v>280352.54720000003</v>
      </c>
      <c r="AA27" s="73">
        <f t="shared" si="3"/>
        <v>2.8486303402663116</v>
      </c>
      <c r="AB27" s="72">
        <f t="shared" si="4"/>
        <v>280352.54720000003</v>
      </c>
      <c r="AC27" s="72">
        <f t="shared" si="5"/>
        <v>98416.612094986864</v>
      </c>
      <c r="AD27" s="72">
        <f>IF('WAS-TWAS'!C27="","",'WAS-TWAS'!C27)</f>
        <v>85811.786279233507</v>
      </c>
      <c r="AE27" s="72">
        <f t="shared" si="6"/>
        <v>12604.825815753353</v>
      </c>
      <c r="AF27" s="73"/>
      <c r="AG27" s="73">
        <f t="shared" si="7"/>
        <v>2.3282755605374237</v>
      </c>
    </row>
    <row r="28" spans="1:33" ht="20.25" x14ac:dyDescent="0.3">
      <c r="A28" s="831">
        <v>24</v>
      </c>
      <c r="B28" s="708">
        <f>'dmr 1'!B33</f>
        <v>63.443430267361116</v>
      </c>
      <c r="C28" s="766">
        <f>'dmr 1'!D33</f>
        <v>67.374210156250072</v>
      </c>
      <c r="D28" s="767">
        <f>'[1]Process Lab'!$L26</f>
        <v>3.2963483352805443</v>
      </c>
      <c r="E28" s="768" t="e">
        <f>J28*#REF!*8.34/W28</f>
        <v>#REF!</v>
      </c>
      <c r="F28" s="699" t="e">
        <v>#REF!</v>
      </c>
      <c r="G28" s="699">
        <f>IF('[1]Plant Data'!R27="","",'[1]Plant Data'!R27)</f>
        <v>9.3108609156250246</v>
      </c>
      <c r="H28" s="699">
        <f>IF([2]TSS!E27="","",[2]TSS!E27)</f>
        <v>19</v>
      </c>
      <c r="I28" s="699"/>
      <c r="J28" s="699"/>
      <c r="K28" s="778">
        <f>IF([2]BOD!E27="","",[2]BOD!E27)</f>
        <v>14</v>
      </c>
      <c r="L28" s="734" t="e">
        <f t="shared" si="8"/>
        <v>#DIV/0!</v>
      </c>
      <c r="M28" s="699">
        <f>'[1]Process Lab'!AH26</f>
        <v>8</v>
      </c>
      <c r="N28" s="699"/>
      <c r="O28" s="699">
        <f>IF('[1]Plant Data'!AF27="","",'[1]Plant Data'!AF27)</f>
        <v>1422.9216488194436</v>
      </c>
      <c r="P28" s="699">
        <f>IF('dmr 3'!F33="","",'dmr 3'!F33)</f>
        <v>882.211422268055</v>
      </c>
      <c r="Q28" s="1397">
        <f>IF('[1]Plant Data'!U27="","",'[1]Plant Data'!U27)</f>
        <v>0</v>
      </c>
      <c r="R28" s="708">
        <f>IF('[1]Process Lab'!K26="","",'[1]Process Lab'!K26)</f>
        <v>221.33333333333334</v>
      </c>
      <c r="S28" s="699">
        <f>IF('[1]Process Lab'!D26="","",'[1]Process Lab'!D26)</f>
        <v>1683.3333333333333</v>
      </c>
      <c r="T28" s="699">
        <f>IF('[1]Process Lab'!E26="","",'[1]Process Lab'!E26)</f>
        <v>676</v>
      </c>
      <c r="U28" s="699">
        <f>IF('[1]Process Lab'!AH26="","",'[1]Process Lab'!AH26)</f>
        <v>8</v>
      </c>
      <c r="V28" s="699">
        <f>IF('[1]Process Lab'!AI26="","",'[1]Process Lab'!AI26)</f>
        <v>8</v>
      </c>
      <c r="W28" s="769">
        <f t="shared" si="9"/>
        <v>204407.84</v>
      </c>
      <c r="X28" s="775">
        <f t="shared" si="10"/>
        <v>65849.9712</v>
      </c>
      <c r="Y28" s="780">
        <f t="shared" si="11"/>
        <v>270257.8112</v>
      </c>
      <c r="AA28" s="73">
        <f t="shared" si="3"/>
        <v>2.6540502269919162</v>
      </c>
      <c r="AB28" s="72">
        <f t="shared" si="4"/>
        <v>270257.8112</v>
      </c>
      <c r="AC28" s="72">
        <f t="shared" si="5"/>
        <v>101828.44636904573</v>
      </c>
      <c r="AD28" s="72">
        <f>IF('WAS-TWAS'!C28="","",'WAS-TWAS'!C28)</f>
        <v>91152.329027686341</v>
      </c>
      <c r="AE28" s="72">
        <f t="shared" si="6"/>
        <v>10676.117341359388</v>
      </c>
      <c r="AF28" s="73"/>
      <c r="AG28" s="73">
        <f t="shared" si="7"/>
        <v>2.2424862006314044</v>
      </c>
    </row>
    <row r="29" spans="1:33" ht="20.25" x14ac:dyDescent="0.3">
      <c r="A29" s="831">
        <v>25</v>
      </c>
      <c r="B29" s="708">
        <f>'dmr 1'!B34</f>
        <v>59.51923723263878</v>
      </c>
      <c r="C29" s="766">
        <f>'dmr 1'!D34</f>
        <v>64.412447163194457</v>
      </c>
      <c r="D29" s="767">
        <f>'[1]Process Lab'!$L27</f>
        <v>3.1867189315258817</v>
      </c>
      <c r="E29" s="768" t="e">
        <f>J29*#REF!*8.34/W29</f>
        <v>#REF!</v>
      </c>
      <c r="F29" s="699" t="e">
        <v>#REF!</v>
      </c>
      <c r="G29" s="699">
        <f>IF('[1]Plant Data'!R28="","",'[1]Plant Data'!R28)</f>
        <v>8.648435759375019</v>
      </c>
      <c r="H29" s="699">
        <f>IF([2]TSS!E28="","",[2]TSS!E28)</f>
        <v>17</v>
      </c>
      <c r="I29" s="699"/>
      <c r="J29" s="699"/>
      <c r="K29" s="778">
        <f>IF([2]BOD!E28="","",[2]BOD!E28)</f>
        <v>12</v>
      </c>
      <c r="L29" s="734" t="e">
        <f t="shared" si="8"/>
        <v>#DIV/0!</v>
      </c>
      <c r="M29" s="699">
        <f>'[1]Process Lab'!AH27</f>
        <v>8</v>
      </c>
      <c r="N29" s="699"/>
      <c r="O29" s="699">
        <f>IF('[1]Plant Data'!AF28="","",'[1]Plant Data'!AF28)</f>
        <v>1599.6294496527776</v>
      </c>
      <c r="P29" s="699">
        <f>IF('dmr 3'!F34="","",'dmr 3'!F34)</f>
        <v>991.77025878472205</v>
      </c>
      <c r="Q29" s="1397">
        <f>IF('[1]Plant Data'!U28="","",'[1]Plant Data'!U28)</f>
        <v>0</v>
      </c>
      <c r="R29" s="708">
        <f>IF('[1]Process Lab'!K27="","",'[1]Process Lab'!K27)</f>
        <v>188</v>
      </c>
      <c r="S29" s="699">
        <f>IF('[1]Process Lab'!D27="","",'[1]Process Lab'!D27)</f>
        <v>1756.3333333333333</v>
      </c>
      <c r="T29" s="699">
        <f>IF('[1]Process Lab'!E27="","",'[1]Process Lab'!E27)</f>
        <v>564.33333333333337</v>
      </c>
      <c r="U29" s="699">
        <f>IF('[1]Process Lab'!AH27="","",'[1]Process Lab'!AH27)</f>
        <v>8</v>
      </c>
      <c r="V29" s="699">
        <f>IF('[1]Process Lab'!AI27="","",'[1]Process Lab'!AI27)</f>
        <v>8</v>
      </c>
      <c r="W29" s="769">
        <f t="shared" si="9"/>
        <v>213272.2592</v>
      </c>
      <c r="X29" s="775">
        <f t="shared" si="10"/>
        <v>54972.387199999997</v>
      </c>
      <c r="Y29" s="780">
        <f t="shared" si="11"/>
        <v>268244.64639999997</v>
      </c>
      <c r="AA29" s="73">
        <f>IF(OR(AB29="",AC29=""),"",AB29/AC29)</f>
        <v>2.6944327014690712</v>
      </c>
      <c r="AB29" s="72">
        <f t="shared" si="4"/>
        <v>268244.64639999997</v>
      </c>
      <c r="AC29" s="72">
        <f t="shared" si="5"/>
        <v>99555.148010839679</v>
      </c>
      <c r="AD29" s="72">
        <f>IF('WAS-TWAS'!C29="","",'WAS-TWAS'!C29)</f>
        <v>90422.75125204197</v>
      </c>
      <c r="AE29" s="72">
        <f t="shared" si="6"/>
        <v>9132.3967587977095</v>
      </c>
      <c r="AF29" s="73"/>
      <c r="AG29" s="73">
        <f t="shared" si="7"/>
        <v>2.3586128075834654</v>
      </c>
    </row>
    <row r="30" spans="1:33" ht="20.25" x14ac:dyDescent="0.3">
      <c r="A30" s="831">
        <v>26</v>
      </c>
      <c r="B30" s="708">
        <f>'dmr 1'!B35</f>
        <v>55.282743635416665</v>
      </c>
      <c r="C30" s="766">
        <f>'dmr 1'!D35</f>
        <v>60.574170576388781</v>
      </c>
      <c r="D30" s="767">
        <f>'[1]Process Lab'!$L28</f>
        <v>2.982027644576545</v>
      </c>
      <c r="E30" s="768" t="e">
        <f>J30*#REF!*8.34/W30</f>
        <v>#REF!</v>
      </c>
      <c r="F30" s="699" t="e">
        <v>#REF!</v>
      </c>
      <c r="G30" s="699">
        <f>IF('[1]Plant Data'!R29="","",'[1]Plant Data'!R29)</f>
        <v>8.4569099003472257</v>
      </c>
      <c r="H30" s="699">
        <f>IF([2]TSS!E29="","",[2]TSS!E29)</f>
        <v>17</v>
      </c>
      <c r="I30" s="699"/>
      <c r="J30" s="699"/>
      <c r="K30" s="778">
        <f>IF([2]BOD!E29="","",[2]BOD!E29)</f>
        <v>15</v>
      </c>
      <c r="L30" s="734" t="e">
        <f t="shared" si="8"/>
        <v>#DIV/0!</v>
      </c>
      <c r="M30" s="699">
        <f>'[1]Process Lab'!AH28</f>
        <v>8</v>
      </c>
      <c r="N30" s="699"/>
      <c r="O30" s="699">
        <f>IF('[1]Plant Data'!AF29="","",'[1]Plant Data'!AF29)</f>
        <v>1676.0363506944439</v>
      </c>
      <c r="P30" s="699">
        <f>IF('dmr 3'!F35="","",'dmr 3'!F35)</f>
        <v>1039.1425374305552</v>
      </c>
      <c r="Q30" s="1397">
        <f>IF('[1]Plant Data'!U29="","",'[1]Plant Data'!U29)</f>
        <v>0</v>
      </c>
      <c r="R30" s="708">
        <f>IF('[1]Process Lab'!K28="","",'[1]Process Lab'!K28)</f>
        <v>172.33333333333334</v>
      </c>
      <c r="S30" s="699">
        <f>IF('[1]Process Lab'!D28="","",'[1]Process Lab'!D28)</f>
        <v>1839.3333333333333</v>
      </c>
      <c r="T30" s="699">
        <f>IF('[1]Process Lab'!E28="","",'[1]Process Lab'!E28)</f>
        <v>578.66666666666663</v>
      </c>
      <c r="U30" s="699">
        <f>IF('[1]Process Lab'!AH28="","",'[1]Process Lab'!AH28)</f>
        <v>8</v>
      </c>
      <c r="V30" s="699">
        <f>IF('[1]Process Lab'!AI28="","",'[1]Process Lab'!AI28)</f>
        <v>8</v>
      </c>
      <c r="W30" s="769">
        <f t="shared" si="9"/>
        <v>223350.98240000001</v>
      </c>
      <c r="X30" s="775">
        <f t="shared" si="10"/>
        <v>56368.614399999999</v>
      </c>
      <c r="Y30" s="780">
        <f t="shared" si="11"/>
        <v>279719.5968</v>
      </c>
      <c r="AA30" s="64">
        <f t="shared" ref="AA30:AA35" si="12">IF(OR(AB30="",AC30=""),"",AB30/AC30)</f>
        <v>2.812228131291008</v>
      </c>
      <c r="AB30" s="72">
        <f t="shared" si="4"/>
        <v>279719.5968</v>
      </c>
      <c r="AC30" s="72">
        <f t="shared" si="5"/>
        <v>99465.471413085281</v>
      </c>
      <c r="AD30" s="72">
        <f>IF('WAS-TWAS'!C30="","",'WAS-TWAS'!C30)</f>
        <v>90877.265508764875</v>
      </c>
      <c r="AE30" s="72">
        <f t="shared" si="6"/>
        <v>8588.2059043204008</v>
      </c>
      <c r="AF30" s="73"/>
      <c r="AG30" s="73">
        <f t="shared" si="7"/>
        <v>2.4577212039732688</v>
      </c>
    </row>
    <row r="31" spans="1:33" ht="20.25" customHeight="1" x14ac:dyDescent="0.3">
      <c r="A31" s="831">
        <v>27</v>
      </c>
      <c r="B31" s="708">
        <f>'dmr 1'!B36</f>
        <v>54.39654560069458</v>
      </c>
      <c r="C31" s="766">
        <f>'dmr 1'!D36</f>
        <v>58.311239673610999</v>
      </c>
      <c r="D31" s="767">
        <f>'[1]Process Lab'!$L29</f>
        <v>2.9794552429329806</v>
      </c>
      <c r="E31" s="768" t="e">
        <f>J31*#REF!*8.34/W31</f>
        <v>#REF!</v>
      </c>
      <c r="F31" s="699" t="e">
        <v>#REF!</v>
      </c>
      <c r="G31" s="699">
        <f>IF('[1]Plant Data'!R30="","",'[1]Plant Data'!R30)</f>
        <v>7.7968753434027827</v>
      </c>
      <c r="H31" s="699">
        <f>IF([2]TSS!E30="","",[2]TSS!E30)</f>
        <v>12</v>
      </c>
      <c r="I31" s="699"/>
      <c r="J31" s="699"/>
      <c r="K31" s="778">
        <f>IF([2]BOD!E30="","",[2]BOD!E30)</f>
        <v>8</v>
      </c>
      <c r="L31" s="734" t="e">
        <f t="shared" si="8"/>
        <v>#DIV/0!</v>
      </c>
      <c r="M31" s="699">
        <f>'[1]Process Lab'!AH29</f>
        <v>8</v>
      </c>
      <c r="N31" s="699"/>
      <c r="O31" s="699">
        <f>IF('[1]Plant Data'!AF30="","",'[1]Plant Data'!AF30)</f>
        <v>1536.5423532638879</v>
      </c>
      <c r="P31" s="699">
        <f>IF('dmr 3'!F36="","",'dmr 3'!F36)</f>
        <v>952.65625902361046</v>
      </c>
      <c r="Q31" s="1397">
        <f>IF('[1]Plant Data'!U30="","",'[1]Plant Data'!U30)</f>
        <v>0</v>
      </c>
      <c r="R31" s="708">
        <f>IF('[1]Process Lab'!K29="","",'[1]Process Lab'!K29)</f>
        <v>199.66666666666666</v>
      </c>
      <c r="S31" s="699">
        <f>IF('[1]Process Lab'!D29="","",'[1]Process Lab'!D29)</f>
        <v>1684.6666666666667</v>
      </c>
      <c r="T31" s="699">
        <f>IF('[1]Process Lab'!E29="","",'[1]Process Lab'!E29)</f>
        <v>486.33333333333331</v>
      </c>
      <c r="U31" s="699">
        <f>IF('[1]Process Lab'!AH29="","",'[1]Process Lab'!AH29)</f>
        <v>8</v>
      </c>
      <c r="V31" s="699">
        <f>IF('[1]Process Lab'!AI29="","",'[1]Process Lab'!AI29)</f>
        <v>8</v>
      </c>
      <c r="W31" s="769">
        <f t="shared" si="9"/>
        <v>204569.74720000001</v>
      </c>
      <c r="X31" s="775">
        <f t="shared" si="10"/>
        <v>47374.313600000001</v>
      </c>
      <c r="Y31" s="780">
        <f t="shared" si="11"/>
        <v>251944.06080000001</v>
      </c>
      <c r="AA31" s="64">
        <f t="shared" si="12"/>
        <v>2.7952519035698145</v>
      </c>
      <c r="AB31" s="72">
        <f t="shared" si="4"/>
        <v>251944.06080000001</v>
      </c>
      <c r="AC31" s="72">
        <f t="shared" si="5"/>
        <v>90132.86440418569</v>
      </c>
      <c r="AD31" s="72">
        <f>IF('WAS-TWAS'!C31="","",'WAS-TWAS'!C31)</f>
        <v>84297.0755376507</v>
      </c>
      <c r="AE31" s="72">
        <f t="shared" si="6"/>
        <v>5835.7888665349883</v>
      </c>
      <c r="AF31" s="73"/>
      <c r="AG31" s="73">
        <f t="shared" si="7"/>
        <v>2.4267715800962795</v>
      </c>
    </row>
    <row r="32" spans="1:33" ht="20.25" customHeight="1" x14ac:dyDescent="0.3">
      <c r="A32" s="831">
        <v>28</v>
      </c>
      <c r="B32" s="708">
        <f>'dmr 1'!B37</f>
        <v>57.059523986111081</v>
      </c>
      <c r="C32" s="766">
        <f>'dmr 1'!D37</f>
        <v>59.851944263888974</v>
      </c>
      <c r="D32" s="767">
        <f>'[1]Process Lab'!$L30</f>
        <v>3.0554869278557426</v>
      </c>
      <c r="E32" s="768" t="e">
        <f>J32*#REF!*8.34/W32</f>
        <v>#REF!</v>
      </c>
      <c r="F32" s="699" t="e">
        <v>#REF!</v>
      </c>
      <c r="G32" s="699">
        <f>IF('[1]Plant Data'!R31="","",'[1]Plant Data'!R31)</f>
        <v>7.8018844427083414</v>
      </c>
      <c r="H32" s="699">
        <f>IF([2]TSS!E31="","",[2]TSS!E31)</f>
        <v>16</v>
      </c>
      <c r="I32" s="699"/>
      <c r="J32" s="699"/>
      <c r="K32" s="778">
        <f>IF([2]BOD!E31="","",[2]BOD!E31)</f>
        <v>8</v>
      </c>
      <c r="L32" s="734" t="e">
        <f t="shared" si="8"/>
        <v>#DIV/0!</v>
      </c>
      <c r="M32" s="699">
        <f>'[1]Process Lab'!AH30</f>
        <v>8</v>
      </c>
      <c r="N32" s="699"/>
      <c r="O32" s="699">
        <f>IF('[1]Plant Data'!AF31="","",'[1]Plant Data'!AF31)</f>
        <v>1510.6568986458321</v>
      </c>
      <c r="P32" s="699">
        <f>IF('dmr 3'!F37="","",'dmr 3'!F37)</f>
        <v>936.60727716041595</v>
      </c>
      <c r="Q32" s="1397">
        <f>IF('[1]Plant Data'!U31="","",'[1]Plant Data'!U31)</f>
        <v>0</v>
      </c>
      <c r="R32" s="708">
        <f>IF('[1]Process Lab'!K30="","",'[1]Process Lab'!K30)</f>
        <v>216.66666666666666</v>
      </c>
      <c r="S32" s="699">
        <f>IF('[1]Process Lab'!D30="","",'[1]Process Lab'!D30)</f>
        <v>1701.6666666666667</v>
      </c>
      <c r="T32" s="699">
        <f>IF('[1]Process Lab'!E30="","",'[1]Process Lab'!E30)</f>
        <v>575.66666666666663</v>
      </c>
      <c r="U32" s="699">
        <f>IF('[1]Process Lab'!AH30="","",'[1]Process Lab'!AH30)</f>
        <v>8</v>
      </c>
      <c r="V32" s="699">
        <f>IF('[1]Process Lab'!AI30="","",'[1]Process Lab'!AI30)</f>
        <v>8</v>
      </c>
      <c r="W32" s="769">
        <f t="shared" si="9"/>
        <v>206634.06400000001</v>
      </c>
      <c r="X32" s="775">
        <f t="shared" si="10"/>
        <v>56076.380799999992</v>
      </c>
      <c r="Y32" s="780">
        <f t="shared" si="11"/>
        <v>262710.4448</v>
      </c>
      <c r="AA32" s="64">
        <f t="shared" si="12"/>
        <v>3.091362235185191</v>
      </c>
      <c r="AB32" s="72">
        <f t="shared" si="4"/>
        <v>262710.4448</v>
      </c>
      <c r="AC32" s="72">
        <f t="shared" si="5"/>
        <v>84982.096827699032</v>
      </c>
      <c r="AD32" s="72">
        <f>IF('WAS-TWAS'!C32="","",'WAS-TWAS'!C32)</f>
        <v>76995.453385125686</v>
      </c>
      <c r="AE32" s="72">
        <f t="shared" si="6"/>
        <v>7986.6434425733441</v>
      </c>
      <c r="AF32" s="73"/>
      <c r="AG32" s="73">
        <f t="shared" si="7"/>
        <v>2.6837177380647579</v>
      </c>
    </row>
    <row r="33" spans="1:84" ht="20.25" customHeight="1" x14ac:dyDescent="0.3">
      <c r="A33" s="831">
        <v>29</v>
      </c>
      <c r="B33" s="708">
        <f>'dmr 1'!B38</f>
        <v>57.059591881944492</v>
      </c>
      <c r="C33" s="766">
        <f>'dmr 1'!D38</f>
        <v>60.076876986111102</v>
      </c>
      <c r="D33" s="767">
        <f>'[1]Process Lab'!$L31</f>
        <v>3.0801967376417458</v>
      </c>
      <c r="E33" s="768" t="e">
        <f>J33*#REF!*8.34/W33</f>
        <v>#REF!</v>
      </c>
      <c r="F33" s="699" t="e">
        <v>#REF!</v>
      </c>
      <c r="G33" s="699">
        <f>IF('[1]Plant Data'!R32="","",'[1]Plant Data'!R32)</f>
        <v>8.2876379246527527</v>
      </c>
      <c r="H33" s="699">
        <f>IF([2]TSS!E32="","",[2]TSS!E32)</f>
        <v>18</v>
      </c>
      <c r="I33" s="699"/>
      <c r="J33" s="699"/>
      <c r="K33" s="778">
        <f>IF([2]BOD!E32="","",[2]BOD!E32)</f>
        <v>13</v>
      </c>
      <c r="L33" s="734" t="e">
        <f t="shared" si="8"/>
        <v>#DIV/0!</v>
      </c>
      <c r="M33" s="699">
        <f>'[1]Process Lab'!AH31</f>
        <v>8</v>
      </c>
      <c r="N33" s="699"/>
      <c r="O33" s="699">
        <f>IF('[1]Plant Data'!AF32="","",'[1]Plant Data'!AF32)</f>
        <v>1586.3571704861099</v>
      </c>
      <c r="P33" s="699">
        <f>IF('dmr 3'!F38="","",'dmr 3'!F38)</f>
        <v>983.54144570138817</v>
      </c>
      <c r="Q33" s="1397">
        <f>IF('[1]Plant Data'!U32="","",'[1]Plant Data'!U32)</f>
        <v>0</v>
      </c>
      <c r="R33" s="708">
        <f>IF('[1]Process Lab'!K31="","",'[1]Process Lab'!K31)</f>
        <v>190</v>
      </c>
      <c r="S33" s="699">
        <f>IF('[1]Process Lab'!D31="","",'[1]Process Lab'!D31)</f>
        <v>1751.6666666666667</v>
      </c>
      <c r="T33" s="699">
        <f>IF('[1]Process Lab'!E31="","",'[1]Process Lab'!E31)</f>
        <v>442.66666666666669</v>
      </c>
      <c r="U33" s="699">
        <f>IF('[1]Process Lab'!AH31="","",'[1]Process Lab'!AH31)</f>
        <v>8</v>
      </c>
      <c r="V33" s="699">
        <f>IF('[1]Process Lab'!AI31="","",'[1]Process Lab'!AI31)</f>
        <v>8</v>
      </c>
      <c r="W33" s="769">
        <f t="shared" si="9"/>
        <v>212705.584</v>
      </c>
      <c r="X33" s="775">
        <f t="shared" si="10"/>
        <v>43120.691200000001</v>
      </c>
      <c r="Y33" s="780">
        <f t="shared" si="11"/>
        <v>255826.2752</v>
      </c>
      <c r="AA33" s="64">
        <f t="shared" si="12"/>
        <v>2.7122233995364553</v>
      </c>
      <c r="AB33" s="72">
        <f t="shared" si="4"/>
        <v>255826.2752</v>
      </c>
      <c r="AC33" s="63">
        <f t="shared" si="5"/>
        <v>94323.452575375297</v>
      </c>
      <c r="AD33" s="72">
        <f>IF('WAS-TWAS'!C33="","",'WAS-TWAS'!C33)</f>
        <v>85304.711802220307</v>
      </c>
      <c r="AE33" s="63">
        <f t="shared" si="6"/>
        <v>9018.7407731549974</v>
      </c>
      <c r="AF33" s="73"/>
      <c r="AG33" s="73">
        <f t="shared" si="7"/>
        <v>2.4934798970209253</v>
      </c>
    </row>
    <row r="34" spans="1:84" ht="20.25" customHeight="1" x14ac:dyDescent="0.3">
      <c r="A34" s="831">
        <v>30</v>
      </c>
      <c r="B34" s="708">
        <f>'dmr 1'!B39</f>
        <v>56.59560693749998</v>
      </c>
      <c r="C34" s="766">
        <f>'dmr 1'!D39</f>
        <v>59.790066093749893</v>
      </c>
      <c r="D34" s="767">
        <f>'[1]Process Lab'!$L32</f>
        <v>3.2074102038789682</v>
      </c>
      <c r="E34" s="768" t="e">
        <f>J34*#REF!*8.34/W34</f>
        <v>#REF!</v>
      </c>
      <c r="F34" s="699" t="e">
        <v>#REF!</v>
      </c>
      <c r="G34" s="699">
        <f>IF('[1]Plant Data'!R33="","",'[1]Plant Data'!R33)</f>
        <v>8.5717557267361162</v>
      </c>
      <c r="H34" s="699">
        <f>IF([2]TSS!E33="","",[2]TSS!E33)</f>
        <v>18</v>
      </c>
      <c r="I34" s="699"/>
      <c r="J34" s="699"/>
      <c r="K34" s="778">
        <f>IF([2]BOD!E33="","",[2]BOD!E33)</f>
        <v>14</v>
      </c>
      <c r="L34" s="734" t="e">
        <f t="shared" ref="L34" si="13">(J34-K34)/J34*100</f>
        <v>#DIV/0!</v>
      </c>
      <c r="M34" s="699">
        <f>'[1]Process Lab'!AH32</f>
        <v>8</v>
      </c>
      <c r="N34" s="699"/>
      <c r="O34" s="699">
        <f>IF('[1]Plant Data'!AF33="","",'[1]Plant Data'!AF33)</f>
        <v>1732.3528920138911</v>
      </c>
      <c r="P34" s="699">
        <f>IF('dmr 3'!F39="","",'dmr 3'!F39)</f>
        <v>1074.0587930486124</v>
      </c>
      <c r="Q34" s="1397">
        <f>IF('[1]Plant Data'!U33="","",'[1]Plant Data'!U33)</f>
        <v>0</v>
      </c>
      <c r="R34" s="708">
        <f>IF('[1]Process Lab'!K32="","",'[1]Process Lab'!K32)</f>
        <v>187</v>
      </c>
      <c r="S34" s="699">
        <f>IF('[1]Process Lab'!D32="","",'[1]Process Lab'!D32)</f>
        <v>1736.6666666666667</v>
      </c>
      <c r="T34" s="699">
        <f>IF('[1]Process Lab'!E32="","",'[1]Process Lab'!E32)</f>
        <v>408.66666666666669</v>
      </c>
      <c r="U34" s="699">
        <f>IF('[1]Process Lab'!AH32="","",'[1]Process Lab'!AH32)</f>
        <v>8</v>
      </c>
      <c r="V34" s="699">
        <f>IF('[1]Process Lab'!AI32="","",'[1]Process Lab'!AI32)</f>
        <v>8</v>
      </c>
      <c r="W34" s="769">
        <f t="shared" ref="W34" si="14">IF(OR(S34="",U34="",S34=0,U34=0),"",S34*8.34*1.82*U34)</f>
        <v>210884.12800000003</v>
      </c>
      <c r="X34" s="775">
        <f t="shared" ref="X34" si="15">IF(OR(T34="",V34=""),"",T34*8.34*1.46*V34)</f>
        <v>39808.710400000004</v>
      </c>
      <c r="Y34" s="780">
        <f t="shared" ref="Y34" si="16">IF(OR(W34="",X34=""),"",W34+X34)</f>
        <v>250692.83840000004</v>
      </c>
      <c r="AA34" s="64">
        <f t="shared" si="12"/>
        <v>2.7314772055519079</v>
      </c>
      <c r="AB34" s="72">
        <f t="shared" si="4"/>
        <v>250692.83840000004</v>
      </c>
      <c r="AC34" s="63">
        <f t="shared" si="5"/>
        <v>91779.216714842172</v>
      </c>
      <c r="AD34" s="72">
        <f>IF('WAS-TWAS'!C34="","",'WAS-TWAS'!C34)</f>
        <v>82803.531992848439</v>
      </c>
      <c r="AE34" s="63">
        <f t="shared" si="6"/>
        <v>8975.6847219937335</v>
      </c>
      <c r="AF34" s="73"/>
      <c r="AG34" s="73">
        <f t="shared" si="7"/>
        <v>2.5468011197664082</v>
      </c>
    </row>
    <row r="35" spans="1:84" ht="20.25" customHeight="1" thickBot="1" x14ac:dyDescent="0.35">
      <c r="A35" s="831">
        <v>31</v>
      </c>
      <c r="B35" s="1517">
        <f>'dmr 1'!B40</f>
        <v>53.782902565972272</v>
      </c>
      <c r="C35" s="1518">
        <f>'dmr 1'!D40</f>
        <v>58.533987722222193</v>
      </c>
      <c r="D35" s="1519">
        <f>'[1]Process Lab'!$L33</f>
        <v>3.1871968981408458</v>
      </c>
      <c r="E35" s="1520" t="e">
        <f>J35*#REF!*8.34/W35</f>
        <v>#REF!</v>
      </c>
      <c r="F35" s="1521" t="e">
        <v>#REF!</v>
      </c>
      <c r="G35" s="1521">
        <f>IF('[1]Plant Data'!R34="","",'[1]Plant Data'!R34)</f>
        <v>9.3093533638889028</v>
      </c>
      <c r="H35" s="1521">
        <f>IF([2]TSS!E34="","",[2]TSS!E34)</f>
        <v>18</v>
      </c>
      <c r="I35" s="1521"/>
      <c r="J35" s="1521"/>
      <c r="K35" s="1522">
        <f>IF([2]BOD!E34="","",[2]BOD!E34)</f>
        <v>14</v>
      </c>
      <c r="L35" s="734" t="e">
        <f t="shared" ref="L35" si="17">(J35-K35)/J35*100</f>
        <v>#DIV/0!</v>
      </c>
      <c r="M35" s="699">
        <f>'[1]Process Lab'!AH33</f>
        <v>8</v>
      </c>
      <c r="N35" s="699"/>
      <c r="O35" s="699">
        <f>IF('[1]Plant Data'!AF34="","",'[1]Plant Data'!AF34)</f>
        <v>1964.4517979166701</v>
      </c>
      <c r="P35" s="699">
        <f>IF('dmr 3'!F40="","",'dmr 3'!F40)</f>
        <v>1217.9601147083354</v>
      </c>
      <c r="Q35" s="1397">
        <f>IF('[1]Plant Data'!U34="","",'[1]Plant Data'!U34)</f>
        <v>0</v>
      </c>
      <c r="R35" s="708">
        <f>IF('[1]Process Lab'!K33="","",'[1]Process Lab'!K33)</f>
        <v>198</v>
      </c>
      <c r="S35" s="699">
        <f>IF('[1]Process Lab'!D33="","",'[1]Process Lab'!D33)</f>
        <v>1797.3333333333333</v>
      </c>
      <c r="T35" s="699">
        <f>IF('[1]Process Lab'!E33="","",'[1]Process Lab'!E33)</f>
        <v>465.66666666666669</v>
      </c>
      <c r="U35" s="699">
        <f>IF('[1]Process Lab'!AH33="","",'[1]Process Lab'!AH33)</f>
        <v>8</v>
      </c>
      <c r="V35" s="699">
        <f>IF('[1]Process Lab'!AI33="","",'[1]Process Lab'!AI33)</f>
        <v>8</v>
      </c>
      <c r="W35" s="769">
        <f t="shared" ref="W35" si="18">IF(OR(S35="",U35="",S35=0,U35=0),"",S35*8.34*1.82*U35)</f>
        <v>218250.9056</v>
      </c>
      <c r="X35" s="775">
        <f t="shared" ref="X35" si="19">IF(OR(T35="",V35=""),"",T35*8.34*1.46*V35)</f>
        <v>45361.148800000003</v>
      </c>
      <c r="Y35" s="780">
        <f t="shared" ref="Y35" si="20">IF(OR(W35="",X35=""),"",W35+X35)</f>
        <v>263612.05440000002</v>
      </c>
      <c r="AA35" s="64">
        <f t="shared" si="12"/>
        <v>2.8257489270083922</v>
      </c>
      <c r="AB35" s="72">
        <f t="shared" si="4"/>
        <v>263612.05440000002</v>
      </c>
      <c r="AC35" s="63">
        <f t="shared" si="5"/>
        <v>93289.269927843488</v>
      </c>
      <c r="AD35" s="72">
        <f>IF('WAS-TWAS'!C35="","",'WAS-TWAS'!C35)</f>
        <v>84502.147690983489</v>
      </c>
      <c r="AE35" s="63">
        <f t="shared" si="6"/>
        <v>8787.1222368599956</v>
      </c>
      <c r="AF35" s="73"/>
      <c r="AG35" s="73">
        <f t="shared" si="7"/>
        <v>2.5827853085832007</v>
      </c>
    </row>
    <row r="36" spans="1:84" ht="20.25" x14ac:dyDescent="0.3">
      <c r="A36" s="735" t="s">
        <v>539</v>
      </c>
      <c r="B36" s="1514">
        <f t="shared" ref="B36:Y36" si="21">MAX(B5:B35)</f>
        <v>188.44385234840274</v>
      </c>
      <c r="C36" s="1515">
        <f t="shared" si="21"/>
        <v>115.88933301736117</v>
      </c>
      <c r="D36" s="1516">
        <f t="shared" si="21"/>
        <v>3.8681899640678719</v>
      </c>
      <c r="E36" s="1516" t="e">
        <f>MAX(E5:E35)</f>
        <v>#REF!</v>
      </c>
      <c r="F36" s="1516" t="e">
        <f>MAX(F5:F35)</f>
        <v>#REF!</v>
      </c>
      <c r="G36" s="1516">
        <f>MAX(G5:G35)</f>
        <v>17.392257844791704</v>
      </c>
      <c r="H36" s="1516">
        <f t="shared" si="21"/>
        <v>35</v>
      </c>
      <c r="I36" s="1516">
        <f t="shared" si="21"/>
        <v>0</v>
      </c>
      <c r="J36" s="1516">
        <f t="shared" si="21"/>
        <v>0</v>
      </c>
      <c r="K36" s="1516">
        <f t="shared" si="21"/>
        <v>16</v>
      </c>
      <c r="L36" s="782" t="e">
        <f t="shared" ref="L36:R36" si="22">MAX(L5:L35)</f>
        <v>#DIV/0!</v>
      </c>
      <c r="M36" s="782">
        <f t="shared" si="22"/>
        <v>8</v>
      </c>
      <c r="N36" s="788">
        <f t="shared" si="22"/>
        <v>0</v>
      </c>
      <c r="O36" s="739">
        <f t="shared" si="22"/>
        <v>3813.8748779678526</v>
      </c>
      <c r="P36" s="740">
        <f t="shared" si="22"/>
        <v>2364.6024243400684</v>
      </c>
      <c r="Q36" s="743">
        <f>IF(MAX(Q5:Q35)=0,"",MAX(Q5:Q35))</f>
        <v>0.33731540972222224</v>
      </c>
      <c r="R36" s="754">
        <f t="shared" si="22"/>
        <v>281.66666666666669</v>
      </c>
      <c r="S36" s="740">
        <f t="shared" si="21"/>
        <v>2054</v>
      </c>
      <c r="T36" s="740">
        <f t="shared" si="21"/>
        <v>1404</v>
      </c>
      <c r="U36" s="740">
        <f t="shared" si="21"/>
        <v>8</v>
      </c>
      <c r="V36" s="740">
        <f t="shared" si="21"/>
        <v>8</v>
      </c>
      <c r="W36" s="783">
        <f t="shared" si="21"/>
        <v>249418.04160000003</v>
      </c>
      <c r="X36" s="783">
        <f t="shared" si="21"/>
        <v>136765.3248</v>
      </c>
      <c r="Y36" s="784">
        <f t="shared" si="21"/>
        <v>333221.92</v>
      </c>
      <c r="AA36" s="134"/>
      <c r="AB36" s="47"/>
      <c r="AC36" s="52"/>
      <c r="AD36" s="52"/>
      <c r="AE36" s="52"/>
    </row>
    <row r="37" spans="1:84" ht="20.25" x14ac:dyDescent="0.3">
      <c r="A37" s="736" t="s">
        <v>590</v>
      </c>
      <c r="B37" s="738">
        <f t="shared" ref="B37:Y37" si="23">MIN(B5:B35)</f>
        <v>53.210505878472226</v>
      </c>
      <c r="C37" s="730">
        <f t="shared" si="23"/>
        <v>56.689736284722244</v>
      </c>
      <c r="D37" s="733">
        <f t="shared" si="23"/>
        <v>2.9794552429329806</v>
      </c>
      <c r="E37" s="733" t="e">
        <f t="shared" si="23"/>
        <v>#REF!</v>
      </c>
      <c r="F37" s="733" t="e">
        <f t="shared" si="23"/>
        <v>#REF!</v>
      </c>
      <c r="G37" s="733">
        <f t="shared" si="23"/>
        <v>6.3302720156250079</v>
      </c>
      <c r="H37" s="733">
        <f t="shared" si="23"/>
        <v>8</v>
      </c>
      <c r="I37" s="733">
        <f t="shared" si="23"/>
        <v>0</v>
      </c>
      <c r="J37" s="733">
        <f t="shared" si="23"/>
        <v>0</v>
      </c>
      <c r="K37" s="733">
        <f t="shared" si="23"/>
        <v>7</v>
      </c>
      <c r="L37" s="733" t="e">
        <f t="shared" si="23"/>
        <v>#DIV/0!</v>
      </c>
      <c r="M37" s="733">
        <f t="shared" si="23"/>
        <v>8</v>
      </c>
      <c r="N37" s="789">
        <f t="shared" si="23"/>
        <v>0</v>
      </c>
      <c r="O37" s="744">
        <f t="shared" si="23"/>
        <v>1422.9216488194436</v>
      </c>
      <c r="P37" s="730">
        <f>MIN(P5:P35)</f>
        <v>882.211422268055</v>
      </c>
      <c r="Q37" s="745" t="str">
        <f>IF(MIN(Q5:Q35)=0,"",MIN(Q5:Q35))</f>
        <v/>
      </c>
      <c r="R37" s="738">
        <f t="shared" si="23"/>
        <v>172.33333333333334</v>
      </c>
      <c r="S37" s="730">
        <f t="shared" si="23"/>
        <v>1040</v>
      </c>
      <c r="T37" s="730">
        <f>MIN(T5:T35)</f>
        <v>366.66666666666669</v>
      </c>
      <c r="U37" s="730">
        <f t="shared" si="23"/>
        <v>8</v>
      </c>
      <c r="V37" s="730">
        <f t="shared" si="23"/>
        <v>8</v>
      </c>
      <c r="W37" s="781">
        <f t="shared" si="23"/>
        <v>126287.61600000001</v>
      </c>
      <c r="X37" s="781">
        <f t="shared" si="23"/>
        <v>35717.440000000002</v>
      </c>
      <c r="Y37" s="785">
        <f t="shared" si="23"/>
        <v>213689.4816</v>
      </c>
      <c r="AA37" s="74"/>
      <c r="AB37" s="47"/>
      <c r="AC37" s="52"/>
      <c r="AD37" s="52"/>
      <c r="AE37" s="52"/>
    </row>
    <row r="38" spans="1:84" ht="20.25" hidden="1" x14ac:dyDescent="0.3">
      <c r="A38" s="736" t="s">
        <v>591</v>
      </c>
      <c r="B38" s="738">
        <f t="shared" ref="B38:Y38" si="24">STDEV(B5:B35)</f>
        <v>32.01068108040127</v>
      </c>
      <c r="C38" s="730">
        <f t="shared" si="24"/>
        <v>15.971398656332072</v>
      </c>
      <c r="D38" s="733">
        <f t="shared" si="24"/>
        <v>0.25479215238699238</v>
      </c>
      <c r="E38" s="733" t="e">
        <f t="shared" si="24"/>
        <v>#REF!</v>
      </c>
      <c r="F38" s="733" t="e">
        <f t="shared" si="24"/>
        <v>#REF!</v>
      </c>
      <c r="G38" s="733"/>
      <c r="H38" s="733">
        <f t="shared" si="24"/>
        <v>5.2400443238706522</v>
      </c>
      <c r="I38" s="733" t="e">
        <f t="shared" si="24"/>
        <v>#DIV/0!</v>
      </c>
      <c r="J38" s="733" t="e">
        <f t="shared" si="24"/>
        <v>#DIV/0!</v>
      </c>
      <c r="K38" s="733">
        <f t="shared" si="24"/>
        <v>2.5915495426979716</v>
      </c>
      <c r="L38" s="730" t="e">
        <f t="shared" si="24"/>
        <v>#DIV/0!</v>
      </c>
      <c r="M38" s="730">
        <f t="shared" si="24"/>
        <v>0</v>
      </c>
      <c r="N38" s="757"/>
      <c r="O38" s="744"/>
      <c r="P38" s="730"/>
      <c r="Q38" s="745"/>
      <c r="R38" s="738"/>
      <c r="S38" s="730">
        <f t="shared" si="24"/>
        <v>202.04086362287347</v>
      </c>
      <c r="T38" s="730">
        <f>STDEV(T5:T35)</f>
        <v>218.56728675878961</v>
      </c>
      <c r="U38" s="730">
        <f t="shared" si="24"/>
        <v>0</v>
      </c>
      <c r="V38" s="730"/>
      <c r="W38" s="781">
        <f t="shared" si="24"/>
        <v>24533.902886071122</v>
      </c>
      <c r="X38" s="781">
        <f t="shared" si="24"/>
        <v>21290.901683917822</v>
      </c>
      <c r="Y38" s="785">
        <f t="shared" si="24"/>
        <v>23523.722672485892</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6" t="s">
        <v>592</v>
      </c>
      <c r="B39" s="738">
        <f>SUM(B5:B35)</f>
        <v>2288.2505616010644</v>
      </c>
      <c r="C39" s="730">
        <f>SUM(C5:C35)</f>
        <v>2209.3909406458338</v>
      </c>
      <c r="D39" s="730"/>
      <c r="E39" s="730" t="e">
        <f t="shared" ref="E39:O39" si="25">SUM(E5:E35)</f>
        <v>#REF!</v>
      </c>
      <c r="F39" s="730" t="e">
        <f t="shared" si="25"/>
        <v>#REF!</v>
      </c>
      <c r="G39" s="730"/>
      <c r="H39" s="730"/>
      <c r="I39" s="730">
        <f t="shared" si="25"/>
        <v>0</v>
      </c>
      <c r="J39" s="730">
        <f t="shared" si="25"/>
        <v>0</v>
      </c>
      <c r="K39" s="730"/>
      <c r="L39" s="730" t="e">
        <f t="shared" si="25"/>
        <v>#DIV/0!</v>
      </c>
      <c r="M39" s="730">
        <f t="shared" si="25"/>
        <v>248</v>
      </c>
      <c r="N39" s="757">
        <f t="shared" si="25"/>
        <v>0</v>
      </c>
      <c r="O39" s="790">
        <f t="shared" si="25"/>
        <v>60626.660281779892</v>
      </c>
      <c r="P39" s="781">
        <f>SUM(P5:P35)</f>
        <v>37588.529374703539</v>
      </c>
      <c r="Q39" s="785">
        <f>IF(SUM(Q5:Q35)=0,"",SUM(Q5:Q35))</f>
        <v>0.33731540972222224</v>
      </c>
      <c r="R39" s="738"/>
      <c r="S39" s="730"/>
      <c r="T39" s="730"/>
      <c r="U39" s="730"/>
      <c r="V39" s="730"/>
      <c r="W39" s="781"/>
      <c r="X39" s="781"/>
      <c r="Y39" s="785"/>
      <c r="AA39" s="74"/>
      <c r="AB39" s="47"/>
      <c r="AC39" s="47"/>
      <c r="AD39" s="47"/>
      <c r="AE39" s="47"/>
    </row>
    <row r="40" spans="1:84" ht="21" thickBot="1" x14ac:dyDescent="0.35">
      <c r="A40" s="737" t="s">
        <v>538</v>
      </c>
      <c r="B40" s="755">
        <f t="shared" ref="B40:G40" si="26">AVERAGE(B5:B35)</f>
        <v>73.814534245195631</v>
      </c>
      <c r="C40" s="747">
        <f t="shared" si="26"/>
        <v>71.270675504704315</v>
      </c>
      <c r="D40" s="748">
        <f t="shared" si="26"/>
        <v>3.3527015049312299</v>
      </c>
      <c r="E40" s="748" t="e">
        <f t="shared" si="26"/>
        <v>#REF!</v>
      </c>
      <c r="F40" s="748" t="e">
        <f t="shared" si="26"/>
        <v>#REF!</v>
      </c>
      <c r="G40" s="748">
        <f t="shared" si="26"/>
        <v>8.4472335198364732</v>
      </c>
      <c r="H40" s="747">
        <f>[2]TSS!$K$36</f>
        <v>16.516129032258064</v>
      </c>
      <c r="I40" s="747" t="e">
        <f>AVERAGE(I5:I35)</f>
        <v>#DIV/0!</v>
      </c>
      <c r="J40" s="747" t="e">
        <f>AVERAGE(J5:J35)</f>
        <v>#DIV/0!</v>
      </c>
      <c r="K40" s="747">
        <f>[2]BOD!$K$36</f>
        <v>10.870967741935484</v>
      </c>
      <c r="L40" s="747">
        <f>[2]BOD!$K$36</f>
        <v>10.870967741935484</v>
      </c>
      <c r="M40" s="747">
        <f>[2]BOD!$K$36</f>
        <v>10.870967741935484</v>
      </c>
      <c r="N40" s="758">
        <f>[2]BOD!$K$36</f>
        <v>10.870967741935484</v>
      </c>
      <c r="O40" s="746">
        <f>AVERAGE(O5:O35)</f>
        <v>1955.6987187670934</v>
      </c>
      <c r="P40" s="747">
        <f>AVERAGE(P5:P35)</f>
        <v>1212.5332056355981</v>
      </c>
      <c r="Q40" s="750">
        <f>IF(MAX(Q5:Q35)=0,"",AVERAGE(Q5:Q35))</f>
        <v>1.0881142249103944E-2</v>
      </c>
      <c r="R40" s="755">
        <f>AVERAGE(R5:R35)</f>
        <v>211.8763440860215</v>
      </c>
      <c r="S40" s="747">
        <f t="shared" ref="S40:Y40" si="27">AVERAGE(S5:S35)</f>
        <v>1741.6290322580642</v>
      </c>
      <c r="T40" s="747">
        <f>AVERAGE(T5:T35)</f>
        <v>639.26344086021516</v>
      </c>
      <c r="U40" s="747">
        <f t="shared" si="27"/>
        <v>8</v>
      </c>
      <c r="V40" s="747">
        <f t="shared" si="27"/>
        <v>8</v>
      </c>
      <c r="W40" s="786">
        <f t="shared" si="27"/>
        <v>211486.71003870966</v>
      </c>
      <c r="X40" s="786">
        <f t="shared" si="27"/>
        <v>62271.41889032258</v>
      </c>
      <c r="Y40" s="787">
        <f t="shared" si="27"/>
        <v>273758.1289290323</v>
      </c>
      <c r="AA40" s="74"/>
      <c r="AB40" s="47"/>
      <c r="AC40" s="47"/>
      <c r="AD40" s="47"/>
      <c r="AE40" s="47"/>
    </row>
    <row r="41" spans="1:84" ht="20.25" x14ac:dyDescent="0.3">
      <c r="A41" s="71"/>
      <c r="B41" s="79"/>
      <c r="C41" s="79"/>
      <c r="D41" s="76"/>
      <c r="E41" s="73"/>
      <c r="F41" s="72"/>
      <c r="G41" s="72"/>
      <c r="H41" s="72"/>
      <c r="I41" s="72"/>
      <c r="J41" s="72"/>
      <c r="K41" s="679"/>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79"/>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25" bottom="0.25" header="0.25" footer="0.25"/>
  <pageSetup paperSize="3" scale="95" orientation="landscape" r:id="rId1"/>
  <headerFoot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55" zoomScaleNormal="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2" t="s">
        <v>550</v>
      </c>
      <c r="B2" s="386" t="s">
        <v>607</v>
      </c>
      <c r="C2" s="383"/>
      <c r="D2" s="384"/>
      <c r="E2" s="385"/>
      <c r="F2" s="1655" t="s">
        <v>265</v>
      </c>
      <c r="G2" s="1655"/>
      <c r="H2" s="1655"/>
      <c r="I2" s="1655"/>
      <c r="J2" s="1655"/>
      <c r="K2" s="1655"/>
      <c r="L2" s="1653" t="s">
        <v>524</v>
      </c>
      <c r="M2" s="1653"/>
      <c r="N2" s="1653"/>
      <c r="O2" s="1653"/>
      <c r="P2" s="1653"/>
      <c r="Q2" s="1654"/>
      <c r="Z2" s="126" t="s">
        <v>45</v>
      </c>
      <c r="AA2" s="82"/>
    </row>
    <row r="3" spans="1:27" ht="20.25" x14ac:dyDescent="0.3">
      <c r="A3" s="376">
        <f>IF(date!B6="","",date!B6)</f>
        <v>43466</v>
      </c>
      <c r="B3" s="377" t="s">
        <v>608</v>
      </c>
      <c r="C3" s="378" t="s">
        <v>626</v>
      </c>
      <c r="D3" s="379" t="s">
        <v>626</v>
      </c>
      <c r="E3" s="380" t="s">
        <v>625</v>
      </c>
      <c r="F3" s="268" t="s">
        <v>608</v>
      </c>
      <c r="G3" s="127" t="s">
        <v>627</v>
      </c>
      <c r="H3" s="264" t="s">
        <v>627</v>
      </c>
      <c r="I3" s="127" t="s">
        <v>167</v>
      </c>
      <c r="J3" s="127" t="s">
        <v>168</v>
      </c>
      <c r="K3" s="128" t="s">
        <v>436</v>
      </c>
      <c r="L3" s="387" t="s">
        <v>157</v>
      </c>
      <c r="M3" s="270" t="s">
        <v>158</v>
      </c>
      <c r="N3" s="270" t="s">
        <v>159</v>
      </c>
      <c r="O3" s="270" t="s">
        <v>160</v>
      </c>
      <c r="P3" s="270" t="s">
        <v>266</v>
      </c>
      <c r="Q3" s="271" t="s">
        <v>267</v>
      </c>
      <c r="Z3" s="24" t="s">
        <v>46</v>
      </c>
      <c r="AA3" s="86"/>
    </row>
    <row r="4" spans="1:27" ht="21" thickBot="1" x14ac:dyDescent="0.35">
      <c r="A4" s="795">
        <f>IF(date!B6="","",date!B6)</f>
        <v>43466</v>
      </c>
      <c r="B4" s="377" t="s">
        <v>481</v>
      </c>
      <c r="C4" s="378" t="s">
        <v>611</v>
      </c>
      <c r="D4" s="379" t="s">
        <v>612</v>
      </c>
      <c r="E4" s="378" t="s">
        <v>324</v>
      </c>
      <c r="F4" s="796" t="s">
        <v>481</v>
      </c>
      <c r="G4" s="378" t="s">
        <v>611</v>
      </c>
      <c r="H4" s="379" t="s">
        <v>612</v>
      </c>
      <c r="I4" s="378" t="s">
        <v>506</v>
      </c>
      <c r="J4" s="378" t="s">
        <v>506</v>
      </c>
      <c r="K4" s="380" t="s">
        <v>22</v>
      </c>
      <c r="L4" s="797" t="s">
        <v>161</v>
      </c>
      <c r="M4" s="798" t="s">
        <v>161</v>
      </c>
      <c r="N4" s="798" t="s">
        <v>161</v>
      </c>
      <c r="O4" s="798" t="s">
        <v>161</v>
      </c>
      <c r="P4" s="798" t="s">
        <v>161</v>
      </c>
      <c r="Q4" s="799" t="s">
        <v>161</v>
      </c>
      <c r="V4" s="133"/>
      <c r="Z4" s="129" t="s">
        <v>616</v>
      </c>
      <c r="AA4" s="130" t="s">
        <v>617</v>
      </c>
    </row>
    <row r="5" spans="1:27" ht="20.25" x14ac:dyDescent="0.3">
      <c r="A5" s="735">
        <v>1</v>
      </c>
      <c r="B5" s="810">
        <f>IF('[1]Plant Data'!$L4="","",'[1]Plant Data'!$L4)</f>
        <v>1.6289587842219018</v>
      </c>
      <c r="C5" s="783">
        <f>IF(OR(B5="",E5=""),"",B5*E5*8.34)</f>
        <v>95136.351368042422</v>
      </c>
      <c r="D5" s="741">
        <f t="shared" ref="D5:D6" si="0">IF(C5="","",C5/2000)</f>
        <v>47.568175684021213</v>
      </c>
      <c r="E5" s="743">
        <f>IF('[1]Process Lab'!F3="","",'[1]Process Lab'!F3*10000)</f>
        <v>7002.7777777777765</v>
      </c>
      <c r="F5" s="805">
        <f>IF([1]Digesters!AB4="","",[1]Digesters!AB4/1000000)</f>
        <v>0.228106</v>
      </c>
      <c r="G5" s="783">
        <f t="shared" ref="G5:G6" si="1">IF(F5="","",IF(OR(I5="",ISTEXT(I5)=TRUE),F5*($I$40*10000)*8.34,F5*(I5*10000)*8.34))</f>
        <v>77427.844427999997</v>
      </c>
      <c r="H5" s="741">
        <f>IF(G5="","",G5/2000)</f>
        <v>38.713922214</v>
      </c>
      <c r="I5" s="741">
        <f>IF([2]TWAS!B4="","",[2]TWAS!B4)</f>
        <v>4.07</v>
      </c>
      <c r="J5" s="741">
        <f>IF([2]TWAS!C4="","",[2]TWAS!C4)</f>
        <v>3.08</v>
      </c>
      <c r="K5" s="743">
        <f>IF([2]TWAS!D4="","",[2]TWAS!D4)</f>
        <v>75.675675675675663</v>
      </c>
      <c r="L5" s="808">
        <f>IF([1]Digesters!B4="","",[1]Digesters!B4)</f>
        <v>181</v>
      </c>
      <c r="M5" s="801">
        <f>IF([1]Digesters!D4="","",[1]Digesters!D4)</f>
        <v>182</v>
      </c>
      <c r="N5" s="801">
        <f>IF([1]Digesters!F4="","",[1]Digesters!F4)</f>
        <v>1169</v>
      </c>
      <c r="O5" s="801">
        <f>IF([1]Digesters!H4="","",[1]Digesters!H4)</f>
        <v>188</v>
      </c>
      <c r="P5" s="801">
        <f>IF([1]Digesters!J4="","",[1]Digesters!J4)</f>
        <v>188</v>
      </c>
      <c r="Q5" s="802">
        <f>IF([1]Digesters!L4="","",[1]Digesters!L4)</f>
        <v>185</v>
      </c>
      <c r="S5" s="98"/>
      <c r="T5" s="1"/>
      <c r="V5" s="185" t="s">
        <v>108</v>
      </c>
      <c r="W5" s="185" t="s">
        <v>107</v>
      </c>
      <c r="X5" s="185" t="s">
        <v>114</v>
      </c>
      <c r="Y5" s="199" t="s">
        <v>106</v>
      </c>
      <c r="Z5" s="260">
        <f>IF([1]SLPR!Q4="","",(((([1]SLPR!Q4*10)-([1]SLPR!R4)-([1]SLPR!F4*10))/1000000)*([1]BP_Lab!B4*10000)*8.34/2000))</f>
        <v>29.700082239599997</v>
      </c>
      <c r="AA5" s="261" t="str">
        <f>IF([2]DIG!$AP$41="","",IF([1]Digesters!AA4="","",IF([2]DIG!AM4="",(((([1]Digesters!AA4*100)/1000000)*([2]DIG!$AP$41*10000)*8.34)/2000),(((([1]Digesters!AA4*100)/1000000)*([2]DIG!AM4*10000)*8.34)/2000))))</f>
        <v/>
      </c>
    </row>
    <row r="6" spans="1:27" ht="20.25" x14ac:dyDescent="0.3">
      <c r="A6" s="736">
        <v>2</v>
      </c>
      <c r="B6" s="811">
        <f>IF('[1]Plant Data'!$L5="","",'[1]Plant Data'!$L5)</f>
        <v>1.6050391690682055</v>
      </c>
      <c r="C6" s="781">
        <f>IF(OR(B6="",E6=""),"",B6*E6*8.34)</f>
        <v>91359.632022946796</v>
      </c>
      <c r="D6" s="731">
        <f t="shared" si="0"/>
        <v>45.679816011473399</v>
      </c>
      <c r="E6" s="745">
        <f>IF('[1]Process Lab'!F4="","",'[1]Process Lab'!F4*10000)</f>
        <v>6825</v>
      </c>
      <c r="F6" s="806">
        <f>IF([1]Digesters!AB5="","",[1]Digesters!AB5/1000000)</f>
        <v>0.20780599999999999</v>
      </c>
      <c r="G6" s="781">
        <f t="shared" si="1"/>
        <v>75563.248943999992</v>
      </c>
      <c r="H6" s="731">
        <f t="shared" ref="H6" si="2">IF(G6="","",G6/2000)</f>
        <v>37.781624471999997</v>
      </c>
      <c r="I6" s="731">
        <f>IF([2]TWAS!B5="","",[2]TWAS!B5)</f>
        <v>4.3600000000000003</v>
      </c>
      <c r="J6" s="731">
        <f>IF([2]TWAS!C5="","",[2]TWAS!C5)</f>
        <v>3.21</v>
      </c>
      <c r="K6" s="745">
        <f>IF([2]TWAS!D5="","",[2]TWAS!D5)</f>
        <v>73.623853211009177</v>
      </c>
      <c r="L6" s="809">
        <f>IF([1]Digesters!B5="","",[1]Digesters!B5)</f>
        <v>158</v>
      </c>
      <c r="M6" s="800">
        <f>IF([1]Digesters!D5="","",[1]Digesters!D5)</f>
        <v>160</v>
      </c>
      <c r="N6" s="800">
        <f>IF([1]Digesters!F5="","",[1]Digesters!F5)</f>
        <v>1079</v>
      </c>
      <c r="O6" s="800">
        <f>IF([1]Digesters!H5="","",[1]Digesters!H5)</f>
        <v>175</v>
      </c>
      <c r="P6" s="800">
        <f>IF([1]Digesters!J5="","",[1]Digesters!J5)</f>
        <v>175</v>
      </c>
      <c r="Q6" s="803">
        <f>IF([1]Digesters!L5="","",[1]Digesters!L5)</f>
        <v>166</v>
      </c>
      <c r="S6" s="98"/>
      <c r="T6" s="1"/>
      <c r="V6" s="111"/>
      <c r="Z6" s="260">
        <f>IF([1]SLPR!Q5="","",(((([1]SLPR!Q5*10)-([1]SLPR!R5)-([1]SLPR!F5*10))/1000000)*([1]BP_Lab!B5*10000)*8.34/2000))</f>
        <v>55.451243033999994</v>
      </c>
      <c r="AA6" s="261" t="str">
        <f>IF([2]DIG!$AP$41="","",IF([1]Digesters!AA5="","",IF([2]DIG!AM5="",(((([1]Digesters!AA5*100)/1000000)*([2]DIG!$AP$41*10000)*8.34)/2000),(((([1]Digesters!AA5*100)/1000000)*([2]DIG!AM5*10000)*8.34)/2000))))</f>
        <v/>
      </c>
    </row>
    <row r="7" spans="1:27" ht="20.25" x14ac:dyDescent="0.3">
      <c r="A7" s="736">
        <v>3</v>
      </c>
      <c r="B7" s="811">
        <f>IF('[1]Plant Data'!$L6="","",'[1]Plant Data'!$L6)</f>
        <v>1.5601979276737121</v>
      </c>
      <c r="C7" s="781">
        <f t="shared" ref="C7:C33" si="3">IF(OR(B7="",E7=""),"",B7*E7*8.34)</f>
        <v>86710.860193333967</v>
      </c>
      <c r="D7" s="731">
        <f t="shared" ref="D7:D33" si="4">IF(C7="","",C7/2000)</f>
        <v>43.355430096666986</v>
      </c>
      <c r="E7" s="745">
        <f>IF('[1]Process Lab'!F5="","",'[1]Process Lab'!F5*10000)</f>
        <v>6663.8888888888896</v>
      </c>
      <c r="F7" s="806">
        <f>IF([1]Digesters!AB6="","",[1]Digesters!AB6/1000000)</f>
        <v>0.23238200000000001</v>
      </c>
      <c r="G7" s="781">
        <f t="shared" ref="G7:G33" si="5">IF(F7="","",IF(OR(I7="",ISTEXT(I7)=TRUE),F7*($I$40*10000)*8.34,F7*(I7*10000)*8.34))</f>
        <v>91670.516124000016</v>
      </c>
      <c r="H7" s="731">
        <f t="shared" ref="H7:H33" si="6">IF(G7="","",G7/2000)</f>
        <v>45.835258062000008</v>
      </c>
      <c r="I7" s="731">
        <f>IF([2]TWAS!B6="","",[2]TWAS!B6)</f>
        <v>4.7300000000000004</v>
      </c>
      <c r="J7" s="731">
        <f>IF([2]TWAS!C6="","",[2]TWAS!C6)</f>
        <v>3.54</v>
      </c>
      <c r="K7" s="745">
        <f>IF([2]TWAS!D6="","",[2]TWAS!D6)</f>
        <v>74.841437632135296</v>
      </c>
      <c r="L7" s="809">
        <f>IF([1]Digesters!B6="","",[1]Digesters!B6)</f>
        <v>196</v>
      </c>
      <c r="M7" s="800">
        <f>IF([1]Digesters!D6="","",[1]Digesters!D6)</f>
        <v>196</v>
      </c>
      <c r="N7" s="800">
        <f>IF([1]Digesters!F6="","",[1]Digesters!F6)</f>
        <v>1112</v>
      </c>
      <c r="O7" s="800">
        <f>IF([1]Digesters!H6="","",[1]Digesters!H6)</f>
        <v>189</v>
      </c>
      <c r="P7" s="800">
        <f>IF([1]Digesters!J6="","",[1]Digesters!J6)</f>
        <v>188</v>
      </c>
      <c r="Q7" s="803">
        <f>IF([1]Digesters!L6="","",[1]Digesters!L6)</f>
        <v>356</v>
      </c>
      <c r="S7" s="98"/>
      <c r="T7" s="1"/>
      <c r="V7" s="111"/>
      <c r="Z7" s="260">
        <f>IF([1]SLPR!Q6="","",(((([1]SLPR!Q6*10)-([1]SLPR!R6)-([1]SLPR!F6*10))/1000000)*([1]BP_Lab!B6*10000)*8.34/2000))</f>
        <v>60.853771727099996</v>
      </c>
      <c r="AA7" s="261" t="str">
        <f>IF([2]DIG!$AP$41="","",IF([1]Digesters!AA6="","",IF([2]DIG!AM6="",(((([1]Digesters!AA6*100)/1000000)*([2]DIG!$AP$41*10000)*8.34)/2000),(((([1]Digesters!AA6*100)/1000000)*([2]DIG!AM6*10000)*8.34)/2000))))</f>
        <v/>
      </c>
    </row>
    <row r="8" spans="1:27" ht="20.25" x14ac:dyDescent="0.3">
      <c r="A8" s="736">
        <v>4</v>
      </c>
      <c r="B8" s="811">
        <f>IF('[1]Plant Data'!$L7="","",'[1]Plant Data'!$L7)</f>
        <v>1.6443466708693568</v>
      </c>
      <c r="C8" s="781">
        <f t="shared" si="3"/>
        <v>92644.683899007388</v>
      </c>
      <c r="D8" s="731">
        <f t="shared" si="4"/>
        <v>46.322341949503695</v>
      </c>
      <c r="E8" s="745">
        <f>IF('[1]Process Lab'!F6="","",'[1]Process Lab'!F6*10000)</f>
        <v>6755.5555555555557</v>
      </c>
      <c r="F8" s="806">
        <f>IF([1]Digesters!AB7="","",[1]Digesters!AB7/1000000)</f>
        <v>0.24787899999999999</v>
      </c>
      <c r="G8" s="781">
        <f t="shared" si="5"/>
        <v>83932.820915999982</v>
      </c>
      <c r="H8" s="731">
        <f t="shared" si="6"/>
        <v>41.966410457999991</v>
      </c>
      <c r="I8" s="731">
        <f>IF([2]TWAS!B7="","",[2]TWAS!B7)</f>
        <v>4.0599999999999996</v>
      </c>
      <c r="J8" s="731">
        <f>IF([2]TWAS!C7="","",[2]TWAS!C7)</f>
        <v>3.05</v>
      </c>
      <c r="K8" s="745">
        <f>IF([2]TWAS!D7="","",[2]TWAS!D7)</f>
        <v>75.123152709359601</v>
      </c>
      <c r="L8" s="809">
        <f>IF([1]Digesters!B7="","",[1]Digesters!B7)</f>
        <v>194</v>
      </c>
      <c r="M8" s="800">
        <f>IF([1]Digesters!D7="","",[1]Digesters!D7)</f>
        <v>196</v>
      </c>
      <c r="N8" s="800">
        <f>IF([1]Digesters!F7="","",[1]Digesters!F7)</f>
        <v>1227</v>
      </c>
      <c r="O8" s="800">
        <f>IF([1]Digesters!H7="","",[1]Digesters!H7)</f>
        <v>200</v>
      </c>
      <c r="P8" s="800">
        <f>IF([1]Digesters!J7="","",[1]Digesters!J7)</f>
        <v>196</v>
      </c>
      <c r="Q8" s="803">
        <f>IF([1]Digesters!L7="","",[1]Digesters!L7)</f>
        <v>196</v>
      </c>
      <c r="S8" s="98"/>
      <c r="T8" s="1"/>
      <c r="V8" s="111"/>
      <c r="Z8" s="260">
        <f>IF([1]SLPR!Q7="","",(((([1]SLPR!Q7*10)-([1]SLPR!R7)-([1]SLPR!F7*10))/1000000)*([1]BP_Lab!B7*10000)*8.34/2000))</f>
        <v>50.813737244999999</v>
      </c>
      <c r="AA8" s="261" t="str">
        <f>IF([2]DIG!$AP$41="","",IF([1]Digesters!AA7="","",IF([2]DIG!AM7="",(((([1]Digesters!AA7*100)/1000000)*([2]DIG!$AP$41*10000)*8.34)/2000),(((([1]Digesters!AA7*100)/1000000)*([2]DIG!AM7*10000)*8.34)/2000))))</f>
        <v/>
      </c>
    </row>
    <row r="9" spans="1:27" ht="20.25" x14ac:dyDescent="0.3">
      <c r="A9" s="736">
        <v>5</v>
      </c>
      <c r="B9" s="811">
        <f>IF('[1]Plant Data'!$L8="","",'[1]Plant Data'!$L8)</f>
        <v>1.7088532525816533</v>
      </c>
      <c r="C9" s="781">
        <f t="shared" si="3"/>
        <v>94972.652409855087</v>
      </c>
      <c r="D9" s="731">
        <f t="shared" si="4"/>
        <v>47.486326204927543</v>
      </c>
      <c r="E9" s="745">
        <f>IF('[1]Process Lab'!F7="","",'[1]Process Lab'!F7*10000)</f>
        <v>6663.8888888888878</v>
      </c>
      <c r="F9" s="806">
        <f>IF([1]Digesters!AB8="","",[1]Digesters!AB8/1000000)</f>
        <v>0.22800899999999999</v>
      </c>
      <c r="G9" s="781">
        <f t="shared" si="5"/>
        <v>80627.630544</v>
      </c>
      <c r="H9" s="731">
        <f t="shared" si="6"/>
        <v>40.313815271999999</v>
      </c>
      <c r="I9" s="731">
        <f>IF([2]TWAS!B8="","",[2]TWAS!B8)</f>
        <v>4.24</v>
      </c>
      <c r="J9" s="731">
        <f>IF([2]TWAS!C8="","",[2]TWAS!C8)</f>
        <v>3.16</v>
      </c>
      <c r="K9" s="745">
        <f>IF([2]TWAS!D8="","",[2]TWAS!D8)</f>
        <v>74.528301886792448</v>
      </c>
      <c r="L9" s="809">
        <f>IF([1]Digesters!B8="","",[1]Digesters!B8)</f>
        <v>184</v>
      </c>
      <c r="M9" s="800">
        <f>IF([1]Digesters!D8="","",[1]Digesters!D8)</f>
        <v>185</v>
      </c>
      <c r="N9" s="800">
        <f>IF([1]Digesters!F8="","",[1]Digesters!F8)</f>
        <v>1136</v>
      </c>
      <c r="O9" s="800">
        <f>IF([1]Digesters!H8="","",[1]Digesters!H8)</f>
        <v>190</v>
      </c>
      <c r="P9" s="800">
        <f>IF([1]Digesters!J8="","",[1]Digesters!J8)</f>
        <v>171</v>
      </c>
      <c r="Q9" s="803">
        <f>IF([1]Digesters!L8="","",[1]Digesters!L8)</f>
        <v>185</v>
      </c>
      <c r="S9" s="98"/>
      <c r="T9" s="1"/>
      <c r="V9" s="111"/>
      <c r="Z9" s="260">
        <f>IF([1]SLPR!Q8="","",(((([1]SLPR!Q8*10)-([1]SLPR!R8)-([1]SLPR!F8*10))/1000000)*([1]BP_Lab!B8*10000)*8.34/2000))</f>
        <v>55.463451292799988</v>
      </c>
      <c r="AA9" s="261" t="str">
        <f>IF([2]DIG!$AP$41="","",IF([1]Digesters!AA8="","",IF([2]DIG!AM8="",(((([1]Digesters!AA8*100)/1000000)*([2]DIG!$AP$41*10000)*8.34)/2000),(((([1]Digesters!AA8*100)/1000000)*([2]DIG!AM8*10000)*8.34)/2000))))</f>
        <v/>
      </c>
    </row>
    <row r="10" spans="1:27" ht="20.25" x14ac:dyDescent="0.3">
      <c r="A10" s="736">
        <v>6</v>
      </c>
      <c r="B10" s="811">
        <f>IF('[1]Plant Data'!$L9="","",'[1]Plant Data'!$L9)</f>
        <v>1.6036240065642007</v>
      </c>
      <c r="C10" s="781">
        <f t="shared" si="3"/>
        <v>88381.33168577608</v>
      </c>
      <c r="D10" s="731">
        <f t="shared" si="4"/>
        <v>44.190665842888038</v>
      </c>
      <c r="E10" s="745">
        <f>IF('[1]Process Lab'!F8="","",'[1]Process Lab'!F8*10000)</f>
        <v>6608.333333333333</v>
      </c>
      <c r="F10" s="806">
        <f>IF([1]Digesters!AB9="","",[1]Digesters!AB9/1000000)</f>
        <v>0.192</v>
      </c>
      <c r="G10" s="781">
        <f t="shared" si="5"/>
        <v>64371.455999999991</v>
      </c>
      <c r="H10" s="731">
        <f t="shared" si="6"/>
        <v>32.185727999999997</v>
      </c>
      <c r="I10" s="731">
        <f>IF([2]TWAS!B9="","",[2]TWAS!B9)</f>
        <v>4.0199999999999996</v>
      </c>
      <c r="J10" s="731">
        <f>IF([2]TWAS!C9="","",[2]TWAS!C9)</f>
        <v>3</v>
      </c>
      <c r="K10" s="745">
        <f>IF([2]TWAS!D9="","",[2]TWAS!D9)</f>
        <v>74.626865671641795</v>
      </c>
      <c r="L10" s="809">
        <f>IF([1]Digesters!B9="","",[1]Digesters!B9)</f>
        <v>160</v>
      </c>
      <c r="M10" s="800">
        <f>IF([1]Digesters!D9="","",[1]Digesters!D9)</f>
        <v>161</v>
      </c>
      <c r="N10" s="800">
        <f>IF([1]Digesters!F9="","",[1]Digesters!F9)</f>
        <v>976</v>
      </c>
      <c r="O10" s="800">
        <f>IF([1]Digesters!H9="","",[1]Digesters!H9)</f>
        <v>161</v>
      </c>
      <c r="P10" s="800">
        <f>IF([1]Digesters!J9="","",[1]Digesters!J9)</f>
        <v>162</v>
      </c>
      <c r="Q10" s="803">
        <f>IF([1]Digesters!L9="","",[1]Digesters!L9)</f>
        <v>160</v>
      </c>
      <c r="S10" s="98"/>
      <c r="T10" s="1"/>
      <c r="V10" s="111"/>
      <c r="Z10" s="260">
        <f>IF([1]SLPR!Q9="","",(((([1]SLPR!Q9*10)-([1]SLPR!R9)-([1]SLPR!F9*10))/1000000)*([1]BP_Lab!B9*10000)*8.34/2000))</f>
        <v>49.432551596400003</v>
      </c>
      <c r="AA10" s="261" t="str">
        <f>IF([2]DIG!$AP$41="","",IF([1]Digesters!AA9="","",IF([2]DIG!AM9="",(((([1]Digesters!AA9*100)/1000000)*([2]DIG!$AP$41*10000)*8.34)/2000),(((([1]Digesters!AA9*100)/1000000)*([2]DIG!AM9*10000)*8.34)/2000))))</f>
        <v/>
      </c>
    </row>
    <row r="11" spans="1:27" ht="20.25" x14ac:dyDescent="0.3">
      <c r="A11" s="736">
        <v>7</v>
      </c>
      <c r="B11" s="811">
        <f>IF('[1]Plant Data'!$L10="","",'[1]Plant Data'!$L10)</f>
        <v>1.4845097279759052</v>
      </c>
      <c r="C11" s="781">
        <f t="shared" si="3"/>
        <v>82263.611739208791</v>
      </c>
      <c r="D11" s="731">
        <f t="shared" si="4"/>
        <v>41.131805869604392</v>
      </c>
      <c r="E11" s="745">
        <f>IF('[1]Process Lab'!F9="","",'[1]Process Lab'!F9*10000)</f>
        <v>6644.4444444444443</v>
      </c>
      <c r="F11" s="806">
        <f>IF([1]Digesters!AB10="","",[1]Digesters!AB10/1000000)</f>
        <v>0.22726499999999999</v>
      </c>
      <c r="G11" s="781">
        <f t="shared" si="5"/>
        <v>76763.299050000001</v>
      </c>
      <c r="H11" s="731">
        <f t="shared" si="6"/>
        <v>38.381649525</v>
      </c>
      <c r="I11" s="731">
        <f>IF([2]TWAS!B10="","",[2]TWAS!B10)</f>
        <v>4.05</v>
      </c>
      <c r="J11" s="731">
        <f>IF([2]TWAS!C10="","",[2]TWAS!C10)</f>
        <v>3.09</v>
      </c>
      <c r="K11" s="745">
        <f>IF([2]TWAS!D10="","",[2]TWAS!D10)</f>
        <v>76.296296296296291</v>
      </c>
      <c r="L11" s="809">
        <f>IF([1]Digesters!B10="","",[1]Digesters!B10)</f>
        <v>182</v>
      </c>
      <c r="M11" s="800">
        <f>IF([1]Digesters!D10="","",[1]Digesters!D10)</f>
        <v>180</v>
      </c>
      <c r="N11" s="800">
        <f>IF([1]Digesters!F10="","",[1]Digesters!F10)</f>
        <v>1149</v>
      </c>
      <c r="O11" s="800">
        <f>IF([1]Digesters!H10="","",[1]Digesters!H10)</f>
        <v>188</v>
      </c>
      <c r="P11" s="800">
        <f>IF([1]Digesters!J10="","",[1]Digesters!J10)</f>
        <v>188</v>
      </c>
      <c r="Q11" s="803">
        <f>IF([1]Digesters!L10="","",[1]Digesters!L10)</f>
        <v>184</v>
      </c>
      <c r="S11" s="98"/>
      <c r="T11" s="1"/>
      <c r="V11" s="111"/>
      <c r="Z11" s="260">
        <f>IF([1]SLPR!Q10="","",(((([1]SLPR!Q10*10)-([1]SLPR!R10)-([1]SLPR!F10*10))/1000000)*([1]BP_Lab!B10*10000)*8.34/2000))</f>
        <v>44.268536061299997</v>
      </c>
      <c r="AA11" s="261" t="str">
        <f>IF([2]DIG!$AP$41="","",IF([1]Digesters!AA10="","",IF([2]DIG!AM10="",(((([1]Digesters!AA10*100)/1000000)*([2]DIG!$AP$41*10000)*8.34)/2000),(((([1]Digesters!AA10*100)/1000000)*([2]DIG!AM10*10000)*8.34)/2000))))</f>
        <v/>
      </c>
    </row>
    <row r="12" spans="1:27" ht="20.25" x14ac:dyDescent="0.3">
      <c r="A12" s="736">
        <v>8</v>
      </c>
      <c r="B12" s="811">
        <f>IF('[1]Plant Data'!$L11="","",'[1]Plant Data'!$L11)</f>
        <v>1.4877478551272818</v>
      </c>
      <c r="C12" s="781">
        <f t="shared" si="3"/>
        <v>80719.74354373751</v>
      </c>
      <c r="D12" s="731">
        <f t="shared" si="4"/>
        <v>40.359871771868754</v>
      </c>
      <c r="E12" s="745">
        <f>IF('[1]Process Lab'!F10="","",'[1]Process Lab'!F10*10000)</f>
        <v>6505.5555555555557</v>
      </c>
      <c r="F12" s="806">
        <f>IF([1]Digesters!AB11="","",[1]Digesters!AB11/1000000)</f>
        <v>0.198076</v>
      </c>
      <c r="G12" s="781">
        <f t="shared" si="5"/>
        <v>70208.038199999995</v>
      </c>
      <c r="H12" s="731">
        <f t="shared" si="6"/>
        <v>35.104019099999995</v>
      </c>
      <c r="I12" s="731">
        <f>IF([2]TWAS!B11="","",[2]TWAS!B11)</f>
        <v>4.25</v>
      </c>
      <c r="J12" s="731">
        <f>IF([2]TWAS!C11="","",[2]TWAS!C11)</f>
        <v>3.3</v>
      </c>
      <c r="K12" s="745">
        <f>IF([2]TWAS!D11="","",[2]TWAS!D11)</f>
        <v>77.647058823529406</v>
      </c>
      <c r="L12" s="809">
        <f>IF([1]Digesters!B11="","",[1]Digesters!B11)</f>
        <v>158</v>
      </c>
      <c r="M12" s="800">
        <f>IF([1]Digesters!D11="","",[1]Digesters!D11)</f>
        <v>160</v>
      </c>
      <c r="N12" s="800">
        <f>IF([1]Digesters!F11="","",[1]Digesters!F11)</f>
        <v>1050</v>
      </c>
      <c r="O12" s="800">
        <f>IF([1]Digesters!H11="","",[1]Digesters!H11)</f>
        <v>161</v>
      </c>
      <c r="P12" s="800">
        <f>IF([1]Digesters!J11="","",[1]Digesters!J11)</f>
        <v>136</v>
      </c>
      <c r="Q12" s="803">
        <f>IF([1]Digesters!L11="","",[1]Digesters!L11)</f>
        <v>159</v>
      </c>
      <c r="S12" s="98"/>
      <c r="T12" s="1"/>
      <c r="V12" s="111"/>
      <c r="Z12" s="260">
        <f>IF([1]SLPR!Q11="","",(((([1]SLPR!Q11*10)-([1]SLPR!R11)-([1]SLPR!F11*10))/1000000)*([1]BP_Lab!B11*10000)*8.34/2000))</f>
        <v>51.206955067800003</v>
      </c>
      <c r="AA12" s="261" t="str">
        <f>IF([2]DIG!$AP$41="","",IF([1]Digesters!AA11="","",IF([2]DIG!AM11="",(((([1]Digesters!AA11*100)/1000000)*([2]DIG!$AP$41*10000)*8.34)/2000),(((([1]Digesters!AA11*100)/1000000)*([2]DIG!AM11*10000)*8.34)/2000))))</f>
        <v/>
      </c>
    </row>
    <row r="13" spans="1:27" ht="20.25" x14ac:dyDescent="0.3">
      <c r="A13" s="736">
        <v>9</v>
      </c>
      <c r="B13" s="811">
        <f>IF('[1]Plant Data'!$L12="","",'[1]Plant Data'!$L12)</f>
        <v>1.4805555200328215</v>
      </c>
      <c r="C13" s="781">
        <f t="shared" si="3"/>
        <v>78717.435611345049</v>
      </c>
      <c r="D13" s="731">
        <f t="shared" si="4"/>
        <v>39.358717805672526</v>
      </c>
      <c r="E13" s="745">
        <f>IF('[1]Process Lab'!F11="","",'[1]Process Lab'!F11*10000)</f>
        <v>6375.0000000000009</v>
      </c>
      <c r="F13" s="806">
        <f>IF([1]Digesters!AB12="","",[1]Digesters!AB12/1000000)</f>
        <v>0.18765299999999999</v>
      </c>
      <c r="G13" s="781">
        <f t="shared" si="5"/>
        <v>65261.585033999996</v>
      </c>
      <c r="H13" s="731">
        <f t="shared" si="6"/>
        <v>32.630792516999996</v>
      </c>
      <c r="I13" s="731">
        <f>IF([2]TWAS!B12="","",[2]TWAS!B12)</f>
        <v>4.17</v>
      </c>
      <c r="J13" s="731">
        <f>IF([2]TWAS!C12="","",[2]TWAS!C12)</f>
        <v>3.21</v>
      </c>
      <c r="K13" s="745">
        <f>IF([2]TWAS!D12="","",[2]TWAS!D12)</f>
        <v>76.978417266187051</v>
      </c>
      <c r="L13" s="809">
        <f>IF([1]Digesters!B12="","",[1]Digesters!B12)</f>
        <v>148</v>
      </c>
      <c r="M13" s="800">
        <f>IF([1]Digesters!D12="","",[1]Digesters!D12)</f>
        <v>145</v>
      </c>
      <c r="N13" s="800">
        <f>IF([1]Digesters!F12="","",[1]Digesters!F12)</f>
        <v>917</v>
      </c>
      <c r="O13" s="800">
        <f>IF([1]Digesters!H12="","",[1]Digesters!H12)</f>
        <v>162</v>
      </c>
      <c r="P13" s="800">
        <f>IF([1]Digesters!J12="","",[1]Digesters!J12)</f>
        <v>158</v>
      </c>
      <c r="Q13" s="803">
        <f>IF([1]Digesters!L12="","",[1]Digesters!L12)</f>
        <v>159</v>
      </c>
      <c r="S13" s="98"/>
      <c r="T13" s="1"/>
      <c r="V13" s="111"/>
      <c r="Z13" s="260">
        <f>IF([1]SLPR!Q12="","",(((([1]SLPR!Q12*10)-([1]SLPR!R12)-([1]SLPR!F12*10))/1000000)*([1]BP_Lab!B12*10000)*8.34/2000))</f>
        <v>54.215904720000005</v>
      </c>
      <c r="AA13" s="261" t="str">
        <f>IF([2]DIG!$AP$41="","",IF([1]Digesters!AA12="","",IF([2]DIG!AM12="",(((([1]Digesters!AA12*100)/1000000)*([2]DIG!$AP$41*10000)*8.34)/2000),(((([1]Digesters!AA12*100)/1000000)*([2]DIG!AM12*10000)*8.34)/2000))))</f>
        <v/>
      </c>
    </row>
    <row r="14" spans="1:27" ht="20.25" x14ac:dyDescent="0.3">
      <c r="A14" s="736">
        <v>10</v>
      </c>
      <c r="B14" s="811">
        <f>IF('[1]Plant Data'!$L13="","",'[1]Plant Data'!$L13)</f>
        <v>1.481469142551233</v>
      </c>
      <c r="C14" s="781">
        <f t="shared" si="3"/>
        <v>78971.934847407319</v>
      </c>
      <c r="D14" s="731">
        <f t="shared" si="4"/>
        <v>39.485967423703663</v>
      </c>
      <c r="E14" s="745">
        <f>IF('[1]Process Lab'!F12="","",'[1]Process Lab'!F12*10000)</f>
        <v>6391.6666666666679</v>
      </c>
      <c r="F14" s="806">
        <f>IF([1]Digesters!AB13="","",[1]Digesters!AB13/1000000)</f>
        <v>0.19079699999999999</v>
      </c>
      <c r="G14" s="781">
        <f t="shared" si="5"/>
        <v>63809.003897999995</v>
      </c>
      <c r="H14" s="731">
        <f t="shared" si="6"/>
        <v>31.904501948999997</v>
      </c>
      <c r="I14" s="731">
        <f>IF([2]TWAS!B13="","",[2]TWAS!B13)</f>
        <v>4.01</v>
      </c>
      <c r="J14" s="731">
        <f>IF([2]TWAS!C13="","",[2]TWAS!C13)</f>
        <v>3.07</v>
      </c>
      <c r="K14" s="745">
        <f>IF([2]TWAS!D13="","",[2]TWAS!D13)</f>
        <v>76.558603491271825</v>
      </c>
      <c r="L14" s="809">
        <f>IF([1]Digesters!B13="","",[1]Digesters!B13)</f>
        <v>155</v>
      </c>
      <c r="M14" s="800">
        <f>IF([1]Digesters!D13="","",[1]Digesters!D13)</f>
        <v>160</v>
      </c>
      <c r="N14" s="800">
        <f>IF([1]Digesters!F13="","",[1]Digesters!F13)</f>
        <v>1124</v>
      </c>
      <c r="O14" s="800">
        <f>IF([1]Digesters!H13="","",[1]Digesters!H13)</f>
        <v>150</v>
      </c>
      <c r="P14" s="800">
        <f>IF([1]Digesters!J13="","",[1]Digesters!J13)</f>
        <v>138</v>
      </c>
      <c r="Q14" s="803">
        <f>IF([1]Digesters!L13="","",[1]Digesters!L13)</f>
        <v>146</v>
      </c>
      <c r="S14" s="98"/>
      <c r="T14" s="1"/>
      <c r="V14" s="111"/>
      <c r="Z14" s="260">
        <f>IF([1]SLPR!Q13="","",(((([1]SLPR!Q13*10)-([1]SLPR!R13)-([1]SLPR!F13*10))/1000000)*([1]BP_Lab!B13*10000)*8.34/2000))</f>
        <v>45.044234582400009</v>
      </c>
      <c r="AA14" s="261" t="str">
        <f>IF([2]DIG!$AP$41="","",IF([1]Digesters!AA13="","",IF([2]DIG!AM13="",(((([1]Digesters!AA13*100)/1000000)*([2]DIG!$AP$41*10000)*8.34)/2000),(((([1]Digesters!AA13*100)/1000000)*([2]DIG!AM13*10000)*8.34)/2000))))</f>
        <v/>
      </c>
    </row>
    <row r="15" spans="1:27" ht="20.25" x14ac:dyDescent="0.3">
      <c r="A15" s="736">
        <v>11</v>
      </c>
      <c r="B15" s="811">
        <f>IF('[1]Plant Data'!$L14="","",'[1]Plant Data'!$L14)</f>
        <v>1.6678944145753281</v>
      </c>
      <c r="C15" s="781">
        <f t="shared" si="3"/>
        <v>91421.184616507744</v>
      </c>
      <c r="D15" s="731">
        <f t="shared" si="4"/>
        <v>45.710592308253872</v>
      </c>
      <c r="E15" s="745">
        <f>IF('[1]Process Lab'!F13="","",'[1]Process Lab'!F13*10000)</f>
        <v>6572.2222222222226</v>
      </c>
      <c r="F15" s="806">
        <f>IF([1]Digesters!AB14="","",[1]Digesters!AB14/1000000)</f>
        <v>0.28984900000000002</v>
      </c>
      <c r="G15" s="781">
        <f t="shared" si="5"/>
        <v>90166.806618000002</v>
      </c>
      <c r="H15" s="731">
        <f t="shared" si="6"/>
        <v>45.083403308999998</v>
      </c>
      <c r="I15" s="731">
        <f>IF([2]TWAS!B14="","",[2]TWAS!B14)</f>
        <v>3.73</v>
      </c>
      <c r="J15" s="731">
        <f>IF([2]TWAS!C14="","",[2]TWAS!C14)</f>
        <v>2.79</v>
      </c>
      <c r="K15" s="745">
        <f>IF([2]TWAS!D14="","",[2]TWAS!D14)</f>
        <v>74.798927613941018</v>
      </c>
      <c r="L15" s="809">
        <f>IF([1]Digesters!B14="","",[1]Digesters!B14)</f>
        <v>234</v>
      </c>
      <c r="M15" s="800">
        <f>IF([1]Digesters!D14="","",[1]Digesters!D14)</f>
        <v>232</v>
      </c>
      <c r="N15" s="800">
        <f>IF([1]Digesters!F14="","",[1]Digesters!F14)</f>
        <v>1777</v>
      </c>
      <c r="O15" s="800">
        <f>IF([1]Digesters!H14="","",[1]Digesters!H14)</f>
        <v>253</v>
      </c>
      <c r="P15" s="800">
        <f>IF([1]Digesters!J14="","",[1]Digesters!J14)</f>
        <v>231</v>
      </c>
      <c r="Q15" s="803">
        <f>IF([1]Digesters!L14="","",[1]Digesters!L14)</f>
        <v>247</v>
      </c>
      <c r="S15" s="98"/>
      <c r="T15" s="1"/>
      <c r="V15" s="111"/>
      <c r="Z15" s="260">
        <f>IF([1]SLPR!Q14="","",(((([1]SLPR!Q14*10)-([1]SLPR!R14)-([1]SLPR!F14*10))/1000000)*([1]BP_Lab!B14*10000)*8.34/2000))</f>
        <v>48.922171451999994</v>
      </c>
      <c r="AA15" s="261" t="str">
        <f>IF([2]DIG!$AP$41="","",IF([1]Digesters!AA14="","",IF([2]DIG!AM14="",(((([1]Digesters!AA14*100)/1000000)*([2]DIG!$AP$41*10000)*8.34)/2000),(((([1]Digesters!AA14*100)/1000000)*([2]DIG!AM14*10000)*8.34)/2000))))</f>
        <v/>
      </c>
    </row>
    <row r="16" spans="1:27" ht="20.25" x14ac:dyDescent="0.3">
      <c r="A16" s="736">
        <v>12</v>
      </c>
      <c r="B16" s="811">
        <f>IF('[1]Plant Data'!$L15="","",'[1]Plant Data'!$L15)</f>
        <v>1.5596200579871133</v>
      </c>
      <c r="C16" s="781">
        <f t="shared" si="3"/>
        <v>84583.134541491454</v>
      </c>
      <c r="D16" s="731">
        <f t="shared" si="4"/>
        <v>42.29156727074573</v>
      </c>
      <c r="E16" s="745">
        <f>IF('[1]Process Lab'!F14="","",'[1]Process Lab'!F14*10000)</f>
        <v>6502.7777777777783</v>
      </c>
      <c r="F16" s="806">
        <f>IF([1]Digesters!AB15="","",[1]Digesters!AB15/1000000)</f>
        <v>0.19290199999999999</v>
      </c>
      <c r="G16" s="781">
        <f t="shared" si="5"/>
        <v>65478.269075999997</v>
      </c>
      <c r="H16" s="731">
        <f t="shared" si="6"/>
        <v>32.739134538000002</v>
      </c>
      <c r="I16" s="731">
        <f>IF([2]TWAS!B15="","",[2]TWAS!B15)</f>
        <v>4.07</v>
      </c>
      <c r="J16" s="731">
        <f>IF([2]TWAS!C15="","",[2]TWAS!C15)</f>
        <v>3.07</v>
      </c>
      <c r="K16" s="745">
        <f>IF([2]TWAS!D15="","",[2]TWAS!D15)</f>
        <v>75.429975429975414</v>
      </c>
      <c r="L16" s="809">
        <f>IF([1]Digesters!B15="","",[1]Digesters!B15)</f>
        <v>159</v>
      </c>
      <c r="M16" s="800">
        <f>IF([1]Digesters!D15="","",[1]Digesters!D15)</f>
        <v>159</v>
      </c>
      <c r="N16" s="800">
        <f>IF([1]Digesters!F15="","",[1]Digesters!F15)</f>
        <v>949</v>
      </c>
      <c r="O16" s="800">
        <f>IF([1]Digesters!H15="","",[1]Digesters!H15)</f>
        <v>150</v>
      </c>
      <c r="P16" s="800">
        <f>IF([1]Digesters!J15="","",[1]Digesters!J15)</f>
        <v>150</v>
      </c>
      <c r="Q16" s="803">
        <f>IF([1]Digesters!L15="","",[1]Digesters!L15)</f>
        <v>148</v>
      </c>
      <c r="S16" s="98"/>
      <c r="T16" s="1"/>
      <c r="V16" s="111"/>
      <c r="Z16" s="260">
        <f>IF([1]SLPR!Q15="","",(((([1]SLPR!Q15*10)-([1]SLPR!R15)-([1]SLPR!F15*10))/1000000)*([1]BP_Lab!B15*10000)*8.34/2000))</f>
        <v>44.859424060500004</v>
      </c>
      <c r="AA16" s="261" t="str">
        <f>IF([2]DIG!$AP$41="","",IF([1]Digesters!AA15="","",IF([2]DIG!AM15="",(((([1]Digesters!AA15*100)/1000000)*([2]DIG!$AP$41*10000)*8.34)/2000),(((([1]Digesters!AA15*100)/1000000)*([2]DIG!AM15*10000)*8.34)/2000))))</f>
        <v/>
      </c>
    </row>
    <row r="17" spans="1:27" ht="20.25" x14ac:dyDescent="0.3">
      <c r="A17" s="736">
        <v>13</v>
      </c>
      <c r="B17" s="811">
        <f>IF('[1]Plant Data'!$L16="","",'[1]Plant Data'!$L16)</f>
        <v>1.3394683896193551</v>
      </c>
      <c r="C17" s="781">
        <f t="shared" si="3"/>
        <v>73574.54294974354</v>
      </c>
      <c r="D17" s="731">
        <f t="shared" si="4"/>
        <v>36.787271474871773</v>
      </c>
      <c r="E17" s="745">
        <f>IF('[1]Process Lab'!F15="","",'[1]Process Lab'!F15*10000)</f>
        <v>6586.1111111111113</v>
      </c>
      <c r="F17" s="806">
        <f>IF([1]Digesters!AB16="","",[1]Digesters!AB16/1000000)</f>
        <v>0.21385899999999999</v>
      </c>
      <c r="G17" s="781">
        <f t="shared" si="5"/>
        <v>70451.570370000001</v>
      </c>
      <c r="H17" s="731">
        <f t="shared" si="6"/>
        <v>35.225785184999999</v>
      </c>
      <c r="I17" s="731">
        <f>IF([2]TWAS!B16="","",[2]TWAS!B16)</f>
        <v>3.95</v>
      </c>
      <c r="J17" s="731">
        <f>IF([2]TWAS!C16="","",[2]TWAS!C16)</f>
        <v>2.98</v>
      </c>
      <c r="K17" s="745">
        <f>IF([2]TWAS!D16="","",[2]TWAS!D16)</f>
        <v>75.443037974683534</v>
      </c>
      <c r="L17" s="809">
        <f>IF([1]Digesters!B16="","",[1]Digesters!B16)</f>
        <v>170</v>
      </c>
      <c r="M17" s="800">
        <f>IF([1]Digesters!D16="","",[1]Digesters!D16)</f>
        <v>171</v>
      </c>
      <c r="N17" s="800">
        <f>IF([1]Digesters!F16="","",[1]Digesters!F16)</f>
        <v>1203</v>
      </c>
      <c r="O17" s="800">
        <f>IF([1]Digesters!H16="","",[1]Digesters!H16)</f>
        <v>188</v>
      </c>
      <c r="P17" s="800">
        <f>IF([1]Digesters!J16="","",[1]Digesters!J16)</f>
        <v>179</v>
      </c>
      <c r="Q17" s="803">
        <f>IF([1]Digesters!L16="","",[1]Digesters!L16)</f>
        <v>177</v>
      </c>
      <c r="S17" s="98"/>
      <c r="T17" s="1"/>
      <c r="V17" s="111"/>
      <c r="Z17" s="260">
        <f>IF([1]SLPR!Q16="","",(((([1]SLPR!Q16*10)-([1]SLPR!R16)-([1]SLPR!F16*10))/1000000)*([1]BP_Lab!B16*10000)*8.34/2000))</f>
        <v>38.624400570599995</v>
      </c>
      <c r="AA17" s="261" t="str">
        <f>IF([2]DIG!$AP$41="","",IF([1]Digesters!AA16="","",IF([2]DIG!AM16="",(((([1]Digesters!AA16*100)/1000000)*([2]DIG!$AP$41*10000)*8.34)/2000),(((([1]Digesters!AA16*100)/1000000)*([2]DIG!AM16*10000)*8.34)/2000))))</f>
        <v/>
      </c>
    </row>
    <row r="18" spans="1:27" ht="20.25" x14ac:dyDescent="0.3">
      <c r="A18" s="736">
        <v>14</v>
      </c>
      <c r="B18" s="811">
        <f>IF('[1]Plant Data'!$L17="","",'[1]Plant Data'!$L17)</f>
        <v>1.3405557026496941</v>
      </c>
      <c r="C18" s="781">
        <f t="shared" si="3"/>
        <v>74721.234309991298</v>
      </c>
      <c r="D18" s="731">
        <f t="shared" si="4"/>
        <v>37.360617154995651</v>
      </c>
      <c r="E18" s="745">
        <f>IF('[1]Process Lab'!F16="","",'[1]Process Lab'!F16*10000)</f>
        <v>6683.333333333333</v>
      </c>
      <c r="F18" s="806">
        <f>IF([1]Digesters!AB17="","",[1]Digesters!AB17/1000000)</f>
        <v>0.19794</v>
      </c>
      <c r="G18" s="781">
        <f t="shared" si="5"/>
        <v>60419.997360000001</v>
      </c>
      <c r="H18" s="731">
        <f t="shared" si="6"/>
        <v>30.209998680000002</v>
      </c>
      <c r="I18" s="731">
        <f>IF([2]TWAS!B17="","",[2]TWAS!B17)</f>
        <v>3.66</v>
      </c>
      <c r="J18" s="731">
        <f>IF([2]TWAS!C17="","",[2]TWAS!C17)</f>
        <v>2.77</v>
      </c>
      <c r="K18" s="745">
        <f>IF([2]TWAS!D17="","",[2]TWAS!D17)</f>
        <v>75.683060109289613</v>
      </c>
      <c r="L18" s="809">
        <f>IF([1]Digesters!B17="","",[1]Digesters!B17)</f>
        <v>171</v>
      </c>
      <c r="M18" s="800">
        <f>IF([1]Digesters!D17="","",[1]Digesters!D17)</f>
        <v>172</v>
      </c>
      <c r="N18" s="800">
        <f>IF([1]Digesters!F17="","",[1]Digesters!F17)</f>
        <v>1017</v>
      </c>
      <c r="O18" s="800">
        <f>IF([1]Digesters!H17="","",[1]Digesters!H17)</f>
        <v>163</v>
      </c>
      <c r="P18" s="800">
        <f>IF([1]Digesters!J17="","",[1]Digesters!J17)</f>
        <v>150</v>
      </c>
      <c r="Q18" s="803">
        <f>IF([1]Digesters!L17="","",[1]Digesters!L17)</f>
        <v>167</v>
      </c>
      <c r="S18" s="98"/>
      <c r="T18" s="1"/>
      <c r="V18" s="111"/>
      <c r="Z18" s="260">
        <f>IF([1]SLPR!Q17="","",(((([1]SLPR!Q17*10)-([1]SLPR!R17)-([1]SLPR!F17*10))/1000000)*([1]BP_Lab!B17*10000)*8.34/2000))</f>
        <v>41.852757941999997</v>
      </c>
      <c r="AA18" s="261" t="str">
        <f>IF([2]DIG!$AP$41="","",IF([1]Digesters!AA17="","",IF([2]DIG!AM17="",(((([1]Digesters!AA17*100)/1000000)*([2]DIG!$AP$41*10000)*8.34)/2000),(((([1]Digesters!AA17*100)/1000000)*([2]DIG!AM17*10000)*8.34)/2000))))</f>
        <v/>
      </c>
    </row>
    <row r="19" spans="1:27" ht="20.25" x14ac:dyDescent="0.3">
      <c r="A19" s="736">
        <v>15</v>
      </c>
      <c r="B19" s="811">
        <f>IF('[1]Plant Data'!$L18="","",'[1]Plant Data'!$L18)</f>
        <v>1.314717795188922</v>
      </c>
      <c r="C19" s="781">
        <f t="shared" si="3"/>
        <v>71758.1737399415</v>
      </c>
      <c r="D19" s="731">
        <f t="shared" si="4"/>
        <v>35.879086869970749</v>
      </c>
      <c r="E19" s="745">
        <f>IF('[1]Process Lab'!F17="","",'[1]Process Lab'!F17*10000)</f>
        <v>6544.4444444444453</v>
      </c>
      <c r="F19" s="806">
        <f>IF([1]Digesters!AB18="","",[1]Digesters!AB18/1000000)</f>
        <v>0.20699999999999999</v>
      </c>
      <c r="G19" s="781">
        <f t="shared" si="5"/>
        <v>66465.63</v>
      </c>
      <c r="H19" s="731">
        <f t="shared" si="6"/>
        <v>33.232815000000002</v>
      </c>
      <c r="I19" s="731">
        <f>IF([2]TWAS!B18="","",[2]TWAS!B18)</f>
        <v>3.85</v>
      </c>
      <c r="J19" s="731">
        <f>IF([2]TWAS!C18="","",[2]TWAS!C18)</f>
        <v>2.86</v>
      </c>
      <c r="K19" s="745">
        <f>IF([2]TWAS!D18="","",[2]TWAS!D18)</f>
        <v>74.285714285714278</v>
      </c>
      <c r="L19" s="809">
        <f>IF([1]Digesters!B18="","",[1]Digesters!B18)</f>
        <v>158</v>
      </c>
      <c r="M19" s="800">
        <f>IF([1]Digesters!D18="","",[1]Digesters!D18)</f>
        <v>159</v>
      </c>
      <c r="N19" s="800">
        <f>IF([1]Digesters!F18="","",[1]Digesters!F18)</f>
        <v>1178</v>
      </c>
      <c r="O19" s="800">
        <f>IF([1]Digesters!H18="","",[1]Digesters!H18)</f>
        <v>175</v>
      </c>
      <c r="P19" s="800">
        <f>IF([1]Digesters!J18="","",[1]Digesters!J18)</f>
        <v>173</v>
      </c>
      <c r="Q19" s="803">
        <f>IF([1]Digesters!L18="","",[1]Digesters!L18)</f>
        <v>147</v>
      </c>
      <c r="S19" s="98"/>
      <c r="T19" s="1"/>
      <c r="V19" s="111"/>
      <c r="Z19" s="260">
        <f>IF([1]SLPR!Q18="","",(((([1]SLPR!Q18*10)-([1]SLPR!R18)-([1]SLPR!F18*10))/1000000)*([1]BP_Lab!B18*10000)*8.34/2000))</f>
        <v>51.461153347200003</v>
      </c>
      <c r="AA19" s="261" t="str">
        <f>IF([2]DIG!$AP$41="","",IF([1]Digesters!AA18="","",IF([2]DIG!AM18="",(((([1]Digesters!AA18*100)/1000000)*([2]DIG!$AP$41*10000)*8.34)/2000),(((([1]Digesters!AA18*100)/1000000)*([2]DIG!AM18*10000)*8.34)/2000))))</f>
        <v/>
      </c>
    </row>
    <row r="20" spans="1:27" ht="20.25" x14ac:dyDescent="0.3">
      <c r="A20" s="736">
        <v>16</v>
      </c>
      <c r="B20" s="811">
        <f>IF('[1]Plant Data'!$L19="","",'[1]Plant Data'!$L19)</f>
        <v>1.2785309433537462</v>
      </c>
      <c r="C20" s="781">
        <f t="shared" si="3"/>
        <v>70997.462549905205</v>
      </c>
      <c r="D20" s="731">
        <f t="shared" si="4"/>
        <v>35.498731274952604</v>
      </c>
      <c r="E20" s="745">
        <f>IF('[1]Process Lab'!F18="","",'[1]Process Lab'!F18*10000)</f>
        <v>6658.3333333333348</v>
      </c>
      <c r="F20" s="806">
        <f>IF([1]Digesters!AB19="","",[1]Digesters!AB19/1000000)</f>
        <v>0.19003800000000001</v>
      </c>
      <c r="G20" s="781">
        <f t="shared" si="5"/>
        <v>64189.135260000003</v>
      </c>
      <c r="H20" s="731">
        <f t="shared" si="6"/>
        <v>32.09456763</v>
      </c>
      <c r="I20" s="731">
        <f>IF([2]TWAS!B19="","",[2]TWAS!B19)</f>
        <v>4.05</v>
      </c>
      <c r="J20" s="731">
        <f>IF([2]TWAS!C19="","",[2]TWAS!C19)</f>
        <v>3</v>
      </c>
      <c r="K20" s="745">
        <f>IF([2]TWAS!D19="","",[2]TWAS!D19)</f>
        <v>74.074074074074076</v>
      </c>
      <c r="L20" s="809">
        <f>IF([1]Digesters!B19="","",[1]Digesters!B19)</f>
        <v>159</v>
      </c>
      <c r="M20" s="800">
        <f>IF([1]Digesters!D19="","",[1]Digesters!D19)</f>
        <v>159</v>
      </c>
      <c r="N20" s="800">
        <f>IF([1]Digesters!F19="","",[1]Digesters!F19)</f>
        <v>952</v>
      </c>
      <c r="O20" s="800">
        <f>IF([1]Digesters!H19="","",[1]Digesters!H19)</f>
        <v>149</v>
      </c>
      <c r="P20" s="800">
        <f>IF([1]Digesters!J19="","",[1]Digesters!J19)</f>
        <v>150</v>
      </c>
      <c r="Q20" s="803">
        <f>IF([1]Digesters!L19="","",[1]Digesters!L19)</f>
        <v>159</v>
      </c>
      <c r="S20" s="98"/>
      <c r="T20" s="1"/>
      <c r="V20" s="111"/>
      <c r="Z20" s="260">
        <f>IF([1]SLPR!Q19="","",(((([1]SLPR!Q19*10)-([1]SLPR!R19)-([1]SLPR!F19*10))/1000000)*([1]BP_Lab!B19*10000)*8.34/2000))</f>
        <v>44.200068789599996</v>
      </c>
      <c r="AA20" s="261" t="str">
        <f>IF([2]DIG!$AP$41="","",IF([1]Digesters!AA19="","",IF([2]DIG!AM19="",(((([1]Digesters!AA19*100)/1000000)*([2]DIG!$AP$41*10000)*8.34)/2000),(((([1]Digesters!AA19*100)/1000000)*([2]DIG!AM19*10000)*8.34)/2000))))</f>
        <v/>
      </c>
    </row>
    <row r="21" spans="1:27" ht="20.25" x14ac:dyDescent="0.3">
      <c r="A21" s="736">
        <v>17</v>
      </c>
      <c r="B21" s="811">
        <f>IF('[1]Plant Data'!$L20="","",'[1]Plant Data'!$L20)</f>
        <v>1.4303454645973408</v>
      </c>
      <c r="C21" s="781">
        <f t="shared" si="3"/>
        <v>82343.796442315099</v>
      </c>
      <c r="D21" s="731">
        <f t="shared" si="4"/>
        <v>41.171898221157548</v>
      </c>
      <c r="E21" s="745">
        <f>IF('[1]Process Lab'!F19="","",'[1]Process Lab'!F19*10000)</f>
        <v>6902.7777777777792</v>
      </c>
      <c r="F21" s="806">
        <f>IF([1]Digesters!AB20="","",[1]Digesters!AB20/1000000)</f>
        <v>0.26205200000000001</v>
      </c>
      <c r="G21" s="781">
        <f t="shared" si="5"/>
        <v>82612.417103999993</v>
      </c>
      <c r="H21" s="731">
        <f t="shared" si="6"/>
        <v>41.306208551999994</v>
      </c>
      <c r="I21" s="731">
        <f>IF([2]TWAS!B20="","",[2]TWAS!B20)</f>
        <v>3.78</v>
      </c>
      <c r="J21" s="731">
        <f>IF([2]TWAS!C20="","",[2]TWAS!C20)</f>
        <v>2.88</v>
      </c>
      <c r="K21" s="745">
        <f>IF([2]TWAS!D20="","",[2]TWAS!D20)</f>
        <v>76.19047619047619</v>
      </c>
      <c r="L21" s="809">
        <f>IF([1]Digesters!B20="","",[1]Digesters!B20)</f>
        <v>206</v>
      </c>
      <c r="M21" s="800">
        <f>IF([1]Digesters!D20="","",[1]Digesters!D20)</f>
        <v>208</v>
      </c>
      <c r="N21" s="800">
        <f>IF([1]Digesters!F20="","",[1]Digesters!F20)</f>
        <v>1381</v>
      </c>
      <c r="O21" s="800">
        <f>IF([1]Digesters!H20="","",[1]Digesters!H20)</f>
        <v>214</v>
      </c>
      <c r="P21" s="800">
        <f>IF([1]Digesters!J20="","",[1]Digesters!J20)</f>
        <v>213</v>
      </c>
      <c r="Q21" s="803">
        <f>IF([1]Digesters!L20="","",[1]Digesters!L20)</f>
        <v>210</v>
      </c>
      <c r="S21" s="98"/>
      <c r="T21" s="1"/>
      <c r="V21" s="111"/>
      <c r="Z21" s="260">
        <f>IF([1]SLPR!Q20="","",(((([1]SLPR!Q20*10)-([1]SLPR!R20)-([1]SLPR!F20*10))/1000000)*([1]BP_Lab!B20*10000)*8.34/2000))</f>
        <v>42.8521769631</v>
      </c>
      <c r="AA21" s="261" t="str">
        <f>IF([2]DIG!$AP$41="","",IF([1]Digesters!AA20="","",IF([2]DIG!AM20="",(((([1]Digesters!AA20*100)/1000000)*([2]DIG!$AP$41*10000)*8.34)/2000),(((([1]Digesters!AA20*100)/1000000)*([2]DIG!AM20*10000)*8.34)/2000))))</f>
        <v/>
      </c>
    </row>
    <row r="22" spans="1:27" ht="20.25" x14ac:dyDescent="0.3">
      <c r="A22" s="736">
        <v>18</v>
      </c>
      <c r="B22" s="811">
        <f>IF('[1]Plant Data'!$L21="","",'[1]Plant Data'!$L21)</f>
        <v>1.6112941609630158</v>
      </c>
      <c r="C22" s="781">
        <f t="shared" si="3"/>
        <v>94851.247726329355</v>
      </c>
      <c r="D22" s="731">
        <f t="shared" si="4"/>
        <v>47.425623863164681</v>
      </c>
      <c r="E22" s="745">
        <f>IF('[1]Process Lab'!F20="","",'[1]Process Lab'!F20*10000)</f>
        <v>7058.3333333333321</v>
      </c>
      <c r="F22" s="806">
        <f>IF([1]Digesters!AB21="","",[1]Digesters!AB21/1000000)</f>
        <v>0.25112200000000001</v>
      </c>
      <c r="G22" s="781">
        <f t="shared" si="5"/>
        <v>76025.176523999995</v>
      </c>
      <c r="H22" s="731">
        <f t="shared" si="6"/>
        <v>38.012588261999994</v>
      </c>
      <c r="I22" s="731">
        <f>IF([2]TWAS!B21="","",[2]TWAS!B21)</f>
        <v>3.63</v>
      </c>
      <c r="J22" s="731">
        <f>IF([2]TWAS!C21="","",[2]TWAS!C21)</f>
        <v>2.71</v>
      </c>
      <c r="K22" s="745">
        <f>IF([2]TWAS!D21="","",[2]TWAS!D21)</f>
        <v>74.655647382920108</v>
      </c>
      <c r="L22" s="809">
        <f>IF([1]Digesters!B21="","",[1]Digesters!B21)</f>
        <v>209</v>
      </c>
      <c r="M22" s="800">
        <f>IF([1]Digesters!D21="","",[1]Digesters!D21)</f>
        <v>204</v>
      </c>
      <c r="N22" s="800">
        <f>IF([1]Digesters!F21="","",[1]Digesters!F21)</f>
        <v>1497</v>
      </c>
      <c r="O22" s="800">
        <f>IF([1]Digesters!H21="","",[1]Digesters!H21)</f>
        <v>216</v>
      </c>
      <c r="P22" s="800">
        <f>IF([1]Digesters!J21="","",[1]Digesters!J21)</f>
        <v>214</v>
      </c>
      <c r="Q22" s="803">
        <f>IF([1]Digesters!L21="","",[1]Digesters!L21)</f>
        <v>209</v>
      </c>
      <c r="S22" s="98"/>
      <c r="T22" s="1"/>
      <c r="V22" s="111"/>
      <c r="Z22" s="260">
        <f>IF([1]SLPR!Q21="","",(((([1]SLPR!Q21*10)-([1]SLPR!R21)-([1]SLPR!F21*10))/1000000)*([1]BP_Lab!B21*10000)*8.34/2000))</f>
        <v>46.331331269999993</v>
      </c>
      <c r="AA22" s="261" t="str">
        <f>IF([2]DIG!$AP$41="","",IF([1]Digesters!AA21="","",IF([2]DIG!AM21="",(((([1]Digesters!AA21*100)/1000000)*([2]DIG!$AP$41*10000)*8.34)/2000),(((([1]Digesters!AA21*100)/1000000)*([2]DIG!AM21*10000)*8.34)/2000))))</f>
        <v/>
      </c>
    </row>
    <row r="23" spans="1:27" ht="20.25" x14ac:dyDescent="0.3">
      <c r="A23" s="736">
        <v>19</v>
      </c>
      <c r="B23" s="811">
        <f>IF('[1]Plant Data'!$L22="","",'[1]Plant Data'!$L22)</f>
        <v>1.7831555380443487</v>
      </c>
      <c r="C23" s="781">
        <f t="shared" si="3"/>
        <v>102365.60997251193</v>
      </c>
      <c r="D23" s="731">
        <f t="shared" si="4"/>
        <v>51.182804986255967</v>
      </c>
      <c r="E23" s="745">
        <f>IF('[1]Process Lab'!F21="","",'[1]Process Lab'!F21*10000)</f>
        <v>6883.3333333333339</v>
      </c>
      <c r="F23" s="806">
        <f>IF([1]Digesters!AB22="","",[1]Digesters!AB22/1000000)</f>
        <v>0.21026</v>
      </c>
      <c r="G23" s="781">
        <f t="shared" si="5"/>
        <v>69441.308640000003</v>
      </c>
      <c r="H23" s="731">
        <f t="shared" si="6"/>
        <v>34.720654320000001</v>
      </c>
      <c r="I23" s="731">
        <f>IF([2]TWAS!B22="","",[2]TWAS!B22)</f>
        <v>3.96</v>
      </c>
      <c r="J23" s="731">
        <f>IF([2]TWAS!C22="","",[2]TWAS!C22)</f>
        <v>2.95</v>
      </c>
      <c r="K23" s="745">
        <f>IF([2]TWAS!D22="","",[2]TWAS!D22)</f>
        <v>74.494949494949509</v>
      </c>
      <c r="L23" s="809">
        <f>IF([1]Digesters!B22="","",[1]Digesters!B22)</f>
        <v>163</v>
      </c>
      <c r="M23" s="800">
        <f>IF([1]Digesters!D22="","",[1]Digesters!D22)</f>
        <v>165</v>
      </c>
      <c r="N23" s="800">
        <f>IF([1]Digesters!F22="","",[1]Digesters!F22)</f>
        <v>1003</v>
      </c>
      <c r="O23" s="800">
        <f>IF([1]Digesters!H22="","",[1]Digesters!H22)</f>
        <v>176</v>
      </c>
      <c r="P23" s="800">
        <f>IF([1]Digesters!J22="","",[1]Digesters!J22)</f>
        <v>163</v>
      </c>
      <c r="Q23" s="803">
        <f>IF([1]Digesters!L22="","",[1]Digesters!L22)</f>
        <v>173</v>
      </c>
      <c r="S23" s="98"/>
      <c r="T23" s="1"/>
      <c r="V23" s="111"/>
      <c r="Z23" s="260">
        <f>IF([1]SLPR!Q22="","",(((([1]SLPR!Q22*10)-([1]SLPR!R22)-([1]SLPR!F22*10))/1000000)*([1]BP_Lab!B22*10000)*8.34/2000))</f>
        <v>63.054240570000005</v>
      </c>
      <c r="AA23" s="261" t="str">
        <f>IF([2]DIG!$AP$41="","",IF([1]Digesters!AA22="","",IF([2]DIG!AM22="",(((([1]Digesters!AA22*100)/1000000)*([2]DIG!$AP$41*10000)*8.34)/2000),(((([1]Digesters!AA22*100)/1000000)*([2]DIG!AM22*10000)*8.34)/2000))))</f>
        <v/>
      </c>
    </row>
    <row r="24" spans="1:27" ht="20.25" x14ac:dyDescent="0.3">
      <c r="A24" s="736">
        <v>20</v>
      </c>
      <c r="B24" s="811">
        <f>IF('[1]Plant Data'!$L23="","",'[1]Plant Data'!$L23)</f>
        <v>1.6997394807676907</v>
      </c>
      <c r="C24" s="781">
        <f t="shared" si="3"/>
        <v>94308.628640828014</v>
      </c>
      <c r="D24" s="731">
        <f t="shared" si="4"/>
        <v>47.154314320414009</v>
      </c>
      <c r="E24" s="745">
        <f>IF('[1]Process Lab'!F22="","",'[1]Process Lab'!F22*10000)</f>
        <v>6652.7777777777783</v>
      </c>
      <c r="F24" s="806">
        <f>IF([1]Digesters!AB23="","",[1]Digesters!AB23/1000000)</f>
        <v>0.24682699999999999</v>
      </c>
      <c r="G24" s="781">
        <f t="shared" si="5"/>
        <v>93251.734253999995</v>
      </c>
      <c r="H24" s="731">
        <f t="shared" si="6"/>
        <v>46.625867126999999</v>
      </c>
      <c r="I24" s="731">
        <f>IF([2]TWAS!B23="","",[2]TWAS!B23)</f>
        <v>4.53</v>
      </c>
      <c r="J24" s="731">
        <f>IF([2]TWAS!C23="","",[2]TWAS!C23)</f>
        <v>3.36</v>
      </c>
      <c r="K24" s="745">
        <f>IF([2]TWAS!D23="","",[2]TWAS!D23)</f>
        <v>74.172185430463571</v>
      </c>
      <c r="L24" s="809">
        <f>IF([1]Digesters!B23="","",[1]Digesters!B23)</f>
        <v>204</v>
      </c>
      <c r="M24" s="800">
        <f>IF([1]Digesters!D23="","",[1]Digesters!D23)</f>
        <v>209</v>
      </c>
      <c r="N24" s="800">
        <f>IF([1]Digesters!F23="","",[1]Digesters!F23)</f>
        <v>1657</v>
      </c>
      <c r="O24" s="800">
        <f>IF([1]Digesters!H23="","",[1]Digesters!H23)</f>
        <v>202</v>
      </c>
      <c r="P24" s="800">
        <f>IF([1]Digesters!J23="","",[1]Digesters!J23)</f>
        <v>200</v>
      </c>
      <c r="Q24" s="803">
        <f>IF([1]Digesters!L23="","",[1]Digesters!L23)</f>
        <v>197</v>
      </c>
      <c r="S24" s="98"/>
      <c r="T24" s="1"/>
      <c r="V24" s="111"/>
      <c r="Z24" s="260">
        <f>IF([1]SLPR!Q23="","",(((([1]SLPR!Q23*10)-([1]SLPR!R23)-([1]SLPR!F23*10))/1000000)*([1]BP_Lab!B23*10000)*8.34/2000))</f>
        <v>22.754629277099998</v>
      </c>
      <c r="AA24" s="261" t="str">
        <f>IF([2]DIG!$AP$41="","",IF([1]Digesters!AA23="","",IF([2]DIG!AM23="",(((([1]Digesters!AA23*100)/1000000)*([2]DIG!$AP$41*10000)*8.34)/2000),(((([1]Digesters!AA23*100)/1000000)*([2]DIG!AM23*10000)*8.34)/2000))))</f>
        <v/>
      </c>
    </row>
    <row r="25" spans="1:27" ht="20.25" x14ac:dyDescent="0.3">
      <c r="A25" s="736">
        <v>21</v>
      </c>
      <c r="B25" s="811">
        <f>IF('[1]Plant Data'!$L24="","",'[1]Plant Data'!$L24)</f>
        <v>1.6310814791466521</v>
      </c>
      <c r="C25" s="781">
        <f t="shared" si="3"/>
        <v>85662.496356389864</v>
      </c>
      <c r="D25" s="731">
        <f t="shared" si="4"/>
        <v>42.831248178194933</v>
      </c>
      <c r="E25" s="745">
        <f>IF('[1]Process Lab'!F23="","",'[1]Process Lab'!F23*10000)</f>
        <v>6297.2222222222244</v>
      </c>
      <c r="F25" s="806">
        <f>IF([1]Digesters!AB24="","",[1]Digesters!AB24/1000000)</f>
        <v>0.185722</v>
      </c>
      <c r="G25" s="781">
        <f t="shared" si="5"/>
        <v>75432.476075999992</v>
      </c>
      <c r="H25" s="731">
        <f t="shared" si="6"/>
        <v>37.716238037999993</v>
      </c>
      <c r="I25" s="731">
        <f>IF([2]TWAS!B24="","",[2]TWAS!B24)</f>
        <v>4.87</v>
      </c>
      <c r="J25" s="731">
        <f>IF([2]TWAS!C24="","",[2]TWAS!C24)</f>
        <v>3.6</v>
      </c>
      <c r="K25" s="745">
        <f>IF([2]TWAS!D24="","",[2]TWAS!D24)</f>
        <v>73.921971252566735</v>
      </c>
      <c r="L25" s="809">
        <f>IF([1]Digesters!B24="","",[1]Digesters!B24)</f>
        <v>146</v>
      </c>
      <c r="M25" s="800">
        <f>IF([1]Digesters!D24="","",[1]Digesters!D24)</f>
        <v>146</v>
      </c>
      <c r="N25" s="800">
        <f>IF([1]Digesters!F24="","",[1]Digesters!F24)</f>
        <v>954</v>
      </c>
      <c r="O25" s="800">
        <f>IF([1]Digesters!H24="","",[1]Digesters!H24)</f>
        <v>151</v>
      </c>
      <c r="P25" s="800">
        <f>IF([1]Digesters!J24="","",[1]Digesters!J24)</f>
        <v>150</v>
      </c>
      <c r="Q25" s="803">
        <f>IF([1]Digesters!L24="","",[1]Digesters!L24)</f>
        <v>148</v>
      </c>
      <c r="S25" s="98"/>
      <c r="T25" s="1"/>
      <c r="V25" s="111"/>
      <c r="Z25" s="260">
        <f>IF([1]SLPR!Q24="","",(((([1]SLPR!Q24*10)-([1]SLPR!R24)-([1]SLPR!F24*10))/1000000)*([1]BP_Lab!B24*10000)*8.34/2000))</f>
        <v>39.341503419299997</v>
      </c>
      <c r="AA25" s="261" t="str">
        <f>IF([2]DIG!$AP$41="","",IF([1]Digesters!AA24="","",IF([2]DIG!AM24="",(((([1]Digesters!AA24*100)/1000000)*([2]DIG!$AP$41*10000)*8.34)/2000),(((([1]Digesters!AA24*100)/1000000)*([2]DIG!AM24*10000)*8.34)/2000))))</f>
        <v/>
      </c>
    </row>
    <row r="26" spans="1:27" ht="20.25" x14ac:dyDescent="0.3">
      <c r="A26" s="736">
        <v>22</v>
      </c>
      <c r="B26" s="811">
        <f>IF('[1]Plant Data'!$L25="","",'[1]Plant Data'!$L25)</f>
        <v>1.6101324482168593</v>
      </c>
      <c r="C26" s="781">
        <f t="shared" si="3"/>
        <v>80086.109486450339</v>
      </c>
      <c r="D26" s="731">
        <f t="shared" si="4"/>
        <v>40.04305474322517</v>
      </c>
      <c r="E26" s="745">
        <f>IF('[1]Process Lab'!F24="","",'[1]Process Lab'!F24*10000)</f>
        <v>5963.8888888888896</v>
      </c>
      <c r="F26" s="806">
        <f>IF([1]Digesters!AB25="","",[1]Digesters!AB25/1000000)</f>
        <v>0.21479500000000001</v>
      </c>
      <c r="G26" s="781">
        <f t="shared" si="5"/>
        <v>76850.64387</v>
      </c>
      <c r="H26" s="731">
        <f t="shared" si="6"/>
        <v>38.425321934999999</v>
      </c>
      <c r="I26" s="731">
        <f>IF([2]TWAS!B25="","",[2]TWAS!B25)</f>
        <v>4.29</v>
      </c>
      <c r="J26" s="731">
        <f>IF([2]TWAS!C25="","",[2]TWAS!C25)</f>
        <v>3.16</v>
      </c>
      <c r="K26" s="745">
        <f>IF([2]TWAS!D25="","",[2]TWAS!D25)</f>
        <v>73.659673659673658</v>
      </c>
      <c r="L26" s="809">
        <f>IF([1]Digesters!B25="","",[1]Digesters!B25)</f>
        <v>172</v>
      </c>
      <c r="M26" s="800">
        <f>IF([1]Digesters!D25="","",[1]Digesters!D25)</f>
        <v>172</v>
      </c>
      <c r="N26" s="800">
        <f>IF([1]Digesters!F25="","",[1]Digesters!F25)</f>
        <v>1057</v>
      </c>
      <c r="O26" s="800">
        <f>IF([1]Digesters!H25="","",[1]Digesters!H25)</f>
        <v>176</v>
      </c>
      <c r="P26" s="800">
        <f>IF([1]Digesters!J25="","",[1]Digesters!J25)</f>
        <v>174</v>
      </c>
      <c r="Q26" s="803">
        <f>IF([1]Digesters!L25="","",[1]Digesters!L25)</f>
        <v>172</v>
      </c>
      <c r="S26" s="98"/>
      <c r="T26" s="1"/>
      <c r="V26" s="111"/>
      <c r="Z26" s="260">
        <f>IF([1]SLPR!Q25="","",(((([1]SLPR!Q25*10)-([1]SLPR!R25)-([1]SLPR!F25*10))/1000000)*([1]BP_Lab!B25*10000)*8.34/2000))</f>
        <v>60.860323339199994</v>
      </c>
      <c r="AA26" s="261" t="str">
        <f>IF([2]DIG!$AP$41="","",IF([1]Digesters!AA25="","",IF([2]DIG!AM25="",(((([1]Digesters!AA25*100)/1000000)*([2]DIG!$AP$41*10000)*8.34)/2000),(((([1]Digesters!AA25*100)/1000000)*([2]DIG!AM25*10000)*8.34)/2000))))</f>
        <v/>
      </c>
    </row>
    <row r="27" spans="1:27" ht="20.25" x14ac:dyDescent="0.3">
      <c r="A27" s="736">
        <v>23</v>
      </c>
      <c r="B27" s="811">
        <f>IF('[1]Plant Data'!$L26="","",'[1]Plant Data'!$L26)</f>
        <v>1.7038205531540211</v>
      </c>
      <c r="C27" s="781">
        <f t="shared" si="3"/>
        <v>85811.786279233507</v>
      </c>
      <c r="D27" s="731">
        <f t="shared" si="4"/>
        <v>42.905893139616751</v>
      </c>
      <c r="E27" s="745">
        <f>IF('[1]Process Lab'!F25="","",'[1]Process Lab'!F25*10000)</f>
        <v>6038.8888888888896</v>
      </c>
      <c r="F27" s="806">
        <f>IF([1]Digesters!AB26="","",[1]Digesters!AB26/1000000)</f>
        <v>0.225076</v>
      </c>
      <c r="G27" s="781">
        <f t="shared" si="5"/>
        <v>79965.901584000007</v>
      </c>
      <c r="H27" s="731">
        <f t="shared" si="6"/>
        <v>39.982950792000004</v>
      </c>
      <c r="I27" s="731">
        <f>IF([2]TWAS!B26="","",[2]TWAS!B26)</f>
        <v>4.26</v>
      </c>
      <c r="J27" s="731">
        <f>IF([2]TWAS!C26="","",[2]TWAS!C26)</f>
        <v>3.2</v>
      </c>
      <c r="K27" s="745">
        <f>IF([2]TWAS!D26="","",[2]TWAS!D26)</f>
        <v>75.117370892018783</v>
      </c>
      <c r="L27" s="809">
        <f>IF([1]Digesters!B26="","",[1]Digesters!B26)</f>
        <v>184</v>
      </c>
      <c r="M27" s="800">
        <f>IF([1]Digesters!D26="","",[1]Digesters!D26)</f>
        <v>183</v>
      </c>
      <c r="N27" s="800">
        <f>IF([1]Digesters!F26="","",[1]Digesters!F26)</f>
        <v>1217</v>
      </c>
      <c r="O27" s="800">
        <f>IF([1]Digesters!H26="","",[1]Digesters!H26)</f>
        <v>189</v>
      </c>
      <c r="P27" s="800">
        <f>IF([1]Digesters!J26="","",[1]Digesters!J26)</f>
        <v>174</v>
      </c>
      <c r="Q27" s="803">
        <f>IF([1]Digesters!L26="","",[1]Digesters!L26)</f>
        <v>184</v>
      </c>
      <c r="S27" s="98"/>
      <c r="T27" s="1"/>
      <c r="V27" s="111"/>
      <c r="Z27" s="260">
        <f>IF([1]SLPR!Q26="","",(((([1]SLPR!Q26*10)-([1]SLPR!R26)-([1]SLPR!F26*10))/1000000)*([1]BP_Lab!B26*10000)*8.34/2000))</f>
        <v>61.304744091600007</v>
      </c>
      <c r="AA27" s="261" t="str">
        <f>IF([2]DIG!$AP$41="","",IF([1]Digesters!AA26="","",IF([2]DIG!AM26="",(((([1]Digesters!AA26*100)/1000000)*([2]DIG!$AP$41*10000)*8.34)/2000),(((([1]Digesters!AA26*100)/1000000)*([2]DIG!AM26*10000)*8.34)/2000))))</f>
        <v/>
      </c>
    </row>
    <row r="28" spans="1:27" ht="20.25" x14ac:dyDescent="0.3">
      <c r="A28" s="736">
        <v>24</v>
      </c>
      <c r="B28" s="811">
        <f>IF('[1]Plant Data'!$L27="","",'[1]Plant Data'!$L27)</f>
        <v>1.7518401191762754</v>
      </c>
      <c r="C28" s="781">
        <f t="shared" si="3"/>
        <v>91152.329027686341</v>
      </c>
      <c r="D28" s="731">
        <f t="shared" si="4"/>
        <v>45.576164513843167</v>
      </c>
      <c r="E28" s="745">
        <f>IF('[1]Process Lab'!F26="","",'[1]Process Lab'!F26*10000)</f>
        <v>6238.8888888888887</v>
      </c>
      <c r="F28" s="806">
        <f>IF([1]Digesters!AB27="","",[1]Digesters!AB27/1000000)</f>
        <v>0.27900000000000003</v>
      </c>
      <c r="G28" s="781">
        <f t="shared" si="5"/>
        <v>102614.52600000001</v>
      </c>
      <c r="H28" s="731">
        <f t="shared" si="6"/>
        <v>51.307263000000006</v>
      </c>
      <c r="I28" s="731">
        <f>IF([2]TWAS!B27="","",[2]TWAS!B27)</f>
        <v>4.41</v>
      </c>
      <c r="J28" s="731">
        <f>IF([2]TWAS!C27="","",[2]TWAS!C27)</f>
        <v>3.28</v>
      </c>
      <c r="K28" s="745">
        <f>IF([2]TWAS!D27="","",[2]TWAS!D27)</f>
        <v>74.37641723356009</v>
      </c>
      <c r="L28" s="809">
        <f>IF([1]Digesters!B27="","",[1]Digesters!B27)</f>
        <v>221</v>
      </c>
      <c r="M28" s="800">
        <f>IF([1]Digesters!D27="","",[1]Digesters!D27)</f>
        <v>222</v>
      </c>
      <c r="N28" s="800">
        <f>IF([1]Digesters!F27="","",[1]Digesters!F27)</f>
        <v>1729</v>
      </c>
      <c r="O28" s="800">
        <f>IF([1]Digesters!H27="","",[1]Digesters!H27)</f>
        <v>239</v>
      </c>
      <c r="P28" s="800">
        <f>IF([1]Digesters!J27="","",[1]Digesters!J27)</f>
        <v>230</v>
      </c>
      <c r="Q28" s="803">
        <f>IF([1]Digesters!L27="","",[1]Digesters!L27)</f>
        <v>222</v>
      </c>
      <c r="S28" s="98"/>
      <c r="T28" s="1"/>
      <c r="V28" s="111"/>
      <c r="Z28" s="260">
        <f>IF([1]SLPR!Q27="","",(((([1]SLPR!Q27*10)-([1]SLPR!R27)-([1]SLPR!F27*10))/1000000)*([1]BP_Lab!B27*10000)*8.34/2000))</f>
        <v>41.90496834359999</v>
      </c>
      <c r="AA28" s="261" t="str">
        <f>IF([2]DIG!$AP$41="","",IF([1]Digesters!AA27="","",IF([2]DIG!AM27="",(((([1]Digesters!AA27*100)/1000000)*([2]DIG!$AP$41*10000)*8.34)/2000),(((([1]Digesters!AA27*100)/1000000)*([2]DIG!AM27*10000)*8.34)/2000))))</f>
        <v/>
      </c>
    </row>
    <row r="29" spans="1:27" ht="20.25" x14ac:dyDescent="0.3">
      <c r="A29" s="736">
        <v>25</v>
      </c>
      <c r="B29" s="811">
        <f>IF('[1]Plant Data'!$L28="","",'[1]Plant Data'!$L28)</f>
        <v>1.7126548230867757</v>
      </c>
      <c r="C29" s="781">
        <f t="shared" si="3"/>
        <v>90422.75125204197</v>
      </c>
      <c r="D29" s="731">
        <f t="shared" si="4"/>
        <v>45.211375626020988</v>
      </c>
      <c r="E29" s="745">
        <f>IF('[1]Process Lab'!F27="","",'[1]Process Lab'!F27*10000)</f>
        <v>6330.5555555555547</v>
      </c>
      <c r="F29" s="806">
        <f>IF([1]Digesters!AB28="","",[1]Digesters!AB28/1000000)</f>
        <v>0.244454</v>
      </c>
      <c r="G29" s="781">
        <f t="shared" si="5"/>
        <v>77880.110952000003</v>
      </c>
      <c r="H29" s="731">
        <f t="shared" si="6"/>
        <v>38.940055476000005</v>
      </c>
      <c r="I29" s="731">
        <f>IF([2]TWAS!B28="","",[2]TWAS!B28)</f>
        <v>3.82</v>
      </c>
      <c r="J29" s="731">
        <f>IF([2]TWAS!C28="","",[2]TWAS!C28)</f>
        <v>2.84</v>
      </c>
      <c r="K29" s="745">
        <f>IF([2]TWAS!D28="","",[2]TWAS!D28)</f>
        <v>74.345549738219901</v>
      </c>
      <c r="L29" s="809">
        <f>IF([1]Digesters!B28="","",[1]Digesters!B28)</f>
        <v>196</v>
      </c>
      <c r="M29" s="800">
        <f>IF([1]Digesters!D28="","",[1]Digesters!D28)</f>
        <v>198</v>
      </c>
      <c r="N29" s="800">
        <f>IF([1]Digesters!F28="","",[1]Digesters!F28)</f>
        <v>1414</v>
      </c>
      <c r="O29" s="800">
        <f>IF([1]Digesters!H28="","",[1]Digesters!H28)</f>
        <v>203</v>
      </c>
      <c r="P29" s="800">
        <f>IF([1]Digesters!J28="","",[1]Digesters!J28)</f>
        <v>206</v>
      </c>
      <c r="Q29" s="803">
        <f>IF([1]Digesters!L28="","",[1]Digesters!L28)</f>
        <v>198</v>
      </c>
      <c r="S29" s="98"/>
      <c r="T29" s="1"/>
      <c r="V29" s="111"/>
      <c r="Z29" s="260">
        <f>IF([1]SLPR!Q28="","",(((([1]SLPR!Q28*10)-([1]SLPR!R28)-([1]SLPR!F28*10))/1000000)*([1]BP_Lab!B28*10000)*8.34/2000))</f>
        <v>62.083737079499997</v>
      </c>
      <c r="AA29" s="261" t="str">
        <f>IF([2]DIG!$AP$41="","",IF([1]Digesters!AA28="","",IF([2]DIG!AM28="",(((([1]Digesters!AA28*100)/1000000)*([2]DIG!$AP$41*10000)*8.34)/2000),(((([1]Digesters!AA28*100)/1000000)*([2]DIG!AM28*10000)*8.34)/2000))))</f>
        <v/>
      </c>
    </row>
    <row r="30" spans="1:27" ht="20.25" x14ac:dyDescent="0.3">
      <c r="A30" s="736">
        <v>26</v>
      </c>
      <c r="B30" s="811">
        <f>IF('[1]Plant Data'!$L29="","",'[1]Plant Data'!$L29)</f>
        <v>1.6814229156660281</v>
      </c>
      <c r="C30" s="781">
        <f t="shared" si="3"/>
        <v>90877.265508764875</v>
      </c>
      <c r="D30" s="731">
        <f t="shared" si="4"/>
        <v>45.438632754382439</v>
      </c>
      <c r="E30" s="745">
        <f>IF('[1]Process Lab'!F28="","",'[1]Process Lab'!F28*10000)</f>
        <v>6480.5555555555557</v>
      </c>
      <c r="F30" s="806">
        <f>IF([1]Digesters!AB29="","",[1]Digesters!AB29/1000000)</f>
        <v>0.20577300000000001</v>
      </c>
      <c r="G30" s="781">
        <f t="shared" si="5"/>
        <v>61781.285520000005</v>
      </c>
      <c r="H30" s="731">
        <f t="shared" si="6"/>
        <v>30.890642760000002</v>
      </c>
      <c r="I30" s="731">
        <f>IF([2]TWAS!B29="","",[2]TWAS!B29)</f>
        <v>3.6</v>
      </c>
      <c r="J30" s="731">
        <f>IF([2]TWAS!C29="","",[2]TWAS!C29)</f>
        <v>2.73</v>
      </c>
      <c r="K30" s="745">
        <f>IF([2]TWAS!D29="","",[2]TWAS!D29)</f>
        <v>75.833333333333329</v>
      </c>
      <c r="L30" s="809">
        <f>IF([1]Digesters!B29="","",[1]Digesters!B29)</f>
        <v>172</v>
      </c>
      <c r="M30" s="800">
        <f>IF([1]Digesters!D29="","",[1]Digesters!D29)</f>
        <v>173</v>
      </c>
      <c r="N30" s="800">
        <f>IF([1]Digesters!F29="","",[1]Digesters!F29)</f>
        <v>1306</v>
      </c>
      <c r="O30" s="800">
        <f>IF([1]Digesters!H29="","",[1]Digesters!H29)</f>
        <v>163</v>
      </c>
      <c r="P30" s="800">
        <f>IF([1]Digesters!J29="","",[1]Digesters!J29)</f>
        <v>166</v>
      </c>
      <c r="Q30" s="803">
        <f>IF([1]Digesters!L29="","",[1]Digesters!L29)</f>
        <v>172</v>
      </c>
      <c r="S30" s="98"/>
      <c r="T30" s="1"/>
      <c r="V30" s="111"/>
      <c r="Z30" s="260">
        <f>IF([1]SLPR!Q29="","",(((([1]SLPR!Q29*10)-([1]SLPR!R29)-([1]SLPR!F29*10))/1000000)*([1]BP_Lab!B29*10000)*8.34/2000))</f>
        <v>59.117930789400006</v>
      </c>
      <c r="AA30" s="261" t="str">
        <f>IF([2]DIG!$AP$41="","",IF([1]Digesters!AA29="","",IF([2]DIG!AM29="",(((([1]Digesters!AA29*100)/1000000)*([2]DIG!$AP$41*10000)*8.34)/2000),(((([1]Digesters!AA29*100)/1000000)*([2]DIG!AM29*10000)*8.34)/2000))))</f>
        <v/>
      </c>
    </row>
    <row r="31" spans="1:27" ht="20.25" x14ac:dyDescent="0.3">
      <c r="A31" s="736">
        <v>27</v>
      </c>
      <c r="B31" s="811">
        <f>IF('[1]Plant Data'!$L30="","",'[1]Plant Data'!$L30)</f>
        <v>1.5497115353826441</v>
      </c>
      <c r="C31" s="781">
        <f t="shared" si="3"/>
        <v>84297.0755376507</v>
      </c>
      <c r="D31" s="731">
        <f t="shared" si="4"/>
        <v>42.148537768825349</v>
      </c>
      <c r="E31" s="745">
        <f>IF('[1]Process Lab'!F29="","",'[1]Process Lab'!F29*10000)</f>
        <v>6522.2222222222217</v>
      </c>
      <c r="F31" s="806">
        <f>IF([1]Digesters!AB30="","",[1]Digesters!AB30/1000000)</f>
        <v>0.21281900000000001</v>
      </c>
      <c r="G31" s="781">
        <f t="shared" si="5"/>
        <v>75788.676641999991</v>
      </c>
      <c r="H31" s="731">
        <f t="shared" si="6"/>
        <v>37.894338320999992</v>
      </c>
      <c r="I31" s="731">
        <f>IF([2]TWAS!B30="","",[2]TWAS!B30)</f>
        <v>4.2699999999999996</v>
      </c>
      <c r="J31" s="731">
        <f>IF([2]TWAS!C30="","",[2]TWAS!C30)</f>
        <v>3.21</v>
      </c>
      <c r="K31" s="745">
        <f>IF([2]TWAS!D30="","",[2]TWAS!D30)</f>
        <v>75.175644028103051</v>
      </c>
      <c r="L31" s="809">
        <f>IF([1]Digesters!B30="","",[1]Digesters!B30)</f>
        <v>171</v>
      </c>
      <c r="M31" s="800">
        <f>IF([1]Digesters!D30="","",[1]Digesters!D30)</f>
        <v>170</v>
      </c>
      <c r="N31" s="800">
        <f>IF([1]Digesters!F30="","",[1]Digesters!F30)</f>
        <v>1159</v>
      </c>
      <c r="O31" s="800">
        <f>IF([1]Digesters!H30="","",[1]Digesters!H30)</f>
        <v>175</v>
      </c>
      <c r="P31" s="800">
        <f>IF([1]Digesters!J30="","",[1]Digesters!J30)</f>
        <v>162</v>
      </c>
      <c r="Q31" s="803">
        <f>IF([1]Digesters!L30="","",[1]Digesters!L30)</f>
        <v>172</v>
      </c>
      <c r="S31" s="98"/>
      <c r="T31" s="1"/>
      <c r="Z31" s="260">
        <f>IF([1]SLPR!Q30="","",(((([1]SLPR!Q30*10)-([1]SLPR!R30)-([1]SLPR!F30*10))/1000000)*([1]BP_Lab!B30*10000)*8.34/2000))</f>
        <v>34.047947376300002</v>
      </c>
      <c r="AA31" s="261" t="str">
        <f>IF([2]DIG!$AP$41="","",IF([1]Digesters!AA30="","",IF([2]DIG!AM30="",(((([1]Digesters!AA30*100)/1000000)*([2]DIG!$AP$41*10000)*8.34)/2000),(((([1]Digesters!AA30*100)/1000000)*([2]DIG!AM30*10000)*8.34)/2000))))</f>
        <v/>
      </c>
    </row>
    <row r="32" spans="1:27" ht="20.25" x14ac:dyDescent="0.3">
      <c r="A32" s="736">
        <v>28</v>
      </c>
      <c r="B32" s="811">
        <f>IF('[1]Plant Data'!$L31="","",'[1]Plant Data'!$L31)</f>
        <v>1.4331801424911947</v>
      </c>
      <c r="C32" s="781">
        <f t="shared" si="3"/>
        <v>76995.453385125686</v>
      </c>
      <c r="D32" s="731">
        <f t="shared" si="4"/>
        <v>38.497726692562843</v>
      </c>
      <c r="E32" s="745">
        <f>IF('[1]Process Lab'!F30="","",'[1]Process Lab'!F30*10000)</f>
        <v>6441.6666666666652</v>
      </c>
      <c r="F32" s="806">
        <f>IF([1]Digesters!AB31="","",[1]Digesters!AB31/1000000)</f>
        <v>0.179512</v>
      </c>
      <c r="G32" s="781">
        <f t="shared" si="5"/>
        <v>63328.602384000005</v>
      </c>
      <c r="H32" s="731">
        <f t="shared" si="6"/>
        <v>31.664301192000003</v>
      </c>
      <c r="I32" s="731">
        <f>IF([2]TWAS!B31="","",[2]TWAS!B31)</f>
        <v>4.2300000000000004</v>
      </c>
      <c r="J32" s="731">
        <f>IF([2]TWAS!C31="","",[2]TWAS!C31)</f>
        <v>3.2</v>
      </c>
      <c r="K32" s="745">
        <f>IF([2]TWAS!D31="","",[2]TWAS!D31)</f>
        <v>75.650118203309688</v>
      </c>
      <c r="L32" s="809">
        <f>IF([1]Digesters!B31="","",[1]Digesters!B31)</f>
        <v>147</v>
      </c>
      <c r="M32" s="800">
        <f>IF([1]Digesters!D31="","",[1]Digesters!D31)</f>
        <v>146</v>
      </c>
      <c r="N32" s="800">
        <f>IF([1]Digesters!F31="","",[1]Digesters!F31)</f>
        <v>880</v>
      </c>
      <c r="O32" s="800">
        <f>IF([1]Digesters!H31="","",[1]Digesters!H31)</f>
        <v>149</v>
      </c>
      <c r="P32" s="800">
        <f>IF([1]Digesters!J31="","",[1]Digesters!J31)</f>
        <v>137</v>
      </c>
      <c r="Q32" s="803">
        <f>IF([1]Digesters!L31="","",[1]Digesters!L31)</f>
        <v>147</v>
      </c>
      <c r="S32" s="98"/>
      <c r="T32" s="1"/>
      <c r="Z32" s="260">
        <f>IF([1]SLPR!Q31="","",(((([1]SLPR!Q31*10)-([1]SLPR!R31)-([1]SLPR!F31*10))/1000000)*([1]BP_Lab!B31*10000)*8.34/2000))</f>
        <v>44.281764719100003</v>
      </c>
      <c r="AA32" s="261" t="str">
        <f>IF([2]DIG!$AP$41="","",IF([1]Digesters!AA31="","",IF([2]DIG!AM31="",(((([1]Digesters!AA31*100)/1000000)*([2]DIG!$AP$41*10000)*8.34)/2000),(((([1]Digesters!AA31*100)/1000000)*([2]DIG!AM31*10000)*8.34)/2000))))</f>
        <v/>
      </c>
    </row>
    <row r="33" spans="1:27" ht="20.25" x14ac:dyDescent="0.3">
      <c r="A33" s="736">
        <v>29</v>
      </c>
      <c r="B33" s="811">
        <f>IF('[1]Plant Data'!$L32="","",'[1]Plant Data'!$L32)</f>
        <v>1.5629107706432128</v>
      </c>
      <c r="C33" s="781">
        <f t="shared" si="3"/>
        <v>85304.711802220307</v>
      </c>
      <c r="D33" s="731">
        <f t="shared" si="4"/>
        <v>42.652355901110155</v>
      </c>
      <c r="E33" s="745">
        <f>IF('[1]Process Lab'!F31="","",'[1]Process Lab'!F31*10000)</f>
        <v>6544.4444444444434</v>
      </c>
      <c r="F33" s="806">
        <f>IF([1]Digesters!AB32="","",[1]Digesters!AB32/1000000)</f>
        <v>0.183449</v>
      </c>
      <c r="G33" s="781">
        <f t="shared" si="5"/>
        <v>64870.501584000005</v>
      </c>
      <c r="H33" s="731">
        <f t="shared" si="6"/>
        <v>32.435250792000005</v>
      </c>
      <c r="I33" s="731">
        <f>IF([2]TWAS!B32="","",[2]TWAS!B32)</f>
        <v>4.24</v>
      </c>
      <c r="J33" s="731">
        <f>IF([2]TWAS!C32="","",[2]TWAS!C32)</f>
        <v>3.17</v>
      </c>
      <c r="K33" s="745">
        <f>IF([2]TWAS!D32="","",[2]TWAS!D32)</f>
        <v>74.764150943396217</v>
      </c>
      <c r="L33" s="809">
        <f>IF([1]Digesters!B32="","",[1]Digesters!B32)</f>
        <v>147</v>
      </c>
      <c r="M33" s="800">
        <f>IF([1]Digesters!D32="","",[1]Digesters!D32)</f>
        <v>148</v>
      </c>
      <c r="N33" s="800">
        <f>IF([1]Digesters!F32="","",[1]Digesters!F32)</f>
        <v>983</v>
      </c>
      <c r="O33" s="800">
        <f>IF([1]Digesters!H32="","",[1]Digesters!H32)</f>
        <v>151</v>
      </c>
      <c r="P33" s="800">
        <f>IF([1]Digesters!J32="","",[1]Digesters!J32)</f>
        <v>149</v>
      </c>
      <c r="Q33" s="803">
        <f>IF([1]Digesters!L32="","",[1]Digesters!L32)</f>
        <v>147</v>
      </c>
      <c r="S33" s="98"/>
      <c r="T33" s="1"/>
      <c r="Z33" s="260">
        <f>IF([1]SLPR!Q32="","",(((([1]SLPR!Q32*10)-([1]SLPR!R32)-([1]SLPR!F32*10))/1000000)*([1]BP_Lab!B32*10000)*8.34/2000))</f>
        <v>33.348392388000001</v>
      </c>
      <c r="AA33" s="261" t="str">
        <f>IF([2]DIG!$AP$41="","",IF([1]Digesters!AA32="","",IF([2]DIG!AM32="",(((([1]Digesters!AA32*100)/1000000)*([2]DIG!$AP$41*10000)*8.34)/2000),(((([1]Digesters!AA32*100)/1000000)*([2]DIG!AM32*10000)*8.34)/2000))))</f>
        <v/>
      </c>
    </row>
    <row r="34" spans="1:27" ht="20.25" x14ac:dyDescent="0.3">
      <c r="A34" s="736">
        <v>30</v>
      </c>
      <c r="B34" s="811">
        <f>IF('[1]Plant Data'!$L33="","",'[1]Plant Data'!$L33)</f>
        <v>1.5642245862351929</v>
      </c>
      <c r="C34" s="781">
        <f t="shared" ref="C34" si="7">IF(OR(B34="",E34=""),"",B34*E34*8.34)</f>
        <v>82803.531992848439</v>
      </c>
      <c r="D34" s="731">
        <f t="shared" ref="D34" si="8">IF(C34="","",C34/2000)</f>
        <v>41.401765996424217</v>
      </c>
      <c r="E34" s="745">
        <f>IF('[1]Process Lab'!F32="","",'[1]Process Lab'!F32*10000)</f>
        <v>6347.2222222222208</v>
      </c>
      <c r="F34" s="806">
        <f>IF([1]Digesters!AB33="","",[1]Digesters!AB33/1000000)</f>
        <v>0.217002</v>
      </c>
      <c r="G34" s="781">
        <f t="shared" ref="G34" si="9">IF(F34="","",IF(OR(I34="",ISTEXT(I34)=TRUE),F34*($I$40*10000)*8.34,F34*(I34*10000)*8.34))</f>
        <v>69496.192511999994</v>
      </c>
      <c r="H34" s="731">
        <f t="shared" ref="H34" si="10">IF(G34="","",G34/2000)</f>
        <v>34.748096255999997</v>
      </c>
      <c r="I34" s="731">
        <f>IF([2]TWAS!B33="","",[2]TWAS!B33)</f>
        <v>3.84</v>
      </c>
      <c r="J34" s="731">
        <f>IF([2]TWAS!C33="","",[2]TWAS!C33)</f>
        <v>2.85</v>
      </c>
      <c r="K34" s="745">
        <f>IF([2]TWAS!D33="","",[2]TWAS!D33)</f>
        <v>74.21875</v>
      </c>
      <c r="L34" s="809">
        <f>IF([1]Digesters!B33="","",[1]Digesters!B33)</f>
        <v>184</v>
      </c>
      <c r="M34" s="800">
        <f>IF([1]Digesters!D33="","",[1]Digesters!D33)</f>
        <v>183</v>
      </c>
      <c r="N34" s="800">
        <f>IF([1]Digesters!F33="","",[1]Digesters!F33)</f>
        <v>1192</v>
      </c>
      <c r="O34" s="800">
        <f>IF([1]Digesters!H33="","",[1]Digesters!H33)</f>
        <v>186</v>
      </c>
      <c r="P34" s="800">
        <f>IF([1]Digesters!J33="","",[1]Digesters!J33)</f>
        <v>147</v>
      </c>
      <c r="Q34" s="803">
        <f>IF([1]Digesters!L33="","",[1]Digesters!L33)</f>
        <v>148</v>
      </c>
      <c r="S34" s="98"/>
      <c r="T34" s="1"/>
      <c r="Z34" s="260">
        <f>IF([1]SLPR!Q33="","",(((([1]SLPR!Q33*10)-([1]SLPR!R33)-([1]SLPR!F33*10))/1000000)*([1]BP_Lab!B33*10000)*8.34/2000))</f>
        <v>56.787123884400003</v>
      </c>
      <c r="AA34" s="261" t="str">
        <f>IF([2]DIG!$AP$41="","",IF([1]Digesters!AA33="","",IF([2]DIG!AM33="",(((([1]Digesters!AA33*100)/1000000)*([2]DIG!$AP$41*10000)*8.34)/2000),(((([1]Digesters!AA33*100)/1000000)*([2]DIG!AM33*10000)*8.34)/2000))))</f>
        <v/>
      </c>
    </row>
    <row r="35" spans="1:27" ht="21" thickBot="1" x14ac:dyDescent="0.35">
      <c r="A35" s="736">
        <v>31</v>
      </c>
      <c r="B35" s="812">
        <f>IF('[1]Plant Data'!$L34="","",'[1]Plant Data'!$L34)</f>
        <v>1.5634696615834154</v>
      </c>
      <c r="C35" s="786">
        <f t="shared" ref="C35" si="11">IF(OR(B35="",E35=""),"",B35*E35*8.34)</f>
        <v>84502.147690983489</v>
      </c>
      <c r="D35" s="804">
        <f t="shared" ref="D35" si="12">IF(C35="","",C35/2000)</f>
        <v>42.251073845491746</v>
      </c>
      <c r="E35" s="750">
        <f>IF('[1]Process Lab'!F33="","",'[1]Process Lab'!F33*10000)</f>
        <v>6480.5555555555547</v>
      </c>
      <c r="F35" s="806">
        <f>IF([1]Digesters!AB34="","",[1]Digesters!AB34/1000000)</f>
        <v>0.247559</v>
      </c>
      <c r="G35" s="781">
        <f t="shared" ref="G35" si="13">IF(F35="","",IF(OR(I35="",ISTEXT(I35)=TRUE),F35*($I$40*10000)*8.34,F35*(I35*10000)*8.34))</f>
        <v>94560.606348000001</v>
      </c>
      <c r="H35" s="731">
        <f t="shared" ref="H35" si="14">IF(G35="","",G35/2000)</f>
        <v>47.280303174000004</v>
      </c>
      <c r="I35" s="731">
        <f>IF([2]TWAS!B34="","",[2]TWAS!B34)</f>
        <v>4.58</v>
      </c>
      <c r="J35" s="731">
        <f>IF([2]TWAS!C34="","",[2]TWAS!C34)</f>
        <v>3.36</v>
      </c>
      <c r="K35" s="745">
        <f>IF([2]TWAS!D34="","",[2]TWAS!D34)</f>
        <v>73.362445414847159</v>
      </c>
      <c r="L35" s="809">
        <f>IF([1]Digesters!B34="","",[1]Digesters!B34)</f>
        <v>197</v>
      </c>
      <c r="M35" s="800">
        <f>IF([1]Digesters!D34="","",[1]Digesters!D34)</f>
        <v>197</v>
      </c>
      <c r="N35" s="800">
        <f>IF([1]Digesters!F34="","",[1]Digesters!F34)</f>
        <v>1229</v>
      </c>
      <c r="O35" s="800">
        <f>IF([1]Digesters!H34="","",[1]Digesters!H34)</f>
        <v>200</v>
      </c>
      <c r="P35" s="800">
        <f>IF([1]Digesters!J34="","",[1]Digesters!J34)</f>
        <v>199</v>
      </c>
      <c r="Q35" s="803">
        <f>IF([1]Digesters!L34="","",[1]Digesters!L34)</f>
        <v>197</v>
      </c>
      <c r="S35" s="98"/>
      <c r="T35" s="1"/>
      <c r="Z35" s="260">
        <f>IF([1]SLPR!Q34="","",(((([1]SLPR!Q34*10)-([1]SLPR!R34)-([1]SLPR!F34*10))/1000000)*([1]BP_Lab!B34*10000)*8.34/2000))</f>
        <v>60.954788475899996</v>
      </c>
      <c r="AA35" s="261" t="str">
        <f>IF([2]DIG!$AP$41="","",IF([1]Digesters!AA34="","",IF([2]DIG!AM34="",(((([1]Digesters!AA34*100)/1000000)*([2]DIG!$AP$41*10000)*8.34)/2000),(((([1]Digesters!AA34*100)/1000000)*([2]DIG!AM34*10000)*8.34)/2000))))</f>
        <v/>
      </c>
    </row>
    <row r="36" spans="1:27" ht="21" thickTop="1" x14ac:dyDescent="0.3">
      <c r="A36" s="735" t="s">
        <v>539</v>
      </c>
      <c r="B36" s="1245">
        <f t="shared" ref="B36:M36" si="15">MAX(B5:B35)</f>
        <v>1.7831555380443487</v>
      </c>
      <c r="C36" s="1246">
        <f t="shared" si="15"/>
        <v>102365.60997251193</v>
      </c>
      <c r="D36" s="1247">
        <f t="shared" si="15"/>
        <v>51.182804986255967</v>
      </c>
      <c r="E36" s="1244">
        <f t="shared" si="15"/>
        <v>7058.3333333333321</v>
      </c>
      <c r="F36" s="810">
        <f t="shared" si="15"/>
        <v>0.28984900000000002</v>
      </c>
      <c r="G36" s="783">
        <f t="shared" si="15"/>
        <v>102614.52600000001</v>
      </c>
      <c r="H36" s="741">
        <f t="shared" si="15"/>
        <v>51.307263000000006</v>
      </c>
      <c r="I36" s="741">
        <f t="shared" si="15"/>
        <v>4.87</v>
      </c>
      <c r="J36" s="741">
        <f t="shared" si="15"/>
        <v>3.6</v>
      </c>
      <c r="K36" s="743">
        <f t="shared" si="15"/>
        <v>77.647058823529406</v>
      </c>
      <c r="L36" s="754">
        <f t="shared" si="15"/>
        <v>234</v>
      </c>
      <c r="M36" s="740">
        <f t="shared" si="15"/>
        <v>232</v>
      </c>
      <c r="N36" s="740">
        <f>MAX(N5:N35)</f>
        <v>1777</v>
      </c>
      <c r="O36" s="740">
        <f>MAX(O5:O35)</f>
        <v>253</v>
      </c>
      <c r="P36" s="740">
        <f>MAX(P5:P35)</f>
        <v>231</v>
      </c>
      <c r="Q36" s="743">
        <f>MAX(Q5:Q35)</f>
        <v>356</v>
      </c>
      <c r="S36" s="98"/>
      <c r="T36" s="1"/>
      <c r="Z36" s="69">
        <f>MAX(Z5:Z35)</f>
        <v>63.054240570000005</v>
      </c>
      <c r="AA36" s="87">
        <f>MAX(AA5:AA35)</f>
        <v>0</v>
      </c>
    </row>
    <row r="37" spans="1:27" ht="20.25" x14ac:dyDescent="0.3">
      <c r="A37" s="736" t="s">
        <v>590</v>
      </c>
      <c r="B37" s="806">
        <f t="shared" ref="B37:K37" si="16">MIN(B5:B35)</f>
        <v>1.2785309433537462</v>
      </c>
      <c r="C37" s="730">
        <f t="shared" si="16"/>
        <v>70997.462549905205</v>
      </c>
      <c r="D37" s="731">
        <f t="shared" si="16"/>
        <v>35.498731274952604</v>
      </c>
      <c r="E37" s="757">
        <f t="shared" si="16"/>
        <v>5963.8888888888896</v>
      </c>
      <c r="F37" s="811">
        <f t="shared" si="16"/>
        <v>0.179512</v>
      </c>
      <c r="G37" s="781">
        <f t="shared" si="16"/>
        <v>60419.997360000001</v>
      </c>
      <c r="H37" s="731">
        <f t="shared" si="16"/>
        <v>30.209998680000002</v>
      </c>
      <c r="I37" s="731">
        <f t="shared" si="16"/>
        <v>3.6</v>
      </c>
      <c r="J37" s="731">
        <f t="shared" si="16"/>
        <v>2.71</v>
      </c>
      <c r="K37" s="745">
        <f t="shared" si="16"/>
        <v>73.362445414847159</v>
      </c>
      <c r="L37" s="738">
        <f t="shared" ref="L37:Q37" si="17">MIN(L5:L35)</f>
        <v>146</v>
      </c>
      <c r="M37" s="730">
        <f t="shared" si="17"/>
        <v>145</v>
      </c>
      <c r="N37" s="730">
        <f t="shared" si="17"/>
        <v>880</v>
      </c>
      <c r="O37" s="730">
        <f t="shared" si="17"/>
        <v>149</v>
      </c>
      <c r="P37" s="730">
        <f t="shared" si="17"/>
        <v>136</v>
      </c>
      <c r="Q37" s="745">
        <f t="shared" si="17"/>
        <v>146</v>
      </c>
      <c r="Z37" s="63">
        <f>MIN(Z5:Z35)</f>
        <v>22.754629277099998</v>
      </c>
      <c r="AA37" s="86">
        <f>MIN(AA5:AA35)</f>
        <v>0</v>
      </c>
    </row>
    <row r="38" spans="1:27" ht="21.75" hidden="1" customHeight="1" thickTop="1" thickBot="1" x14ac:dyDescent="0.35">
      <c r="A38" s="736" t="s">
        <v>591</v>
      </c>
      <c r="B38" s="738">
        <f t="shared" ref="B38:K38" si="18">STDEV(B5:B35)</f>
        <v>0.13125584041758118</v>
      </c>
      <c r="C38" s="730">
        <f t="shared" si="18"/>
        <v>7635.6645763097595</v>
      </c>
      <c r="D38" s="731">
        <f t="shared" si="18"/>
        <v>3.8178322881548792</v>
      </c>
      <c r="E38" s="757">
        <f t="shared" si="18"/>
        <v>247.21030806403587</v>
      </c>
      <c r="F38" s="811">
        <f t="shared" si="18"/>
        <v>2.8559243427037105E-2</v>
      </c>
      <c r="G38" s="781">
        <f t="shared" si="18"/>
        <v>10872.846916484263</v>
      </c>
      <c r="H38" s="731">
        <f t="shared" si="18"/>
        <v>5.4364234582421354</v>
      </c>
      <c r="I38" s="731">
        <f t="shared" si="18"/>
        <v>0.31159630624337664</v>
      </c>
      <c r="J38" s="731">
        <f t="shared" si="18"/>
        <v>0.22403196776497133</v>
      </c>
      <c r="K38" s="745">
        <f t="shared" si="18"/>
        <v>1.0130828785364028</v>
      </c>
      <c r="L38" s="738">
        <f t="shared" ref="L38:Q38" si="19">STDEV(L5:L35)</f>
        <v>22.98620437127127</v>
      </c>
      <c r="M38" s="730">
        <f t="shared" si="19"/>
        <v>22.852919156608703</v>
      </c>
      <c r="N38" s="730">
        <f t="shared" si="19"/>
        <v>231.70383394900193</v>
      </c>
      <c r="O38" s="730">
        <f t="shared" si="19"/>
        <v>26.212448819564319</v>
      </c>
      <c r="P38" s="730">
        <f t="shared" si="19"/>
        <v>26.719490691173309</v>
      </c>
      <c r="Q38" s="745">
        <f t="shared" si="19"/>
        <v>40.799588865733746</v>
      </c>
      <c r="Z38" s="63">
        <f>STDEV(Z5:Z35)</f>
        <v>10.31481487395209</v>
      </c>
      <c r="AA38" s="86" t="e">
        <f>STDEV(AA5:AA35)</f>
        <v>#DIV/0!</v>
      </c>
    </row>
    <row r="39" spans="1:27" ht="20.25" x14ac:dyDescent="0.3">
      <c r="A39" s="736" t="s">
        <v>592</v>
      </c>
      <c r="B39" s="806">
        <f>SUM(B5:B35)</f>
        <v>48.475073039195095</v>
      </c>
      <c r="C39" s="781">
        <f>SUM(C5:C35)</f>
        <v>2648718.9111296218</v>
      </c>
      <c r="D39" s="731">
        <f>SUM(D5:D35)</f>
        <v>1324.3594555648108</v>
      </c>
      <c r="E39" s="757"/>
      <c r="F39" s="811">
        <f>SUM(F5:F35)</f>
        <v>6.7969829999999982</v>
      </c>
      <c r="G39" s="781">
        <f>SUM(G5:G35)</f>
        <v>2330707.0118159996</v>
      </c>
      <c r="H39" s="813">
        <f>SUM(H5:H35)</f>
        <v>1165.353505908</v>
      </c>
      <c r="I39" s="800"/>
      <c r="J39" s="731"/>
      <c r="K39" s="745"/>
      <c r="L39" s="738">
        <f t="shared" ref="L39:Q39" si="20">SUM(L5:L35)</f>
        <v>5486</v>
      </c>
      <c r="M39" s="730">
        <f t="shared" si="20"/>
        <v>5501</v>
      </c>
      <c r="N39" s="730">
        <f t="shared" si="20"/>
        <v>36673</v>
      </c>
      <c r="O39" s="730">
        <f t="shared" si="20"/>
        <v>5632</v>
      </c>
      <c r="P39" s="730">
        <f t="shared" si="20"/>
        <v>5417</v>
      </c>
      <c r="Q39" s="745">
        <f t="shared" si="20"/>
        <v>5637</v>
      </c>
      <c r="Z39" s="63">
        <f>SUM(Z5:Z35)</f>
        <v>1495.3960457147998</v>
      </c>
      <c r="AA39" s="86">
        <f>SUM(AA5:AA35)</f>
        <v>0</v>
      </c>
    </row>
    <row r="40" spans="1:27" ht="21" thickBot="1" x14ac:dyDescent="0.35">
      <c r="A40" s="737" t="s">
        <v>538</v>
      </c>
      <c r="B40" s="807">
        <f t="shared" ref="B40:K40" si="21">AVERAGE(B5:B35)</f>
        <v>1.5637120335224224</v>
      </c>
      <c r="C40" s="747">
        <f t="shared" si="21"/>
        <v>85442.545520310377</v>
      </c>
      <c r="D40" s="804">
        <f t="shared" si="21"/>
        <v>42.721272760155188</v>
      </c>
      <c r="E40" s="758">
        <f t="shared" si="21"/>
        <v>6553.7634408602125</v>
      </c>
      <c r="F40" s="812">
        <f t="shared" si="21"/>
        <v>0.21925751612903219</v>
      </c>
      <c r="G40" s="786">
        <f t="shared" si="21"/>
        <v>75184.09715535483</v>
      </c>
      <c r="H40" s="804">
        <f t="shared" si="21"/>
        <v>37.592048577677417</v>
      </c>
      <c r="I40" s="804">
        <f t="shared" si="21"/>
        <v>4.1154838709677417</v>
      </c>
      <c r="J40" s="804">
        <f t="shared" si="21"/>
        <v>3.0864516129032262</v>
      </c>
      <c r="K40" s="750">
        <f t="shared" si="21"/>
        <v>75.017843075787539</v>
      </c>
      <c r="L40" s="755">
        <f t="shared" ref="L40:Q40" si="22">AVERAGE(L5:L35)</f>
        <v>176.96774193548387</v>
      </c>
      <c r="M40" s="747">
        <f t="shared" si="22"/>
        <v>177.45161290322579</v>
      </c>
      <c r="N40" s="747">
        <f t="shared" si="22"/>
        <v>1183</v>
      </c>
      <c r="O40" s="747">
        <f t="shared" si="22"/>
        <v>181.67741935483872</v>
      </c>
      <c r="P40" s="747">
        <f t="shared" si="22"/>
        <v>174.74193548387098</v>
      </c>
      <c r="Q40" s="750">
        <f t="shared" si="22"/>
        <v>181.83870967741936</v>
      </c>
      <c r="Z40" s="70">
        <f>AVERAGE(Z5:Z35)</f>
        <v>48.238582119832252</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3"/>
      <c r="E42" s="267"/>
      <c r="F42" s="262"/>
      <c r="G42" s="212"/>
      <c r="H42" s="263"/>
      <c r="I42" s="212"/>
      <c r="J42" s="212"/>
    </row>
    <row r="43" spans="1:27" ht="15" x14ac:dyDescent="0.2">
      <c r="G43" s="133"/>
      <c r="H43" s="266"/>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verticalCentered="1"/>
  <pageMargins left="0.25" right="0.25" top="0.25" bottom="0.25" header="0.25" footer="0.25"/>
  <pageSetup paperSize="3" scale="8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55" zoomScaleNormal="55" workbookViewId="0">
      <selection activeCell="E29" sqref="E29"/>
    </sheetView>
  </sheetViews>
  <sheetFormatPr defaultRowHeight="12.75" x14ac:dyDescent="0.2"/>
  <cols>
    <col min="1" max="1" width="17.140625" bestFit="1" customWidth="1"/>
    <col min="2" max="2" width="14.7109375" style="273"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56"/>
      <c r="B1" s="1656"/>
      <c r="C1" s="1656"/>
      <c r="D1" s="1656"/>
      <c r="E1" s="1656"/>
      <c r="F1" s="1656"/>
      <c r="G1" s="1656"/>
      <c r="H1" s="1656"/>
      <c r="I1" s="1656"/>
      <c r="J1" s="1656"/>
      <c r="K1" s="1656"/>
      <c r="L1" s="1656"/>
      <c r="M1" s="1656"/>
      <c r="N1" s="1656"/>
      <c r="O1" s="1656"/>
      <c r="P1" s="1656"/>
      <c r="Q1" s="1656"/>
      <c r="R1" s="1656"/>
      <c r="S1" s="88"/>
      <c r="T1" s="89"/>
      <c r="U1" s="89"/>
      <c r="V1" s="90"/>
      <c r="W1" s="90"/>
      <c r="X1" s="90"/>
      <c r="Y1" s="90"/>
      <c r="Z1" s="90"/>
    </row>
    <row r="2" spans="1:26" ht="21" thickBot="1" x14ac:dyDescent="0.35">
      <c r="A2" s="791" t="s">
        <v>550</v>
      </c>
      <c r="B2" s="842" t="s">
        <v>271</v>
      </c>
      <c r="C2" s="842" t="s">
        <v>271</v>
      </c>
      <c r="D2" s="843"/>
      <c r="E2" s="843" t="s">
        <v>166</v>
      </c>
      <c r="F2" s="844"/>
      <c r="G2" s="845" t="s">
        <v>618</v>
      </c>
      <c r="H2" s="846" t="s">
        <v>619</v>
      </c>
      <c r="I2" s="847" t="s">
        <v>272</v>
      </c>
      <c r="J2" s="847" t="s">
        <v>273</v>
      </c>
      <c r="K2" s="848"/>
      <c r="L2" s="848"/>
      <c r="M2" s="847" t="s">
        <v>274</v>
      </c>
      <c r="N2" s="847" t="s">
        <v>275</v>
      </c>
      <c r="O2" s="847" t="s">
        <v>276</v>
      </c>
      <c r="P2" s="849" t="s">
        <v>277</v>
      </c>
      <c r="Q2" s="276"/>
      <c r="R2" s="269"/>
      <c r="S2" s="91"/>
      <c r="T2" s="91"/>
      <c r="U2" s="91"/>
      <c r="V2" s="91"/>
      <c r="W2" s="91"/>
      <c r="X2" s="91"/>
      <c r="Y2" s="91"/>
      <c r="Z2" s="91"/>
    </row>
    <row r="3" spans="1:26" ht="20.25" x14ac:dyDescent="0.3">
      <c r="A3" s="793">
        <f>IF(date!B6="","",date!B6)</f>
        <v>43466</v>
      </c>
      <c r="B3" s="280" t="s">
        <v>269</v>
      </c>
      <c r="C3" s="281" t="s">
        <v>268</v>
      </c>
      <c r="D3" s="390" t="s">
        <v>620</v>
      </c>
      <c r="E3" s="264" t="s">
        <v>621</v>
      </c>
      <c r="F3" s="393" t="s">
        <v>165</v>
      </c>
      <c r="G3" s="394" t="s">
        <v>622</v>
      </c>
      <c r="H3" s="395" t="s">
        <v>615</v>
      </c>
      <c r="I3" s="396" t="s">
        <v>163</v>
      </c>
      <c r="J3" s="396" t="s">
        <v>163</v>
      </c>
      <c r="K3" s="401" t="s">
        <v>623</v>
      </c>
      <c r="L3" s="402" t="s">
        <v>624</v>
      </c>
      <c r="M3" s="396" t="s">
        <v>163</v>
      </c>
      <c r="N3" s="396" t="s">
        <v>163</v>
      </c>
      <c r="O3" s="396" t="s">
        <v>163</v>
      </c>
      <c r="P3" s="470" t="s">
        <v>322</v>
      </c>
      <c r="Q3" s="276"/>
      <c r="R3" s="269"/>
      <c r="S3" s="91"/>
      <c r="T3" s="91"/>
      <c r="U3" s="91"/>
      <c r="V3" s="91"/>
      <c r="W3" s="91"/>
      <c r="X3" s="91"/>
      <c r="Y3" s="91"/>
      <c r="Z3" s="91"/>
    </row>
    <row r="4" spans="1:26" ht="21" thickBot="1" x14ac:dyDescent="0.35">
      <c r="A4" s="794">
        <f>IF(date!B6="","",date!B6)</f>
        <v>43466</v>
      </c>
      <c r="B4" s="391" t="s">
        <v>505</v>
      </c>
      <c r="C4" s="389" t="s">
        <v>162</v>
      </c>
      <c r="D4" s="392" t="s">
        <v>506</v>
      </c>
      <c r="E4" s="265" t="s">
        <v>506</v>
      </c>
      <c r="F4" s="397"/>
      <c r="G4" s="398" t="s">
        <v>628</v>
      </c>
      <c r="H4" s="399" t="s">
        <v>506</v>
      </c>
      <c r="I4" s="400" t="s">
        <v>164</v>
      </c>
      <c r="J4" s="400" t="s">
        <v>164</v>
      </c>
      <c r="K4" s="403" t="s">
        <v>613</v>
      </c>
      <c r="L4" s="404" t="s">
        <v>629</v>
      </c>
      <c r="M4" s="400" t="s">
        <v>164</v>
      </c>
      <c r="N4" s="400" t="s">
        <v>164</v>
      </c>
      <c r="O4" s="400" t="s">
        <v>164</v>
      </c>
      <c r="P4" s="850" t="s">
        <v>270</v>
      </c>
      <c r="Q4" s="277"/>
      <c r="R4" s="275"/>
      <c r="S4" s="92"/>
      <c r="T4" s="93"/>
      <c r="U4" s="92"/>
      <c r="V4" s="92"/>
      <c r="W4" s="92"/>
      <c r="X4" s="92"/>
      <c r="Y4" s="92"/>
      <c r="Z4" s="92"/>
    </row>
    <row r="5" spans="1:26" ht="20.25" x14ac:dyDescent="0.3">
      <c r="A5" s="735">
        <v>1</v>
      </c>
      <c r="B5" s="818">
        <f>IF([1]Digesters!Z4="","",[1]Digesters!Z4/1000000)</f>
        <v>0.27676400000000001</v>
      </c>
      <c r="C5" s="819">
        <f>IF(OR(B5="",ISERROR($D$40)),"",IF(OR(D5="",ISTEXT(D5)),$D$40*B5*0.0834,B5*(D5*10000)*8.34/2000))</f>
        <v>48.35703637200001</v>
      </c>
      <c r="D5" s="815">
        <f>IF([2]PRI_SLG!B4="","",[2]PRI_SLG!B4)</f>
        <v>4.1900000000000004</v>
      </c>
      <c r="E5" s="741">
        <f>IF([2]PRI_SLG!C4="","",[2]PRI_SLG!C4)</f>
        <v>3.49</v>
      </c>
      <c r="F5" s="740">
        <f>IF([2]PRI_SLG!D4="","",[2]PRI_SLG!D4)</f>
        <v>83.293556085918851</v>
      </c>
      <c r="G5" s="782">
        <f>[1]Digesters!C4</f>
        <v>572</v>
      </c>
      <c r="H5" s="821">
        <f>[2]DIG!AG4</f>
        <v>2.1</v>
      </c>
      <c r="I5" s="739">
        <f>IF([1]Digesters!C4="","",[1]Digesters!C4)</f>
        <v>572</v>
      </c>
      <c r="J5" s="740">
        <f>IF([1]Digesters!E4="","",[1]Digesters!E4)</f>
        <v>567</v>
      </c>
      <c r="K5" s="742" t="str">
        <f>IF([1]Digesters!G4=0,"",[1]Digesters!G4)</f>
        <v/>
      </c>
      <c r="L5" s="741">
        <f>IF([2]DIG!AM4,[2]DIG!AM4,"")</f>
        <v>2.5099999999999998</v>
      </c>
      <c r="M5" s="742">
        <f>IF([1]Digesters!I4="","",[1]Digesters!I4)</f>
        <v>585</v>
      </c>
      <c r="N5" s="742">
        <f>IF([1]Digesters!K4="","",[1]Digesters!K4)</f>
        <v>504</v>
      </c>
      <c r="O5" s="826">
        <f>IF([1]Digesters!M4="","",[1]Digesters!M4)</f>
        <v>564</v>
      </c>
      <c r="P5" s="824">
        <f t="shared" ref="P5:P6" si="0">IF(OR(B5="",D5="",E5="",ISTEXT(D5)=TRUE,ISTEXT(E5)=TRUE),"",(B5*8.34*(D5*10000)*(E5/D5))/(2393600/7.48/1000))</f>
        <v>251.73934507499999</v>
      </c>
      <c r="Q5" s="84"/>
      <c r="R5" s="64"/>
      <c r="S5" s="63"/>
      <c r="T5" s="63"/>
      <c r="U5" s="63"/>
      <c r="V5" s="185" t="s">
        <v>108</v>
      </c>
      <c r="W5" s="185" t="s">
        <v>107</v>
      </c>
      <c r="X5" s="185" t="s">
        <v>114</v>
      </c>
      <c r="Y5" s="199" t="s">
        <v>106</v>
      </c>
      <c r="Z5"/>
    </row>
    <row r="6" spans="1:26" ht="20.25" x14ac:dyDescent="0.3">
      <c r="A6" s="736">
        <v>2</v>
      </c>
      <c r="B6" s="820">
        <f>IF([1]Digesters!Z5="","",[1]Digesters!Z5/1000000)</f>
        <v>0.24922</v>
      </c>
      <c r="C6" s="714">
        <f>IF(OR(B6="",ISERROR($D$40)),"",IF(OR(D6="",ISTEXT(D6)),$D$40*B6*0.0834,B6*(D6*10000)*8.34/2000))</f>
        <v>40.94634756</v>
      </c>
      <c r="D6" s="816">
        <f>IF([2]PRI_SLG!B5="","",[2]PRI_SLG!B5)</f>
        <v>3.94</v>
      </c>
      <c r="E6" s="731">
        <f>IF([2]PRI_SLG!C5="","",[2]PRI_SLG!C5)</f>
        <v>3.39</v>
      </c>
      <c r="F6" s="730">
        <f>IF([2]PRI_SLG!D5="","",[2]PRI_SLG!D5)</f>
        <v>86.040609137055839</v>
      </c>
      <c r="G6" s="733">
        <f>[1]Digesters!C5</f>
        <v>470</v>
      </c>
      <c r="H6" s="822">
        <f>[2]DIG!AG5</f>
        <v>0</v>
      </c>
      <c r="I6" s="744">
        <f>IF([1]Digesters!C5="","",[1]Digesters!C5)</f>
        <v>470</v>
      </c>
      <c r="J6" s="730">
        <f>IF([1]Digesters!E5="","",[1]Digesters!E5)</f>
        <v>514</v>
      </c>
      <c r="K6" s="732" t="str">
        <f>IF([1]Digesters!G5=0,"",[1]Digesters!G5)</f>
        <v/>
      </c>
      <c r="L6" s="731" t="str">
        <f>IF([2]DIG!AM5,[2]DIG!AM5,"")</f>
        <v/>
      </c>
      <c r="M6" s="732">
        <f>IF([1]Digesters!I5="","",[1]Digesters!I5)</f>
        <v>528</v>
      </c>
      <c r="N6" s="732">
        <f>IF([1]Digesters!K5="","",[1]Digesters!K5)</f>
        <v>521</v>
      </c>
      <c r="O6" s="827">
        <f>IF([1]Digesters!M5="","",[1]Digesters!M5)</f>
        <v>494</v>
      </c>
      <c r="P6" s="825">
        <f t="shared" si="0"/>
        <v>220.19054287500003</v>
      </c>
      <c r="Q6" s="84"/>
      <c r="R6" s="64"/>
      <c r="S6" s="63"/>
      <c r="T6" s="63"/>
      <c r="U6" s="63"/>
      <c r="V6" s="63"/>
      <c r="W6" s="63"/>
      <c r="X6" s="63"/>
      <c r="Y6" s="63"/>
      <c r="Z6" s="63"/>
    </row>
    <row r="7" spans="1:26" ht="20.25" x14ac:dyDescent="0.3">
      <c r="A7" s="736">
        <v>3</v>
      </c>
      <c r="B7" s="820">
        <f>IF([1]Digesters!Z6="","",[1]Digesters!Z6/1000000)</f>
        <v>0.29187800000000003</v>
      </c>
      <c r="C7" s="714">
        <f t="shared" ref="C7:C33" si="1">IF(OR(B7="",ISERROR($D$40)),"",IF(OR(D7="",ISTEXT(D7)),$D$40*B7*0.0834,B7*(D7*10000)*8.34/2000))</f>
        <v>52.33664418</v>
      </c>
      <c r="D7" s="816">
        <f>IF([2]PRI_SLG!B6="","",[2]PRI_SLG!B6)</f>
        <v>4.3</v>
      </c>
      <c r="E7" s="731">
        <f>IF([2]PRI_SLG!C6="","",[2]PRI_SLG!C6)</f>
        <v>3.61</v>
      </c>
      <c r="F7" s="730">
        <f>IF([2]PRI_SLG!D6="","",[2]PRI_SLG!D6)</f>
        <v>83.95348837209302</v>
      </c>
      <c r="G7" s="733">
        <f>[1]Digesters!C6</f>
        <v>562</v>
      </c>
      <c r="H7" s="822">
        <f>[2]DIG!AG6</f>
        <v>0</v>
      </c>
      <c r="I7" s="744">
        <f>IF([1]Digesters!C6="","",[1]Digesters!C6)</f>
        <v>562</v>
      </c>
      <c r="J7" s="730">
        <f>IF([1]Digesters!E6="","",[1]Digesters!E6)</f>
        <v>584</v>
      </c>
      <c r="K7" s="732" t="str">
        <f>IF([1]Digesters!G6=0,"",[1]Digesters!G6)</f>
        <v/>
      </c>
      <c r="L7" s="731" t="str">
        <f>IF([2]DIG!AM6,[2]DIG!AM6,"")</f>
        <v/>
      </c>
      <c r="M7" s="732">
        <f>IF([1]Digesters!I6="","",[1]Digesters!I6)</f>
        <v>571</v>
      </c>
      <c r="N7" s="732">
        <f>IF([1]Digesters!K6="","",[1]Digesters!K6)</f>
        <v>607</v>
      </c>
      <c r="O7" s="827">
        <f>IF([1]Digesters!M6="","",[1]Digesters!M6)</f>
        <v>595</v>
      </c>
      <c r="P7" s="825">
        <f t="shared" ref="P7:P33" si="2">IF(OR(B7="",D7="",E7="",ISTEXT(D7)=TRUE,ISTEXT(E7)=TRUE),"",(B7*8.34*(D7*10000)*(E7/D7))/(2393600/7.48/1000))</f>
        <v>274.61524053750003</v>
      </c>
      <c r="Q7" s="84"/>
      <c r="R7" s="64"/>
      <c r="S7" s="63"/>
      <c r="T7" s="63"/>
      <c r="U7" s="63"/>
      <c r="V7" s="63"/>
      <c r="W7" s="63"/>
      <c r="X7" s="63"/>
      <c r="Y7" s="63"/>
      <c r="Z7" s="63"/>
    </row>
    <row r="8" spans="1:26" ht="20.25" x14ac:dyDescent="0.3">
      <c r="A8" s="736">
        <v>4</v>
      </c>
      <c r="B8" s="820">
        <f>IF([1]Digesters!Z7="","",[1]Digesters!Z7/1000000)</f>
        <v>0.42724299999999998</v>
      </c>
      <c r="C8" s="714">
        <f t="shared" si="1"/>
        <v>83.557195239000023</v>
      </c>
      <c r="D8" s="816">
        <f>IF([2]PRI_SLG!B7="","",[2]PRI_SLG!B7)</f>
        <v>4.6900000000000004</v>
      </c>
      <c r="E8" s="731">
        <f>IF([2]PRI_SLG!C7="","",[2]PRI_SLG!C7)</f>
        <v>3.87</v>
      </c>
      <c r="F8" s="730">
        <f>IF([2]PRI_SLG!D7="","",[2]PRI_SLG!D7)</f>
        <v>82.479784366576823</v>
      </c>
      <c r="G8" s="733">
        <f>[1]Digesters!C7</f>
        <v>843</v>
      </c>
      <c r="H8" s="822">
        <f>[2]DIG!AG7</f>
        <v>0</v>
      </c>
      <c r="I8" s="744">
        <f>IF([1]Digesters!C7="","",[1]Digesters!C7)</f>
        <v>843</v>
      </c>
      <c r="J8" s="730">
        <f>IF([1]Digesters!E7="","",[1]Digesters!E7)</f>
        <v>873</v>
      </c>
      <c r="K8" s="732" t="str">
        <f>IF([1]Digesters!G7=0,"",[1]Digesters!G7)</f>
        <v/>
      </c>
      <c r="L8" s="731" t="str">
        <f>IF([2]DIG!AM7,[2]DIG!AM7,"")</f>
        <v/>
      </c>
      <c r="M8" s="732">
        <f>IF([1]Digesters!I7="","",[1]Digesters!I7)</f>
        <v>888</v>
      </c>
      <c r="N8" s="732">
        <f>IF([1]Digesters!K7="","",[1]Digesters!K7)</f>
        <v>819</v>
      </c>
      <c r="O8" s="827">
        <f>IF([1]Digesters!M7="","",[1]Digesters!M7)</f>
        <v>849</v>
      </c>
      <c r="P8" s="825">
        <f t="shared" si="2"/>
        <v>430.92530060625006</v>
      </c>
      <c r="Q8" s="84"/>
      <c r="R8" s="64"/>
      <c r="S8" s="63"/>
      <c r="T8" s="63"/>
      <c r="U8" s="63"/>
      <c r="V8" s="63"/>
      <c r="W8" s="63"/>
      <c r="X8" s="63"/>
      <c r="Y8" s="63"/>
      <c r="Z8" s="63"/>
    </row>
    <row r="9" spans="1:26" ht="20.25" x14ac:dyDescent="0.3">
      <c r="A9" s="736">
        <v>5</v>
      </c>
      <c r="B9" s="820">
        <f>IF([1]Digesters!Z8="","",[1]Digesters!Z8/1000000)</f>
        <v>0.34417199999999998</v>
      </c>
      <c r="C9" s="714">
        <f t="shared" si="1"/>
        <v>53.245817603999996</v>
      </c>
      <c r="D9" s="816">
        <f>IF([2]PRI_SLG!B8="","",[2]PRI_SLG!B8)</f>
        <v>3.71</v>
      </c>
      <c r="E9" s="731">
        <f>IF([2]PRI_SLG!C8="","",[2]PRI_SLG!C8)</f>
        <v>3.06</v>
      </c>
      <c r="F9" s="730">
        <f>IF([2]PRI_SLG!D8="","",[2]PRI_SLG!D8)</f>
        <v>79.241071428571416</v>
      </c>
      <c r="G9" s="733">
        <f>[1]Digesters!C8</f>
        <v>680</v>
      </c>
      <c r="H9" s="822">
        <f>[2]DIG!AG8</f>
        <v>0</v>
      </c>
      <c r="I9" s="744">
        <f>IF([1]Digesters!C8="","",[1]Digesters!C8)</f>
        <v>680</v>
      </c>
      <c r="J9" s="730">
        <f>IF([1]Digesters!E8="","",[1]Digesters!E8)</f>
        <v>706</v>
      </c>
      <c r="K9" s="732" t="str">
        <f>IF([1]Digesters!G8=0,"",[1]Digesters!G8)</f>
        <v/>
      </c>
      <c r="L9" s="731" t="str">
        <f>IF([2]DIG!AM8,[2]DIG!AM8,"")</f>
        <v/>
      </c>
      <c r="M9" s="732">
        <f>IF([1]Digesters!I8="","",[1]Digesters!I8)</f>
        <v>711</v>
      </c>
      <c r="N9" s="732">
        <f>IF([1]Digesters!K8="","",[1]Digesters!K8)</f>
        <v>638</v>
      </c>
      <c r="O9" s="827">
        <f>IF([1]Digesters!M8="","",[1]Digesters!M8)</f>
        <v>703</v>
      </c>
      <c r="P9" s="825">
        <f t="shared" si="2"/>
        <v>274.48147215</v>
      </c>
      <c r="Q9" s="84"/>
      <c r="R9" s="64"/>
      <c r="S9" s="63"/>
      <c r="T9" s="63"/>
      <c r="U9" s="63"/>
      <c r="V9" s="63"/>
      <c r="W9" s="63"/>
      <c r="X9" s="63"/>
      <c r="Y9" s="63"/>
      <c r="Z9" s="63"/>
    </row>
    <row r="10" spans="1:26" ht="20.25" x14ac:dyDescent="0.3">
      <c r="A10" s="736">
        <v>6</v>
      </c>
      <c r="B10" s="820">
        <f>IF([1]Digesters!Z9="","",[1]Digesters!Z9/1000000)</f>
        <v>0.38281599999999999</v>
      </c>
      <c r="C10" s="714">
        <f t="shared" si="1"/>
        <v>71.516153856000003</v>
      </c>
      <c r="D10" s="816">
        <f>IF([2]PRI_SLG!B9="","",[2]PRI_SLG!B9)</f>
        <v>4.4800000000000004</v>
      </c>
      <c r="E10" s="731">
        <f>IF([2]PRI_SLG!C9="","",[2]PRI_SLG!C9)</f>
        <v>3.55</v>
      </c>
      <c r="F10" s="730">
        <f>IF([2]PRI_SLG!D9="","",[2]PRI_SLG!D9)</f>
        <v>77.831325301204814</v>
      </c>
      <c r="G10" s="733">
        <f>[1]Digesters!C9</f>
        <v>745</v>
      </c>
      <c r="H10" s="822">
        <f>[2]DIG!AG9</f>
        <v>0</v>
      </c>
      <c r="I10" s="744">
        <f>IF([1]Digesters!C9="","",[1]Digesters!C9)</f>
        <v>745</v>
      </c>
      <c r="J10" s="730">
        <f>IF([1]Digesters!E9="","",[1]Digesters!E9)</f>
        <v>769</v>
      </c>
      <c r="K10" s="732" t="str">
        <f>IF([1]Digesters!G9=0,"",[1]Digesters!G9)</f>
        <v/>
      </c>
      <c r="L10" s="731" t="str">
        <f>IF([2]DIG!AM9,[2]DIG!AM9,"")</f>
        <v/>
      </c>
      <c r="M10" s="732">
        <f>IF([1]Digesters!I9="","",[1]Digesters!I9)</f>
        <v>790</v>
      </c>
      <c r="N10" s="732">
        <f>IF([1]Digesters!K9="","",[1]Digesters!K9)</f>
        <v>749</v>
      </c>
      <c r="O10" s="827">
        <f>IF([1]Digesters!M9="","",[1]Digesters!M9)</f>
        <v>770</v>
      </c>
      <c r="P10" s="825">
        <f t="shared" si="2"/>
        <v>354.18854099999999</v>
      </c>
      <c r="Q10" s="84"/>
      <c r="R10" s="64"/>
      <c r="S10" s="63"/>
      <c r="T10" s="63"/>
      <c r="U10" s="63"/>
      <c r="V10" s="63"/>
      <c r="W10" s="63"/>
      <c r="X10" s="63"/>
      <c r="Y10" s="63"/>
      <c r="Z10" s="63"/>
    </row>
    <row r="11" spans="1:26" ht="20.25" x14ac:dyDescent="0.3">
      <c r="A11" s="736">
        <v>7</v>
      </c>
      <c r="B11" s="820">
        <f>IF([1]Digesters!Z10="","",[1]Digesters!Z10/1000000)</f>
        <v>0.40237000000000001</v>
      </c>
      <c r="C11" s="714">
        <f t="shared" si="1"/>
        <v>69.63214035</v>
      </c>
      <c r="D11" s="816">
        <f>IF([2]PRI_SLG!B10="","",[2]PRI_SLG!B10)</f>
        <v>4.1500000000000004</v>
      </c>
      <c r="E11" s="731">
        <f>IF([2]PRI_SLG!C10="","",[2]PRI_SLG!C10)</f>
        <v>3.23</v>
      </c>
      <c r="F11" s="730">
        <f>IF([2]PRI_SLG!D10="","",[2]PRI_SLG!D10)</f>
        <v>80.519480519480524</v>
      </c>
      <c r="G11" s="733">
        <f>[1]Digesters!C10</f>
        <v>800</v>
      </c>
      <c r="H11" s="822">
        <f>[2]DIG!AG10</f>
        <v>0</v>
      </c>
      <c r="I11" s="744">
        <f>IF([1]Digesters!C10="","",[1]Digesters!C10)</f>
        <v>800</v>
      </c>
      <c r="J11" s="730">
        <f>IF([1]Digesters!E10="","",[1]Digesters!E10)</f>
        <v>805</v>
      </c>
      <c r="K11" s="732" t="str">
        <f>IF([1]Digesters!G10=0,"",[1]Digesters!G10)</f>
        <v/>
      </c>
      <c r="L11" s="731" t="str">
        <f>IF([2]DIG!AM10,[2]DIG!AM10,"")</f>
        <v/>
      </c>
      <c r="M11" s="732">
        <f>IF([1]Digesters!I10="","",[1]Digesters!I10)</f>
        <v>800</v>
      </c>
      <c r="N11" s="732">
        <f>IF([1]Digesters!K10="","",[1]Digesters!K10)</f>
        <v>800</v>
      </c>
      <c r="O11" s="827">
        <f>IF([1]Digesters!M10="","",[1]Digesters!M10)</f>
        <v>799</v>
      </c>
      <c r="P11" s="825">
        <f t="shared" si="2"/>
        <v>338.72261043750001</v>
      </c>
      <c r="Q11" s="84"/>
      <c r="R11" s="64"/>
      <c r="S11" s="63"/>
      <c r="T11" s="63"/>
      <c r="U11" s="63"/>
      <c r="V11" s="63"/>
      <c r="W11" s="63"/>
      <c r="X11" s="63"/>
      <c r="Y11" s="63"/>
      <c r="Z11" s="63"/>
    </row>
    <row r="12" spans="1:26" ht="20.25" x14ac:dyDescent="0.3">
      <c r="A12" s="736">
        <v>8</v>
      </c>
      <c r="B12" s="820">
        <f>IF([1]Digesters!Z11="","",[1]Digesters!Z11/1000000)</f>
        <v>0.295678</v>
      </c>
      <c r="C12" s="714">
        <f t="shared" si="1"/>
        <v>47.469624509999996</v>
      </c>
      <c r="D12" s="816">
        <f>IF([2]PRI_SLG!B11="","",[2]PRI_SLG!B11)</f>
        <v>3.85</v>
      </c>
      <c r="E12" s="731">
        <f>IF([2]PRI_SLG!C11="","",[2]PRI_SLG!C11)</f>
        <v>3.1</v>
      </c>
      <c r="F12" s="730">
        <f>IF([2]PRI_SLG!D11="","",[2]PRI_SLG!D11)</f>
        <v>80.434782608695642</v>
      </c>
      <c r="G12" s="733">
        <f>[1]Digesters!C11</f>
        <v>594</v>
      </c>
      <c r="H12" s="822">
        <f>[2]DIG!AG11</f>
        <v>2.16</v>
      </c>
      <c r="I12" s="744">
        <f>IF([1]Digesters!C11="","",[1]Digesters!C11)</f>
        <v>594</v>
      </c>
      <c r="J12" s="730">
        <f>IF([1]Digesters!E11="","",[1]Digesters!E11)</f>
        <v>592</v>
      </c>
      <c r="K12" s="732" t="str">
        <f>IF([1]Digesters!G11=0,"",[1]Digesters!G11)</f>
        <v/>
      </c>
      <c r="L12" s="731">
        <f>IF([2]DIG!AM11,[2]DIG!AM11,"")</f>
        <v>2.4700000000000002</v>
      </c>
      <c r="M12" s="732">
        <f>IF([1]Digesters!I11="","",[1]Digesters!I11)</f>
        <v>605</v>
      </c>
      <c r="N12" s="732">
        <f>IF([1]Digesters!K11="","",[1]Digesters!K11)</f>
        <v>543</v>
      </c>
      <c r="O12" s="827">
        <f>IF([1]Digesters!M11="","",[1]Digesters!M11)</f>
        <v>622</v>
      </c>
      <c r="P12" s="825">
        <f t="shared" si="2"/>
        <v>238.88934412500004</v>
      </c>
      <c r="Q12" s="84"/>
      <c r="R12" s="64"/>
      <c r="S12" s="63"/>
      <c r="T12" s="63"/>
      <c r="U12" s="63"/>
      <c r="V12" s="63"/>
      <c r="W12" s="63"/>
      <c r="X12" s="63"/>
      <c r="Y12" s="63"/>
      <c r="Z12" s="63"/>
    </row>
    <row r="13" spans="1:26" ht="20.25" x14ac:dyDescent="0.3">
      <c r="A13" s="736">
        <v>9</v>
      </c>
      <c r="B13" s="820">
        <f>IF([1]Digesters!Z12="","",[1]Digesters!Z12/1000000)</f>
        <v>0.28403</v>
      </c>
      <c r="C13" s="714">
        <f t="shared" si="1"/>
        <v>43.586107679999998</v>
      </c>
      <c r="D13" s="816">
        <f>IF([2]PRI_SLG!B12="","",[2]PRI_SLG!B12)</f>
        <v>3.68</v>
      </c>
      <c r="E13" s="731">
        <f>IF([2]PRI_SLG!C12="","",[2]PRI_SLG!C12)</f>
        <v>2.96</v>
      </c>
      <c r="F13" s="730">
        <f>IF([2]PRI_SLG!D12="","",[2]PRI_SLG!D12)</f>
        <v>82.338902147971353</v>
      </c>
      <c r="G13" s="733">
        <f>[1]Digesters!C12</f>
        <v>544</v>
      </c>
      <c r="H13" s="822">
        <f>[2]DIG!AG12</f>
        <v>0</v>
      </c>
      <c r="I13" s="744">
        <f>IF([1]Digesters!C12="","",[1]Digesters!C12)</f>
        <v>544</v>
      </c>
      <c r="J13" s="730">
        <f>IF([1]Digesters!E12="","",[1]Digesters!E12)</f>
        <v>598</v>
      </c>
      <c r="K13" s="732" t="str">
        <f>IF([1]Digesters!G12=0,"",[1]Digesters!G12)</f>
        <v/>
      </c>
      <c r="L13" s="731" t="str">
        <f>IF([2]DIG!AM12,[2]DIG!AM12,"")</f>
        <v/>
      </c>
      <c r="M13" s="732">
        <f>IF([1]Digesters!I12="","",[1]Digesters!I12)</f>
        <v>598</v>
      </c>
      <c r="N13" s="732">
        <f>IF([1]Digesters!K12="","",[1]Digesters!K12)</f>
        <v>574</v>
      </c>
      <c r="O13" s="827">
        <f>IF([1]Digesters!M12="","",[1]Digesters!M12)</f>
        <v>524</v>
      </c>
      <c r="P13" s="825">
        <f t="shared" si="2"/>
        <v>219.11494349999998</v>
      </c>
      <c r="Q13" s="84"/>
      <c r="R13" s="64"/>
      <c r="S13" s="63"/>
      <c r="T13" s="63"/>
      <c r="U13" s="63"/>
      <c r="V13" s="63"/>
      <c r="W13" s="63"/>
      <c r="X13" s="63"/>
      <c r="Y13" s="63"/>
      <c r="Z13" s="63"/>
    </row>
    <row r="14" spans="1:26" ht="20.25" x14ac:dyDescent="0.3">
      <c r="A14" s="736">
        <v>10</v>
      </c>
      <c r="B14" s="820">
        <f>IF([1]Digesters!Z13="","",[1]Digesters!Z13/1000000)</f>
        <v>0.246529</v>
      </c>
      <c r="C14" s="714">
        <f t="shared" si="1"/>
        <v>43.074286467000007</v>
      </c>
      <c r="D14" s="816">
        <f>IF([2]PRI_SLG!B13="","",[2]PRI_SLG!B13)</f>
        <v>4.1900000000000004</v>
      </c>
      <c r="E14" s="731">
        <f>IF([2]PRI_SLG!C13="","",[2]PRI_SLG!C13)</f>
        <v>3.45</v>
      </c>
      <c r="F14" s="730">
        <f>IF([2]PRI_SLG!D13="","",[2]PRI_SLG!D13)</f>
        <v>83.522727272727266</v>
      </c>
      <c r="G14" s="733">
        <f>[1]Digesters!C13</f>
        <v>482</v>
      </c>
      <c r="H14" s="822">
        <f>[2]DIG!AG13</f>
        <v>0</v>
      </c>
      <c r="I14" s="744">
        <f>IF([1]Digesters!C13="","",[1]Digesters!C13)</f>
        <v>482</v>
      </c>
      <c r="J14" s="730">
        <f>IF([1]Digesters!E13="","",[1]Digesters!E13)</f>
        <v>487</v>
      </c>
      <c r="K14" s="732" t="str">
        <f>IF([1]Digesters!G13=0,"",[1]Digesters!G13)</f>
        <v/>
      </c>
      <c r="L14" s="731" t="str">
        <f>IF([2]DIG!AM13,[2]DIG!AM13,"")</f>
        <v/>
      </c>
      <c r="M14" s="732">
        <f>IF([1]Digesters!I13="","",[1]Digesters!I13)</f>
        <v>508</v>
      </c>
      <c r="N14" s="732">
        <f>IF([1]Digesters!K13="","",[1]Digesters!K13)</f>
        <v>501</v>
      </c>
      <c r="O14" s="827">
        <f>IF([1]Digesters!M13="","",[1]Digesters!M13)</f>
        <v>479</v>
      </c>
      <c r="P14" s="825">
        <f t="shared" si="2"/>
        <v>221.66809115625</v>
      </c>
      <c r="Q14" s="84"/>
      <c r="R14" s="64"/>
      <c r="S14" s="63"/>
      <c r="T14" s="63"/>
      <c r="U14" s="63"/>
      <c r="V14" s="63"/>
      <c r="W14" s="63"/>
      <c r="X14" s="63"/>
      <c r="Y14" s="63"/>
      <c r="Z14" s="63"/>
    </row>
    <row r="15" spans="1:26" ht="20.25" x14ac:dyDescent="0.3">
      <c r="A15" s="736">
        <v>11</v>
      </c>
      <c r="B15" s="820">
        <f>IF([1]Digesters!Z14="","",[1]Digesters!Z14/1000000)</f>
        <v>0.30363299999999999</v>
      </c>
      <c r="C15" s="714">
        <f t="shared" si="1"/>
        <v>44.568466271999995</v>
      </c>
      <c r="D15" s="816">
        <f>IF([2]PRI_SLG!B14="","",[2]PRI_SLG!B14)</f>
        <v>3.52</v>
      </c>
      <c r="E15" s="731">
        <f>IF([2]PRI_SLG!C14="","",[2]PRI_SLG!C14)</f>
        <v>2.94</v>
      </c>
      <c r="F15" s="730">
        <f>IF([2]PRI_SLG!D14="","",[2]PRI_SLG!D14)</f>
        <v>84.090909090909093</v>
      </c>
      <c r="G15" s="733">
        <f>[1]Digesters!C14</f>
        <v>621</v>
      </c>
      <c r="H15" s="822">
        <f>[2]DIG!AG14</f>
        <v>0</v>
      </c>
      <c r="I15" s="744">
        <f>IF([1]Digesters!C14="","",[1]Digesters!C14)</f>
        <v>621</v>
      </c>
      <c r="J15" s="730">
        <f>IF([1]Digesters!E14="","",[1]Digesters!E14)</f>
        <v>626</v>
      </c>
      <c r="K15" s="732" t="str">
        <f>IF([1]Digesters!G14=0,"",[1]Digesters!G14)</f>
        <v/>
      </c>
      <c r="L15" s="731" t="str">
        <f>IF([2]DIG!AM14,[2]DIG!AM14,"")</f>
        <v/>
      </c>
      <c r="M15" s="732">
        <f>IF([1]Digesters!I14="","",[1]Digesters!I14)</f>
        <v>632</v>
      </c>
      <c r="N15" s="732">
        <f>IF([1]Digesters!K14="","",[1]Digesters!K14)</f>
        <v>625</v>
      </c>
      <c r="O15" s="827">
        <f>IF([1]Digesters!M14="","",[1]Digesters!M14)</f>
        <v>644</v>
      </c>
      <c r="P15" s="825">
        <f t="shared" si="2"/>
        <v>232.65499083749995</v>
      </c>
      <c r="Q15" s="84"/>
      <c r="R15" s="64"/>
      <c r="S15" s="63"/>
      <c r="T15" s="63"/>
      <c r="U15" s="63"/>
      <c r="V15" s="63" t="s">
        <v>47</v>
      </c>
      <c r="W15" s="63"/>
      <c r="X15" s="63"/>
      <c r="Y15" s="63"/>
      <c r="Z15" s="63"/>
    </row>
    <row r="16" spans="1:26" ht="20.25" x14ac:dyDescent="0.3">
      <c r="A16" s="736">
        <v>12</v>
      </c>
      <c r="B16" s="820">
        <f>IF([1]Digesters!Z15="","",[1]Digesters!Z15/1000000)</f>
        <v>0.30740299999999998</v>
      </c>
      <c r="C16" s="714">
        <f t="shared" si="1"/>
        <v>50.762072195999991</v>
      </c>
      <c r="D16" s="816">
        <f>IF([2]PRI_SLG!B15="","",[2]PRI_SLG!B15)</f>
        <v>3.96</v>
      </c>
      <c r="E16" s="731">
        <f>IF([2]PRI_SLG!C15="","",[2]PRI_SLG!C15)</f>
        <v>3.33</v>
      </c>
      <c r="F16" s="730">
        <f>IF([2]PRI_SLG!D15="","",[2]PRI_SLG!D15)</f>
        <v>85.013623978201636</v>
      </c>
      <c r="G16" s="733">
        <f>[1]Digesters!C15</f>
        <v>634</v>
      </c>
      <c r="H16" s="822">
        <f>[2]DIG!AG15</f>
        <v>0</v>
      </c>
      <c r="I16" s="744">
        <f>IF([1]Digesters!C15="","",[1]Digesters!C15)</f>
        <v>634</v>
      </c>
      <c r="J16" s="730">
        <f>IF([1]Digesters!E15="","",[1]Digesters!E15)</f>
        <v>637</v>
      </c>
      <c r="K16" s="732" t="str">
        <f>IF([1]Digesters!G15=0,"",[1]Digesters!G15)</f>
        <v/>
      </c>
      <c r="L16" s="731" t="str">
        <f>IF([2]DIG!AM15,[2]DIG!AM15,"")</f>
        <v/>
      </c>
      <c r="M16" s="732">
        <f>IF([1]Digesters!I15="","",[1]Digesters!I15)</f>
        <v>650</v>
      </c>
      <c r="N16" s="732">
        <f>IF([1]Digesters!K15="","",[1]Digesters!K15)</f>
        <v>625</v>
      </c>
      <c r="O16" s="827">
        <f>IF([1]Digesters!M15="","",[1]Digesters!M15)</f>
        <v>662</v>
      </c>
      <c r="P16" s="825">
        <f t="shared" si="2"/>
        <v>266.78929989374996</v>
      </c>
      <c r="Q16" s="84"/>
      <c r="R16" s="64"/>
      <c r="S16" s="63"/>
      <c r="T16" s="63"/>
      <c r="U16" s="63"/>
      <c r="V16" s="63"/>
      <c r="W16" s="63"/>
      <c r="X16" s="63"/>
      <c r="Y16" s="63"/>
      <c r="Z16" s="63"/>
    </row>
    <row r="17" spans="1:26" ht="20.25" x14ac:dyDescent="0.3">
      <c r="A17" s="736">
        <v>13</v>
      </c>
      <c r="B17" s="820">
        <f>IF([1]Digesters!Z16="","",[1]Digesters!Z16/1000000)</f>
        <v>0.43690600000000002</v>
      </c>
      <c r="C17" s="714">
        <f t="shared" si="1"/>
        <v>66.86365733400001</v>
      </c>
      <c r="D17" s="816">
        <f>IF([2]PRI_SLG!B16="","",[2]PRI_SLG!B16)</f>
        <v>3.67</v>
      </c>
      <c r="E17" s="731">
        <f>IF([2]PRI_SLG!C16="","",[2]PRI_SLG!C16)</f>
        <v>3.12</v>
      </c>
      <c r="F17" s="730">
        <f>IF([2]PRI_SLG!D16="","",[2]PRI_SLG!D16)</f>
        <v>97.5</v>
      </c>
      <c r="G17" s="733">
        <f>[1]Digesters!C16</f>
        <v>909</v>
      </c>
      <c r="H17" s="822">
        <f>[2]DIG!AG16</f>
        <v>0</v>
      </c>
      <c r="I17" s="744">
        <f>IF([1]Digesters!C16="","",[1]Digesters!C16)</f>
        <v>909</v>
      </c>
      <c r="J17" s="730">
        <f>IF([1]Digesters!E16="","",[1]Digesters!E16)</f>
        <v>938</v>
      </c>
      <c r="K17" s="732" t="str">
        <f>IF([1]Digesters!G16=0,"",[1]Digesters!G16)</f>
        <v/>
      </c>
      <c r="L17" s="731" t="str">
        <f>IF([2]DIG!AM16,[2]DIG!AM16,"")</f>
        <v/>
      </c>
      <c r="M17" s="732">
        <f>IF([1]Digesters!I16="","",[1]Digesters!I16)</f>
        <v>959</v>
      </c>
      <c r="N17" s="732">
        <f>IF([1]Digesters!K16="","",[1]Digesters!K16)</f>
        <v>886</v>
      </c>
      <c r="O17" s="827">
        <f>IF([1]Digesters!M16="","",[1]Digesters!M16)</f>
        <v>910</v>
      </c>
      <c r="P17" s="825">
        <f t="shared" si="2"/>
        <v>355.27011390000001</v>
      </c>
      <c r="Q17" s="84"/>
      <c r="R17" s="64"/>
      <c r="S17" s="63"/>
      <c r="T17" s="63"/>
      <c r="U17" s="63"/>
      <c r="V17" s="63"/>
      <c r="W17" s="63"/>
      <c r="X17" s="63"/>
      <c r="Y17" s="63"/>
      <c r="Z17" s="63"/>
    </row>
    <row r="18" spans="1:26" ht="20.25" x14ac:dyDescent="0.3">
      <c r="A18" s="736">
        <v>14</v>
      </c>
      <c r="B18" s="820">
        <f>IF([1]Digesters!Z17="","",[1]Digesters!Z17/1000000)</f>
        <v>0.30216700000000002</v>
      </c>
      <c r="C18" s="714">
        <f t="shared" si="1"/>
        <v>40.321164480000007</v>
      </c>
      <c r="D18" s="816">
        <f>IF([2]PRI_SLG!B17="","",[2]PRI_SLG!B17)</f>
        <v>3.2</v>
      </c>
      <c r="E18" s="731">
        <f>IF([2]PRI_SLG!C17="","",[2]PRI_SLG!C17)</f>
        <v>2.78</v>
      </c>
      <c r="F18" s="730">
        <f>IF([2]PRI_SLG!D17="","",[2]PRI_SLG!D17)</f>
        <v>121.39737991266375</v>
      </c>
      <c r="G18" s="733">
        <f>[1]Digesters!C17</f>
        <v>601</v>
      </c>
      <c r="H18" s="822">
        <f>[2]DIG!AG17</f>
        <v>0</v>
      </c>
      <c r="I18" s="744">
        <f>IF([1]Digesters!C17="","",[1]Digesters!C17)</f>
        <v>601</v>
      </c>
      <c r="J18" s="730">
        <f>IF([1]Digesters!E17="","",[1]Digesters!E17)</f>
        <v>625</v>
      </c>
      <c r="K18" s="732" t="str">
        <f>IF([1]Digesters!G17=0,"",[1]Digesters!G17)</f>
        <v/>
      </c>
      <c r="L18" s="731" t="str">
        <f>IF([2]DIG!AM17,[2]DIG!AM17,"")</f>
        <v/>
      </c>
      <c r="M18" s="732">
        <f>IF([1]Digesters!I17="","",[1]Digesters!I17)</f>
        <v>637</v>
      </c>
      <c r="N18" s="732">
        <f>IF([1]Digesters!K17="","",[1]Digesters!K17)</f>
        <v>627</v>
      </c>
      <c r="O18" s="827">
        <f>IF([1]Digesters!M17="","",[1]Digesters!M17)</f>
        <v>617</v>
      </c>
      <c r="P18" s="825">
        <f t="shared" si="2"/>
        <v>218.93132276249997</v>
      </c>
      <c r="Q18" s="84"/>
      <c r="R18" s="64"/>
      <c r="S18" s="63"/>
      <c r="T18" s="63"/>
      <c r="U18" s="63"/>
      <c r="V18" s="63"/>
      <c r="W18" s="63"/>
      <c r="X18" s="63"/>
      <c r="Y18" s="63"/>
      <c r="Z18" s="63"/>
    </row>
    <row r="19" spans="1:26" ht="20.25" x14ac:dyDescent="0.3">
      <c r="A19" s="736">
        <v>15</v>
      </c>
      <c r="B19" s="820">
        <f>IF([1]Digesters!Z18="","",[1]Digesters!Z18/1000000)</f>
        <v>0.40528199999999998</v>
      </c>
      <c r="C19" s="714">
        <f t="shared" si="1"/>
        <v>38.701594026000002</v>
      </c>
      <c r="D19" s="816">
        <f>IF([2]PRI_SLG!B18="","",[2]PRI_SLG!B18)</f>
        <v>2.29</v>
      </c>
      <c r="E19" s="731">
        <f>IF([2]PRI_SLG!C18="","",[2]PRI_SLG!C18)</f>
        <v>2</v>
      </c>
      <c r="F19" s="730">
        <f>IF([2]PRI_SLG!D18="","",[2]PRI_SLG!D18)</f>
        <v>71.428571428571431</v>
      </c>
      <c r="G19" s="733">
        <f>[1]Digesters!C18</f>
        <v>784</v>
      </c>
      <c r="H19" s="822">
        <f>[2]DIG!AG18</f>
        <v>2.14</v>
      </c>
      <c r="I19" s="744">
        <f>IF([1]Digesters!C18="","",[1]Digesters!C18)</f>
        <v>784</v>
      </c>
      <c r="J19" s="730">
        <f>IF([1]Digesters!E18="","",[1]Digesters!E18)</f>
        <v>787</v>
      </c>
      <c r="K19" s="732" t="str">
        <f>IF([1]Digesters!G18=0,"",[1]Digesters!G18)</f>
        <v/>
      </c>
      <c r="L19" s="731">
        <f>IF([2]DIG!AM18,[2]DIG!AM18,"")</f>
        <v>2.44</v>
      </c>
      <c r="M19" s="732">
        <f>IF([1]Digesters!I18="","",[1]Digesters!I18)</f>
        <v>818</v>
      </c>
      <c r="N19" s="732">
        <f>IF([1]Digesters!K18="","",[1]Digesters!K18)</f>
        <v>792</v>
      </c>
      <c r="O19" s="827">
        <f>IF([1]Digesters!M18="","",[1]Digesters!M18)</f>
        <v>800</v>
      </c>
      <c r="P19" s="825">
        <f t="shared" si="2"/>
        <v>211.2532425</v>
      </c>
      <c r="Q19" s="84"/>
      <c r="R19" s="64"/>
      <c r="S19" s="63"/>
      <c r="T19" s="63"/>
      <c r="U19" s="63"/>
      <c r="V19" s="63"/>
      <c r="W19" s="63"/>
      <c r="X19" s="63"/>
      <c r="Y19" s="63"/>
      <c r="Z19" s="63"/>
    </row>
    <row r="20" spans="1:26" ht="20.25" x14ac:dyDescent="0.3">
      <c r="A20" s="736">
        <v>16</v>
      </c>
      <c r="B20" s="820">
        <f>IF([1]Digesters!Z19="","",[1]Digesters!Z19/1000000)</f>
        <v>0.40204899999999999</v>
      </c>
      <c r="C20" s="714">
        <f t="shared" si="1"/>
        <v>46.943241239999999</v>
      </c>
      <c r="D20" s="816">
        <f>IF([2]PRI_SLG!B19="","",[2]PRI_SLG!B19)</f>
        <v>2.8</v>
      </c>
      <c r="E20" s="731">
        <f>IF([2]PRI_SLG!C19="","",[2]PRI_SLG!C19)</f>
        <v>2.27</v>
      </c>
      <c r="F20" s="730">
        <f>IF([2]PRI_SLG!D19="","",[2]PRI_SLG!D19)</f>
        <v>43.653846153846153</v>
      </c>
      <c r="G20" s="733">
        <f>[1]Digesters!C19</f>
        <v>770</v>
      </c>
      <c r="H20" s="822">
        <f>[2]DIG!AG19</f>
        <v>0</v>
      </c>
      <c r="I20" s="744">
        <f>IF([1]Digesters!C19="","",[1]Digesters!C19)</f>
        <v>770</v>
      </c>
      <c r="J20" s="730">
        <f>IF([1]Digesters!E19="","",[1]Digesters!E19)</f>
        <v>781</v>
      </c>
      <c r="K20" s="732" t="str">
        <f>IF([1]Digesters!G19=0,"",[1]Digesters!G19)</f>
        <v/>
      </c>
      <c r="L20" s="731" t="str">
        <f>IF([2]DIG!AM19,[2]DIG!AM19,"")</f>
        <v/>
      </c>
      <c r="M20" s="732">
        <f>IF([1]Digesters!I19="","",[1]Digesters!I19)</f>
        <v>815</v>
      </c>
      <c r="N20" s="732">
        <f>IF([1]Digesters!K19="","",[1]Digesters!K19)</f>
        <v>812</v>
      </c>
      <c r="O20" s="827">
        <f>IF([1]Digesters!M19="","",[1]Digesters!M19)</f>
        <v>794</v>
      </c>
      <c r="P20" s="825">
        <f t="shared" si="2"/>
        <v>237.85972681875</v>
      </c>
      <c r="Q20" s="84"/>
      <c r="R20" s="64" t="s">
        <v>47</v>
      </c>
      <c r="S20" s="63"/>
      <c r="T20" s="63"/>
      <c r="U20" s="63"/>
      <c r="V20" s="63"/>
      <c r="W20" s="63"/>
      <c r="X20" s="63"/>
      <c r="Y20" s="63"/>
      <c r="Z20" s="63"/>
    </row>
    <row r="21" spans="1:26" ht="20.25" x14ac:dyDescent="0.3">
      <c r="A21" s="736">
        <v>17</v>
      </c>
      <c r="B21" s="820">
        <f>IF([1]Digesters!Z20="","",[1]Digesters!Z20/1000000)</f>
        <v>0.53391900000000003</v>
      </c>
      <c r="C21" s="714">
        <f t="shared" si="1"/>
        <v>115.77499596</v>
      </c>
      <c r="D21" s="816">
        <f>IF([2]PRI_SLG!B20="","",[2]PRI_SLG!B20)</f>
        <v>5.2</v>
      </c>
      <c r="E21" s="731">
        <f>IF([2]PRI_SLG!C20="","",[2]PRI_SLG!C20)</f>
        <v>3.92</v>
      </c>
      <c r="F21" s="730">
        <f>IF([2]PRI_SLG!D20="","",[2]PRI_SLG!D20)</f>
        <v>113.29479768786128</v>
      </c>
      <c r="G21" s="733">
        <f>[1]Digesters!C20</f>
        <v>1036</v>
      </c>
      <c r="H21" s="822">
        <f>[2]DIG!AG20</f>
        <v>0</v>
      </c>
      <c r="I21" s="744">
        <f>IF([1]Digesters!C20="","",[1]Digesters!C20)</f>
        <v>1036</v>
      </c>
      <c r="J21" s="730">
        <f>IF([1]Digesters!E20="","",[1]Digesters!E20)</f>
        <v>1052</v>
      </c>
      <c r="K21" s="732" t="str">
        <f>IF([1]Digesters!G20=0,"",[1]Digesters!G20)</f>
        <v/>
      </c>
      <c r="L21" s="731" t="str">
        <f>IF([2]DIG!AM20,[2]DIG!AM20,"")</f>
        <v/>
      </c>
      <c r="M21" s="732">
        <f>IF([1]Digesters!I20="","",[1]Digesters!I20)</f>
        <v>1098</v>
      </c>
      <c r="N21" s="732">
        <f>IF([1]Digesters!K20="","",[1]Digesters!K20)</f>
        <v>1072</v>
      </c>
      <c r="O21" s="827">
        <f>IF([1]Digesters!M20="","",[1]Digesters!M20)</f>
        <v>1050</v>
      </c>
      <c r="P21" s="825">
        <f t="shared" si="2"/>
        <v>545.47834635000004</v>
      </c>
      <c r="Q21" s="84"/>
      <c r="R21" s="64"/>
      <c r="S21" s="63"/>
      <c r="T21" s="63"/>
      <c r="U21" s="63"/>
      <c r="V21" s="63"/>
      <c r="W21" s="63"/>
      <c r="X21" s="63"/>
      <c r="Y21" s="63"/>
      <c r="Z21" s="63"/>
    </row>
    <row r="22" spans="1:26" ht="20.25" x14ac:dyDescent="0.3">
      <c r="A22" s="736">
        <v>18</v>
      </c>
      <c r="B22" s="820">
        <f>IF([1]Digesters!Z21="","",[1]Digesters!Z21/1000000)</f>
        <v>0.27490700000000001</v>
      </c>
      <c r="C22" s="714">
        <f t="shared" si="1"/>
        <v>39.664131774000005</v>
      </c>
      <c r="D22" s="816">
        <f>IF([2]PRI_SLG!B21="","",[2]PRI_SLG!B21)</f>
        <v>3.46</v>
      </c>
      <c r="E22" s="731">
        <f>IF([2]PRI_SLG!C21="","",[2]PRI_SLG!C21)</f>
        <v>2.91</v>
      </c>
      <c r="F22" s="730">
        <f>IF([2]PRI_SLG!D21="","",[2]PRI_SLG!D21)</f>
        <v>63.123644251626899</v>
      </c>
      <c r="G22" s="733">
        <f>[1]Digesters!C21</f>
        <v>537</v>
      </c>
      <c r="H22" s="822">
        <f>[2]DIG!AG21</f>
        <v>0</v>
      </c>
      <c r="I22" s="744">
        <f>IF([1]Digesters!C21="","",[1]Digesters!C21)</f>
        <v>537</v>
      </c>
      <c r="J22" s="730">
        <f>IF([1]Digesters!E21="","",[1]Digesters!E21)</f>
        <v>546</v>
      </c>
      <c r="K22" s="732" t="str">
        <f>IF([1]Digesters!G21=0,"",[1]Digesters!G21)</f>
        <v/>
      </c>
      <c r="L22" s="731" t="str">
        <f>IF([2]DIG!AM21,[2]DIG!AM21,"")</f>
        <v/>
      </c>
      <c r="M22" s="732">
        <f>IF([1]Digesters!I21="","",[1]Digesters!I21)</f>
        <v>555</v>
      </c>
      <c r="N22" s="732">
        <f>IF([1]Digesters!K21="","",[1]Digesters!K21)</f>
        <v>545</v>
      </c>
      <c r="O22" s="827">
        <f>IF([1]Digesters!M21="","",[1]Digesters!M21)</f>
        <v>540</v>
      </c>
      <c r="P22" s="825">
        <f t="shared" si="2"/>
        <v>208.49462330625002</v>
      </c>
      <c r="Q22" s="84"/>
      <c r="R22" s="64"/>
      <c r="S22" s="63"/>
      <c r="T22" s="63"/>
      <c r="U22" s="63"/>
      <c r="V22" s="63" t="s">
        <v>47</v>
      </c>
      <c r="W22" s="63"/>
      <c r="X22" s="63"/>
      <c r="Y22" s="63"/>
      <c r="Z22" s="63"/>
    </row>
    <row r="23" spans="1:26" ht="20.25" x14ac:dyDescent="0.3">
      <c r="A23" s="736">
        <v>19</v>
      </c>
      <c r="B23" s="820">
        <f>IF([1]Digesters!Z22="","",[1]Digesters!Z22/1000000)</f>
        <v>0.84490699999999996</v>
      </c>
      <c r="C23" s="714">
        <f t="shared" si="1"/>
        <v>162.42238695899999</v>
      </c>
      <c r="D23" s="816">
        <f>IF([2]PRI_SLG!B22="","",[2]PRI_SLG!B22)</f>
        <v>4.6100000000000003</v>
      </c>
      <c r="E23" s="731">
        <f>IF([2]PRI_SLG!C22="","",[2]PRI_SLG!C22)</f>
        <v>2.91</v>
      </c>
      <c r="F23" s="730">
        <f>IF([2]PRI_SLG!D22="","",[2]PRI_SLG!D22)</f>
        <v>63.398692810457526</v>
      </c>
      <c r="G23" s="733">
        <f>[1]Digesters!C22</f>
        <v>1105</v>
      </c>
      <c r="H23" s="822">
        <f>[2]DIG!AG22</f>
        <v>0</v>
      </c>
      <c r="I23" s="744">
        <f>IF([1]Digesters!C22="","",[1]Digesters!C22)</f>
        <v>1105</v>
      </c>
      <c r="J23" s="730">
        <f>IF([1]Digesters!E22="","",[1]Digesters!E22)</f>
        <v>1118</v>
      </c>
      <c r="K23" s="732" t="str">
        <f>IF([1]Digesters!G22=0,"",[1]Digesters!G22)</f>
        <v/>
      </c>
      <c r="L23" s="731" t="str">
        <f>IF([2]DIG!AM22,[2]DIG!AM22,"")</f>
        <v/>
      </c>
      <c r="M23" s="732">
        <f>IF([1]Digesters!I22="","",[1]Digesters!I22)</f>
        <v>1175</v>
      </c>
      <c r="N23" s="732">
        <f>IF([1]Digesters!K22="","",[1]Digesters!K22)</f>
        <v>1140</v>
      </c>
      <c r="O23" s="827">
        <f>IF([1]Digesters!M22="","",[1]Digesters!M22)</f>
        <v>1123</v>
      </c>
      <c r="P23" s="825">
        <f t="shared" si="2"/>
        <v>640.79331080625002</v>
      </c>
      <c r="Q23" s="84"/>
      <c r="R23" s="64"/>
      <c r="S23" s="63"/>
      <c r="T23" s="63"/>
      <c r="U23" s="63"/>
      <c r="V23" s="63"/>
      <c r="W23" s="63"/>
      <c r="X23" s="63"/>
      <c r="Y23" s="63"/>
      <c r="Z23" s="63"/>
    </row>
    <row r="24" spans="1:26" ht="20.25" x14ac:dyDescent="0.3">
      <c r="A24" s="736">
        <v>20</v>
      </c>
      <c r="B24" s="820">
        <f>IF([1]Digesters!Z23="","",[1]Digesters!Z23/1000000)</f>
        <v>0.40862100000000001</v>
      </c>
      <c r="C24" s="714">
        <f t="shared" si="1"/>
        <v>78.211285262999994</v>
      </c>
      <c r="D24" s="816">
        <f>IF([2]PRI_SLG!B23="","",[2]PRI_SLG!B23)</f>
        <v>4.59</v>
      </c>
      <c r="E24" s="731">
        <f>IF([2]PRI_SLG!C23="","",[2]PRI_SLG!C23)</f>
        <v>2.95</v>
      </c>
      <c r="F24" s="730">
        <f>IF([2]PRI_SLG!D23="","",[2]PRI_SLG!D23)</f>
        <v>82.86516853932585</v>
      </c>
      <c r="G24" s="733">
        <f>[1]Digesters!C23</f>
        <v>792</v>
      </c>
      <c r="H24" s="822">
        <f>[2]DIG!AG23</f>
        <v>0</v>
      </c>
      <c r="I24" s="744">
        <f>IF([1]Digesters!C23="","",[1]Digesters!C23)</f>
        <v>792</v>
      </c>
      <c r="J24" s="730">
        <f>IF([1]Digesters!E23="","",[1]Digesters!E23)</f>
        <v>796</v>
      </c>
      <c r="K24" s="732" t="str">
        <f>IF([1]Digesters!G23=0,"",[1]Digesters!G23)</f>
        <v/>
      </c>
      <c r="L24" s="731" t="str">
        <f>IF([2]DIG!AM23,[2]DIG!AM23,"")</f>
        <v/>
      </c>
      <c r="M24" s="732">
        <f>IF([1]Digesters!I23="","",[1]Digesters!I23)</f>
        <v>798</v>
      </c>
      <c r="N24" s="732">
        <f>IF([1]Digesters!K23="","",[1]Digesters!K23)</f>
        <v>816</v>
      </c>
      <c r="O24" s="827">
        <f>IF([1]Digesters!M23="","",[1]Digesters!M23)</f>
        <v>804</v>
      </c>
      <c r="P24" s="825">
        <f t="shared" si="2"/>
        <v>314.16570196875006</v>
      </c>
      <c r="Q24" s="84"/>
      <c r="R24" s="64"/>
      <c r="S24" s="63"/>
      <c r="T24" s="63"/>
      <c r="U24" s="63"/>
      <c r="V24" s="63"/>
      <c r="W24" s="63"/>
      <c r="X24" s="63"/>
      <c r="Y24" s="63"/>
      <c r="Z24" s="63"/>
    </row>
    <row r="25" spans="1:26" ht="20.25" x14ac:dyDescent="0.3">
      <c r="A25" s="736">
        <v>21</v>
      </c>
      <c r="B25" s="820">
        <f>IF([1]Digesters!Z24="","",[1]Digesters!Z24/1000000)</f>
        <v>0.28483700000000001</v>
      </c>
      <c r="C25" s="714">
        <f t="shared" si="1"/>
        <v>42.284622324000004</v>
      </c>
      <c r="D25" s="816">
        <f>IF([2]PRI_SLG!B24="","",[2]PRI_SLG!B24)</f>
        <v>3.56</v>
      </c>
      <c r="E25" s="731">
        <f>IF([2]PRI_SLG!C24="","",[2]PRI_SLG!C24)</f>
        <v>2.59</v>
      </c>
      <c r="F25" s="730">
        <f>IF([2]PRI_SLG!D24="","",[2]PRI_SLG!D24)</f>
        <v>60.092807424593971</v>
      </c>
      <c r="G25" s="733">
        <f>[1]Digesters!C24</f>
        <v>547</v>
      </c>
      <c r="H25" s="822">
        <f>[2]DIG!AG24</f>
        <v>0</v>
      </c>
      <c r="I25" s="744">
        <f>IF([1]Digesters!C24="","",[1]Digesters!C24)</f>
        <v>547</v>
      </c>
      <c r="J25" s="730">
        <f>IF([1]Digesters!E24="","",[1]Digesters!E24)</f>
        <v>555</v>
      </c>
      <c r="K25" s="732" t="str">
        <f>IF([1]Digesters!G24=0,"",[1]Digesters!G24)</f>
        <v/>
      </c>
      <c r="L25" s="731" t="str">
        <f>IF([2]DIG!AM24,[2]DIG!AM24,"")</f>
        <v/>
      </c>
      <c r="M25" s="732">
        <f>IF([1]Digesters!I24="","",[1]Digesters!I24)</f>
        <v>567</v>
      </c>
      <c r="N25" s="732">
        <f>IF([1]Digesters!K24="","",[1]Digesters!K24)</f>
        <v>573</v>
      </c>
      <c r="O25" s="827">
        <f>IF([1]Digesters!M24="","",[1]Digesters!M24)</f>
        <v>559</v>
      </c>
      <c r="P25" s="825">
        <f t="shared" si="2"/>
        <v>192.27031569375001</v>
      </c>
      <c r="Q25" s="84"/>
      <c r="R25" s="64"/>
      <c r="S25" s="63"/>
      <c r="T25" s="63"/>
      <c r="U25" s="63"/>
      <c r="V25" s="63"/>
      <c r="W25" s="63"/>
      <c r="X25" s="63"/>
      <c r="Y25" s="63"/>
      <c r="Z25" s="63"/>
    </row>
    <row r="26" spans="1:26" ht="20.25" x14ac:dyDescent="0.3">
      <c r="A26" s="736">
        <v>22</v>
      </c>
      <c r="B26" s="820">
        <f>IF([1]Digesters!Z25="","",[1]Digesters!Z25/1000000)</f>
        <v>0.29687799999999998</v>
      </c>
      <c r="C26" s="714">
        <f t="shared" si="1"/>
        <v>53.356992305999988</v>
      </c>
      <c r="D26" s="816">
        <f>IF([2]PRI_SLG!B25="","",[2]PRI_SLG!B25)</f>
        <v>4.3099999999999996</v>
      </c>
      <c r="E26" s="731">
        <f>IF([2]PRI_SLG!C25="","",[2]PRI_SLG!C25)</f>
        <v>3.64</v>
      </c>
      <c r="F26" s="730">
        <f>IF([2]PRI_SLG!D25="","",[2]PRI_SLG!D25)</f>
        <v>91</v>
      </c>
      <c r="G26" s="733">
        <f>[1]Digesters!C25</f>
        <v>567</v>
      </c>
      <c r="H26" s="822">
        <f>[2]DIG!AG25</f>
        <v>1.92</v>
      </c>
      <c r="I26" s="744">
        <f>IF([1]Digesters!C25="","",[1]Digesters!C25)</f>
        <v>567</v>
      </c>
      <c r="J26" s="730">
        <f>IF([1]Digesters!E25="","",[1]Digesters!E25)</f>
        <v>580</v>
      </c>
      <c r="K26" s="732" t="str">
        <f>IF([1]Digesters!G25=0,"",[1]Digesters!G25)</f>
        <v/>
      </c>
      <c r="L26" s="731">
        <f>IF([2]DIG!AM25,[2]DIG!AM25,"")</f>
        <v>2.36</v>
      </c>
      <c r="M26" s="732">
        <f>IF([1]Digesters!I25="","",[1]Digesters!I25)</f>
        <v>609</v>
      </c>
      <c r="N26" s="732">
        <f>IF([1]Digesters!K25="","",[1]Digesters!K25)</f>
        <v>604</v>
      </c>
      <c r="O26" s="827">
        <f>IF([1]Digesters!M25="","",[1]Digesters!M25)</f>
        <v>579</v>
      </c>
      <c r="P26" s="825">
        <f t="shared" si="2"/>
        <v>281.64073665000001</v>
      </c>
      <c r="Q26" s="84"/>
      <c r="R26" s="64"/>
      <c r="S26" s="63"/>
      <c r="T26" s="63"/>
      <c r="U26" s="63"/>
      <c r="V26" s="63"/>
      <c r="W26" s="68"/>
      <c r="X26" s="63"/>
      <c r="Y26" s="63"/>
      <c r="Z26" s="63"/>
    </row>
    <row r="27" spans="1:26" ht="20.25" x14ac:dyDescent="0.3">
      <c r="A27" s="736">
        <v>23</v>
      </c>
      <c r="B27" s="820">
        <f>IF([1]Digesters!Z26="","",[1]Digesters!Z26/1000000)</f>
        <v>0.39466800000000002</v>
      </c>
      <c r="C27" s="714">
        <f t="shared" si="1"/>
        <v>65.83062240000001</v>
      </c>
      <c r="D27" s="816">
        <f>IF([2]PRI_SLG!B26="","",[2]PRI_SLG!B26)</f>
        <v>4</v>
      </c>
      <c r="E27" s="731">
        <f>IF([2]PRI_SLG!C26="","",[2]PRI_SLG!C26)</f>
        <v>3.05</v>
      </c>
      <c r="F27" s="730">
        <f>IF([2]PRI_SLG!D26="","",[2]PRI_SLG!D26)</f>
        <v>79.015544041450781</v>
      </c>
      <c r="G27" s="733">
        <f>[1]Digesters!C26</f>
        <v>770</v>
      </c>
      <c r="H27" s="822">
        <f>[2]DIG!AG26</f>
        <v>0</v>
      </c>
      <c r="I27" s="744">
        <f>IF([1]Digesters!C26="","",[1]Digesters!C26)</f>
        <v>770</v>
      </c>
      <c r="J27" s="730">
        <f>IF([1]Digesters!E26="","",[1]Digesters!E26)</f>
        <v>777</v>
      </c>
      <c r="K27" s="732" t="str">
        <f>IF([1]Digesters!G26=0,"",[1]Digesters!G26)</f>
        <v/>
      </c>
      <c r="L27" s="731" t="str">
        <f>IF([2]DIG!AM26,[2]DIG!AM26,"")</f>
        <v/>
      </c>
      <c r="M27" s="732">
        <f>IF([1]Digesters!I26="","",[1]Digesters!I26)</f>
        <v>784</v>
      </c>
      <c r="N27" s="732">
        <f>IF([1]Digesters!K26="","",[1]Digesters!K26)</f>
        <v>773</v>
      </c>
      <c r="O27" s="827">
        <f>IF([1]Digesters!M26="","",[1]Digesters!M26)</f>
        <v>785</v>
      </c>
      <c r="P27" s="825">
        <f t="shared" si="2"/>
        <v>313.72405987500002</v>
      </c>
      <c r="Q27" s="84"/>
      <c r="R27" s="64"/>
      <c r="S27" s="63"/>
      <c r="T27" s="63"/>
      <c r="U27" s="63"/>
      <c r="V27" s="63"/>
      <c r="W27" s="63"/>
      <c r="X27" s="63"/>
      <c r="Y27" s="63"/>
      <c r="Z27" s="63"/>
    </row>
    <row r="28" spans="1:26" ht="20.25" x14ac:dyDescent="0.3">
      <c r="A28" s="736">
        <v>24</v>
      </c>
      <c r="B28" s="820">
        <f>IF([1]Digesters!Z27="","",[1]Digesters!Z27/1000000)</f>
        <v>0.38805200000000001</v>
      </c>
      <c r="C28" s="714">
        <f t="shared" si="1"/>
        <v>62.461626024000005</v>
      </c>
      <c r="D28" s="816">
        <f>IF([2]PRI_SLG!B27="","",[2]PRI_SLG!B27)</f>
        <v>3.86</v>
      </c>
      <c r="E28" s="731">
        <f>IF([2]PRI_SLG!C27="","",[2]PRI_SLG!C27)</f>
        <v>3.02</v>
      </c>
      <c r="F28" s="730">
        <f>IF([2]PRI_SLG!D27="","",[2]PRI_SLG!D27)</f>
        <v>75.124378109452749</v>
      </c>
      <c r="G28" s="733">
        <f>[1]Digesters!C27</f>
        <v>737</v>
      </c>
      <c r="H28" s="822">
        <f>[2]DIG!AG27</f>
        <v>0</v>
      </c>
      <c r="I28" s="744">
        <f>IF([1]Digesters!C27="","",[1]Digesters!C27)</f>
        <v>737</v>
      </c>
      <c r="J28" s="730">
        <f>IF([1]Digesters!E27="","",[1]Digesters!E27)</f>
        <v>760</v>
      </c>
      <c r="K28" s="732" t="str">
        <f>IF([1]Digesters!G27=0,"",[1]Digesters!G27)</f>
        <v/>
      </c>
      <c r="L28" s="731" t="str">
        <f>IF([2]DIG!AM27,[2]DIG!AM27,"")</f>
        <v/>
      </c>
      <c r="M28" s="732">
        <f>IF([1]Digesters!I27="","",[1]Digesters!I27)</f>
        <v>781</v>
      </c>
      <c r="N28" s="732">
        <f>IF([1]Digesters!K27="","",[1]Digesters!K27)</f>
        <v>772</v>
      </c>
      <c r="O28" s="827">
        <f>IF([1]Digesters!M27="","",[1]Digesters!M27)</f>
        <v>765</v>
      </c>
      <c r="P28" s="825">
        <f t="shared" si="2"/>
        <v>305.43087855000005</v>
      </c>
      <c r="Q28" s="84"/>
      <c r="R28" s="64"/>
      <c r="S28" s="63"/>
      <c r="T28" s="63"/>
      <c r="U28" s="63"/>
      <c r="V28" s="63"/>
      <c r="W28" s="63"/>
      <c r="X28" s="63"/>
      <c r="Y28" s="63"/>
      <c r="Z28" s="63"/>
    </row>
    <row r="29" spans="1:26" ht="20.25" x14ac:dyDescent="0.3">
      <c r="A29" s="736">
        <v>25</v>
      </c>
      <c r="B29" s="820">
        <f>IF([1]Digesters!Z28="","",[1]Digesters!Z28/1000000)</f>
        <v>0.289325</v>
      </c>
      <c r="C29" s="714">
        <f t="shared" si="1"/>
        <v>48.500707049999988</v>
      </c>
      <c r="D29" s="816">
        <f>IF([2]PRI_SLG!B28="","",[2]PRI_SLG!B28)</f>
        <v>4.0199999999999996</v>
      </c>
      <c r="E29" s="731">
        <f>IF([2]PRI_SLG!C28="","",[2]PRI_SLG!C28)</f>
        <v>3.4</v>
      </c>
      <c r="F29" s="730">
        <f>IF([2]PRI_SLG!D28="","",[2]PRI_SLG!D28)</f>
        <v>74.398249452954047</v>
      </c>
      <c r="G29" s="733">
        <f>[1]Digesters!C28</f>
        <v>547</v>
      </c>
      <c r="H29" s="822">
        <f>[2]DIG!AG28</f>
        <v>0</v>
      </c>
      <c r="I29" s="744">
        <f>IF([1]Digesters!C28="","",[1]Digesters!C28)</f>
        <v>547</v>
      </c>
      <c r="J29" s="730">
        <f>IF([1]Digesters!E28="","",[1]Digesters!E28)</f>
        <v>563</v>
      </c>
      <c r="K29" s="732" t="str">
        <f>IF([1]Digesters!G28=0,"",[1]Digesters!G28)</f>
        <v/>
      </c>
      <c r="L29" s="731" t="str">
        <f>IF([2]DIG!AM28,[2]DIG!AM28,"")</f>
        <v/>
      </c>
      <c r="M29" s="732">
        <f>IF([1]Digesters!I28="","",[1]Digesters!I28)</f>
        <v>553</v>
      </c>
      <c r="N29" s="732">
        <f>IF([1]Digesters!K28="","",[1]Digesters!K28)</f>
        <v>583</v>
      </c>
      <c r="O29" s="827">
        <f>IF([1]Digesters!M28="","",[1]Digesters!M28)</f>
        <v>574</v>
      </c>
      <c r="P29" s="825">
        <f t="shared" si="2"/>
        <v>256.37811562500002</v>
      </c>
      <c r="Q29" s="84"/>
      <c r="R29" s="64"/>
      <c r="S29" s="63"/>
      <c r="T29" s="63"/>
      <c r="U29" s="63"/>
      <c r="V29" s="63"/>
      <c r="W29" s="63"/>
      <c r="X29" s="63"/>
      <c r="Y29" s="63"/>
      <c r="Z29" s="63"/>
    </row>
    <row r="30" spans="1:26" ht="20.25" x14ac:dyDescent="0.3">
      <c r="A30" s="736">
        <v>26</v>
      </c>
      <c r="B30" s="820">
        <f>IF([1]Digesters!Z29="","",[1]Digesters!Z29/1000000)</f>
        <v>0.35879800000000001</v>
      </c>
      <c r="C30" s="714">
        <f t="shared" si="1"/>
        <v>68.375776061999986</v>
      </c>
      <c r="D30" s="816">
        <f>IF([2]PRI_SLG!B29="","",[2]PRI_SLG!B29)</f>
        <v>4.57</v>
      </c>
      <c r="E30" s="731">
        <f>IF([2]PRI_SLG!C29="","",[2]PRI_SLG!C29)</f>
        <v>3.79</v>
      </c>
      <c r="F30" s="730">
        <f>IF([2]PRI_SLG!D29="","",[2]PRI_SLG!D29)</f>
        <v>135.84229390681003</v>
      </c>
      <c r="G30" s="733">
        <f>[1]Digesters!C29</f>
        <v>7022</v>
      </c>
      <c r="H30" s="822">
        <f>[2]DIG!AG29</f>
        <v>0</v>
      </c>
      <c r="I30" s="744">
        <f>IF([1]Digesters!C29="","",[1]Digesters!C29)</f>
        <v>7022</v>
      </c>
      <c r="J30" s="730">
        <f>IF([1]Digesters!E29="","",[1]Digesters!E29)</f>
        <v>709</v>
      </c>
      <c r="K30" s="732" t="str">
        <f>IF([1]Digesters!G29=0,"",[1]Digesters!G29)</f>
        <v/>
      </c>
      <c r="L30" s="731" t="str">
        <f>IF([2]DIG!AM29,[2]DIG!AM29,"")</f>
        <v/>
      </c>
      <c r="M30" s="732">
        <f>IF([1]Digesters!I29="","",[1]Digesters!I29)</f>
        <v>727</v>
      </c>
      <c r="N30" s="732">
        <f>IF([1]Digesters!K29="","",[1]Digesters!K29)</f>
        <v>721</v>
      </c>
      <c r="O30" s="827">
        <f>IF([1]Digesters!M29="","",[1]Digesters!M29)</f>
        <v>699</v>
      </c>
      <c r="P30" s="825">
        <f t="shared" si="2"/>
        <v>354.40945196249993</v>
      </c>
      <c r="Q30" s="84"/>
      <c r="R30" s="64"/>
      <c r="S30" s="63"/>
      <c r="T30" s="63"/>
      <c r="U30" s="63"/>
      <c r="V30" s="63"/>
      <c r="W30" s="63"/>
      <c r="X30" s="63"/>
      <c r="Y30" s="63"/>
      <c r="Z30" s="63"/>
    </row>
    <row r="31" spans="1:26" ht="20.25" x14ac:dyDescent="0.3">
      <c r="A31" s="736">
        <v>27</v>
      </c>
      <c r="B31" s="820">
        <f>IF([1]Digesters!Z30="","",[1]Digesters!Z30/1000000)</f>
        <v>0.41467399999999999</v>
      </c>
      <c r="C31" s="714">
        <f t="shared" si="1"/>
        <v>48.244417181999999</v>
      </c>
      <c r="D31" s="816">
        <f>IF([2]PRI_SLG!B30="","",[2]PRI_SLG!B30)</f>
        <v>2.79</v>
      </c>
      <c r="E31" s="731">
        <f>IF([2]PRI_SLG!C30="","",[2]PRI_SLG!C30)</f>
        <v>2.39</v>
      </c>
      <c r="F31" s="730">
        <f>IF([2]PRI_SLG!D30="","",[2]PRI_SLG!D30)</f>
        <v>55.710955710955709</v>
      </c>
      <c r="G31" s="733">
        <f>[1]Digesters!C30</f>
        <v>818</v>
      </c>
      <c r="H31" s="822">
        <f>[2]DIG!AG30</f>
        <v>0</v>
      </c>
      <c r="I31" s="744">
        <f>IF([1]Digesters!C30="","",[1]Digesters!C30)</f>
        <v>818</v>
      </c>
      <c r="J31" s="730">
        <f>IF([1]Digesters!E30="","",[1]Digesters!E30)</f>
        <v>823</v>
      </c>
      <c r="K31" s="732" t="str">
        <f>IF([1]Digesters!G30=0,"",[1]Digesters!G30)</f>
        <v/>
      </c>
      <c r="L31" s="731" t="str">
        <f>IF([2]DIG!AM30,[2]DIG!AM30,"")</f>
        <v/>
      </c>
      <c r="M31" s="732">
        <f>IF([1]Digesters!I30="","",[1]Digesters!I30)</f>
        <v>848</v>
      </c>
      <c r="N31" s="732">
        <f>IF([1]Digesters!K30="","",[1]Digesters!K30)</f>
        <v>825</v>
      </c>
      <c r="O31" s="827">
        <f>IF([1]Digesters!M30="","",[1]Digesters!M30)</f>
        <v>802</v>
      </c>
      <c r="P31" s="825">
        <f t="shared" si="2"/>
        <v>258.2978428875</v>
      </c>
      <c r="Q31" s="84"/>
      <c r="R31" s="64"/>
      <c r="S31" s="63"/>
      <c r="T31" s="63"/>
      <c r="U31" s="63"/>
      <c r="V31" s="63"/>
      <c r="W31" s="63"/>
      <c r="X31" s="63"/>
      <c r="Y31" s="63"/>
      <c r="Z31" s="63"/>
    </row>
    <row r="32" spans="1:26" ht="20.25" x14ac:dyDescent="0.3">
      <c r="A32" s="736">
        <v>28</v>
      </c>
      <c r="B32" s="820">
        <f>IF([1]Digesters!Z31="","",[1]Digesters!Z31/1000000)</f>
        <v>0.25024800000000003</v>
      </c>
      <c r="C32" s="714">
        <f t="shared" si="1"/>
        <v>44.767615464000002</v>
      </c>
      <c r="D32" s="816">
        <f>IF([2]PRI_SLG!B31="","",[2]PRI_SLG!B31)</f>
        <v>4.29</v>
      </c>
      <c r="E32" s="731">
        <f>IF([2]PRI_SLG!C31="","",[2]PRI_SLG!C31)</f>
        <v>3.77</v>
      </c>
      <c r="F32" s="730">
        <f>IF([2]PRI_SLG!D31="","",[2]PRI_SLG!D31)</f>
        <v>108.64553314121036</v>
      </c>
      <c r="G32" s="733">
        <f>[1]Digesters!C31</f>
        <v>503</v>
      </c>
      <c r="H32" s="822">
        <f>[2]DIG!AG31</f>
        <v>0</v>
      </c>
      <c r="I32" s="744">
        <f>IF([1]Digesters!C31="","",[1]Digesters!C31)</f>
        <v>503</v>
      </c>
      <c r="J32" s="730">
        <f>IF([1]Digesters!E31="","",[1]Digesters!E31)</f>
        <v>447</v>
      </c>
      <c r="K32" s="732" t="str">
        <f>IF([1]Digesters!G31=0,"",[1]Digesters!G31)</f>
        <v/>
      </c>
      <c r="L32" s="731" t="str">
        <f>IF([2]DIG!AM31,[2]DIG!AM31,"")</f>
        <v/>
      </c>
      <c r="M32" s="732">
        <f>IF([1]Digesters!I31="","",[1]Digesters!I31)</f>
        <v>518</v>
      </c>
      <c r="N32" s="732">
        <f>IF([1]Digesters!K31="","",[1]Digesters!K31)</f>
        <v>496</v>
      </c>
      <c r="O32" s="827">
        <f>IF([1]Digesters!M31="","",[1]Digesters!M31)</f>
        <v>513</v>
      </c>
      <c r="P32" s="825">
        <f t="shared" si="2"/>
        <v>245.88273644999998</v>
      </c>
      <c r="Q32" s="84"/>
      <c r="R32" s="64"/>
      <c r="S32" s="63"/>
      <c r="T32" s="63"/>
      <c r="U32" s="63"/>
      <c r="V32" s="63"/>
      <c r="W32" s="63"/>
      <c r="X32" s="63"/>
      <c r="Y32" s="63"/>
      <c r="Z32" s="63"/>
    </row>
    <row r="33" spans="1:26" ht="20.25" x14ac:dyDescent="0.3">
      <c r="A33" s="736">
        <v>29</v>
      </c>
      <c r="B33" s="820">
        <f>IF([1]Digesters!Z32="","",[1]Digesters!Z32/1000000)</f>
        <v>0.35641200000000001</v>
      </c>
      <c r="C33" s="714">
        <f t="shared" si="1"/>
        <v>51.572459988000006</v>
      </c>
      <c r="D33" s="816">
        <f>IF([2]PRI_SLG!B32="","",[2]PRI_SLG!B32)</f>
        <v>3.47</v>
      </c>
      <c r="E33" s="731">
        <f>IF([2]PRI_SLG!C32="","",[2]PRI_SLG!C32)</f>
        <v>3.02</v>
      </c>
      <c r="F33" s="730">
        <f>IF([2]PRI_SLG!D32="","",[2]PRI_SLG!D32)</f>
        <v>84.122562674094709</v>
      </c>
      <c r="G33" s="733">
        <f>[1]Digesters!C32</f>
        <v>711</v>
      </c>
      <c r="H33" s="822">
        <f>[2]DIG!AG32</f>
        <v>1.89</v>
      </c>
      <c r="I33" s="744">
        <f>IF([1]Digesters!C32="","",[1]Digesters!C32)</f>
        <v>711</v>
      </c>
      <c r="J33" s="730">
        <f>IF([1]Digesters!E32="","",[1]Digesters!E32)</f>
        <v>715</v>
      </c>
      <c r="K33" s="732" t="str">
        <f>IF([1]Digesters!G32=0,"",[1]Digesters!G32)</f>
        <v/>
      </c>
      <c r="L33" s="731">
        <f>IF([2]DIG!AM32,[2]DIG!AM32,"")</f>
        <v>2.36</v>
      </c>
      <c r="M33" s="732">
        <f>IF([1]Digesters!I32="","",[1]Digesters!I32)</f>
        <v>716</v>
      </c>
      <c r="N33" s="732">
        <f>IF([1]Digesters!K32="","",[1]Digesters!K32)</f>
        <v>693</v>
      </c>
      <c r="O33" s="827">
        <f>IF([1]Digesters!M32="","",[1]Digesters!M32)</f>
        <v>724</v>
      </c>
      <c r="P33" s="825">
        <f t="shared" si="2"/>
        <v>280.52743004999996</v>
      </c>
      <c r="Q33" s="84"/>
      <c r="R33" s="64"/>
      <c r="S33" s="63"/>
      <c r="T33" s="63"/>
      <c r="U33" s="63"/>
      <c r="V33" s="63"/>
      <c r="W33" s="63"/>
      <c r="X33" s="63"/>
      <c r="Y33" s="63"/>
      <c r="Z33" s="63"/>
    </row>
    <row r="34" spans="1:26" ht="20.25" x14ac:dyDescent="0.3">
      <c r="A34" s="736">
        <v>30</v>
      </c>
      <c r="B34" s="820">
        <f>IF([1]Digesters!Z33="","",[1]Digesters!Z33/1000000)</f>
        <v>0.29765200000000003</v>
      </c>
      <c r="C34" s="714">
        <f t="shared" ref="C34" si="3">IF(OR(B34="",ISERROR($D$40)),"",IF(OR(D34="",ISTEXT(D34)),$D$40*B34*0.0834,B34*(D34*10000)*8.34/2000))</f>
        <v>44.559397356000005</v>
      </c>
      <c r="D34" s="816">
        <f>IF([2]PRI_SLG!B33="","",[2]PRI_SLG!B33)</f>
        <v>3.59</v>
      </c>
      <c r="E34" s="731">
        <f>IF([2]PRI_SLG!C33="","",[2]PRI_SLG!C33)</f>
        <v>3.1</v>
      </c>
      <c r="F34" s="730">
        <f>IF([2]PRI_SLG!D33="","",[2]PRI_SLG!D33)</f>
        <v>75.980392156862735</v>
      </c>
      <c r="G34" s="733">
        <f>[1]Digesters!C33</f>
        <v>636</v>
      </c>
      <c r="H34" s="822">
        <f>[2]DIG!AG33</f>
        <v>0</v>
      </c>
      <c r="I34" s="744">
        <f>IF([1]Digesters!C33="","",[1]Digesters!C33)</f>
        <v>636</v>
      </c>
      <c r="J34" s="730">
        <f>IF([1]Digesters!E33="","",[1]Digesters!E33)</f>
        <v>636</v>
      </c>
      <c r="K34" s="732" t="str">
        <f>IF([1]Digesters!G33=0,"",[1]Digesters!G33)</f>
        <v/>
      </c>
      <c r="L34" s="731" t="str">
        <f>IF([2]DIG!AM33,[2]DIG!AM33,"")</f>
        <v/>
      </c>
      <c r="M34" s="732">
        <f>IF([1]Digesters!I33="","",[1]Digesters!I33)</f>
        <v>690</v>
      </c>
      <c r="N34" s="732">
        <f>IF([1]Digesters!K33="","",[1]Digesters!K33)</f>
        <v>533</v>
      </c>
      <c r="O34" s="827">
        <f>IF([1]Digesters!M33="","",[1]Digesters!M33)</f>
        <v>525</v>
      </c>
      <c r="P34" s="825">
        <f t="shared" ref="P34" si="4">IF(OR(B34="",D34="",E34="",ISTEXT(D34)=TRUE,ISTEXT(E34)=TRUE),"",(B34*8.34*(D34*10000)*(E34/D34))/(2393600/7.48/1000))</f>
        <v>240.48421275000001</v>
      </c>
      <c r="Q34" s="84"/>
      <c r="R34" s="64"/>
      <c r="S34" s="63"/>
      <c r="T34" s="63"/>
      <c r="U34" s="63"/>
      <c r="V34" s="63"/>
      <c r="W34" s="63"/>
      <c r="X34" s="63"/>
      <c r="Y34" s="63"/>
      <c r="Z34" s="63"/>
    </row>
    <row r="35" spans="1:26" ht="21" thickBot="1" x14ac:dyDescent="0.35">
      <c r="A35" s="736">
        <v>31</v>
      </c>
      <c r="B35" s="820">
        <f>IF([1]Digesters!Z34="","",[1]Digesters!Z34/1000000)</f>
        <v>0.302977</v>
      </c>
      <c r="C35" s="714">
        <f t="shared" ref="C35" si="5">IF(OR(B35="",ISERROR($D$40)),"",IF(OR(D35="",ISTEXT(D35)),$D$40*B35*0.0834,B35*(D35*10000)*8.34/2000))</f>
        <v>51.547294872000002</v>
      </c>
      <c r="D35" s="816">
        <f>IF([2]PRI_SLG!B34="","",[2]PRI_SLG!B34)</f>
        <v>4.08</v>
      </c>
      <c r="E35" s="731">
        <f>IF([2]PRI_SLG!C34="","",[2]PRI_SLG!C34)</f>
        <v>3.42</v>
      </c>
      <c r="F35" s="730">
        <f>IF([2]PRI_SLG!D34="","",[2]PRI_SLG!D34)</f>
        <v>83.82352941176471</v>
      </c>
      <c r="G35" s="733">
        <f>[1]Digesters!C34</f>
        <v>597</v>
      </c>
      <c r="H35" s="822">
        <f>[2]DIG!AG34</f>
        <v>0</v>
      </c>
      <c r="I35" s="744">
        <f>IF([1]Digesters!C34="","",[1]Digesters!C34)</f>
        <v>597</v>
      </c>
      <c r="J35" s="730">
        <f>IF([1]Digesters!E34="","",[1]Digesters!E34)</f>
        <v>607</v>
      </c>
      <c r="K35" s="732" t="str">
        <f>IF([1]Digesters!G34=0,"",[1]Digesters!G34)</f>
        <v/>
      </c>
      <c r="L35" s="731" t="str">
        <f>IF([2]DIG!AM34,[2]DIG!AM34,"")</f>
        <v/>
      </c>
      <c r="M35" s="732">
        <f>IF([1]Digesters!I34="","",[1]Digesters!I34)</f>
        <v>627</v>
      </c>
      <c r="N35" s="732">
        <f>IF([1]Digesters!K34="","",[1]Digesters!K34)</f>
        <v>643</v>
      </c>
      <c r="O35" s="827">
        <f>IF([1]Digesters!M34="","",[1]Digesters!M34)</f>
        <v>602</v>
      </c>
      <c r="P35" s="825">
        <f t="shared" ref="P35" si="6">IF(OR(B35="",D35="",E35="",ISTEXT(D35)=TRUE,ISTEXT(E35)=TRUE),"",(B35*8.34*(D35*10000)*(E35/D35))/(2393600/7.48/1000))</f>
        <v>270.05476173749997</v>
      </c>
      <c r="Q35" s="84"/>
      <c r="R35" s="64"/>
      <c r="S35" s="63"/>
      <c r="T35" s="63"/>
      <c r="U35" s="63"/>
      <c r="V35" s="63"/>
      <c r="W35" s="63"/>
      <c r="X35" s="63"/>
      <c r="Y35" s="63"/>
      <c r="Z35" s="63"/>
    </row>
    <row r="36" spans="1:26" ht="20.25" x14ac:dyDescent="0.3">
      <c r="A36" s="830" t="s">
        <v>539</v>
      </c>
      <c r="B36" s="836">
        <f>MAX(B5:B35)</f>
        <v>0.84490699999999996</v>
      </c>
      <c r="C36" s="814">
        <f>MAX(C5:C35)</f>
        <v>162.42238695899999</v>
      </c>
      <c r="D36" s="741">
        <f t="shared" ref="D36:J36" si="7">MAX(D5:D35)</f>
        <v>5.2</v>
      </c>
      <c r="E36" s="741">
        <f t="shared" si="7"/>
        <v>3.92</v>
      </c>
      <c r="F36" s="743">
        <f t="shared" si="7"/>
        <v>135.84229390681003</v>
      </c>
      <c r="G36" s="833">
        <f t="shared" si="7"/>
        <v>7022</v>
      </c>
      <c r="H36" s="741">
        <f t="shared" si="7"/>
        <v>2.16</v>
      </c>
      <c r="I36" s="740">
        <f t="shared" si="7"/>
        <v>7022</v>
      </c>
      <c r="J36" s="740">
        <f t="shared" si="7"/>
        <v>1118</v>
      </c>
      <c r="K36" s="740">
        <f t="shared" ref="K36:P36" si="8">MAX(K5:K35)</f>
        <v>0</v>
      </c>
      <c r="L36" s="741">
        <f t="shared" si="8"/>
        <v>2.5099999999999998</v>
      </c>
      <c r="M36" s="740">
        <f t="shared" si="8"/>
        <v>1175</v>
      </c>
      <c r="N36" s="740">
        <f t="shared" si="8"/>
        <v>1140</v>
      </c>
      <c r="O36" s="756">
        <f t="shared" si="8"/>
        <v>1123</v>
      </c>
      <c r="P36" s="839">
        <f t="shared" si="8"/>
        <v>640.79331080625002</v>
      </c>
      <c r="Q36" s="84"/>
      <c r="R36" s="64"/>
      <c r="S36" s="63"/>
      <c r="T36" s="63"/>
      <c r="U36" s="63"/>
      <c r="V36" s="63"/>
      <c r="W36" s="63"/>
      <c r="X36" s="63"/>
      <c r="Y36" s="63"/>
      <c r="Z36" s="63"/>
    </row>
    <row r="37" spans="1:26" ht="20.25" x14ac:dyDescent="0.3">
      <c r="A37" s="831" t="s">
        <v>590</v>
      </c>
      <c r="B37" s="837">
        <f>MIN(B5:B35)</f>
        <v>0.246529</v>
      </c>
      <c r="C37" s="701">
        <f>MIN(C5:C35)</f>
        <v>38.701594026000002</v>
      </c>
      <c r="D37" s="731">
        <f t="shared" ref="D37:J37" si="9">MIN(D5:D35)</f>
        <v>2.29</v>
      </c>
      <c r="E37" s="731">
        <f t="shared" si="9"/>
        <v>2</v>
      </c>
      <c r="F37" s="745">
        <f t="shared" si="9"/>
        <v>43.653846153846153</v>
      </c>
      <c r="G37" s="834">
        <f t="shared" si="9"/>
        <v>470</v>
      </c>
      <c r="H37" s="731">
        <f t="shared" si="9"/>
        <v>0</v>
      </c>
      <c r="I37" s="730">
        <f t="shared" si="9"/>
        <v>470</v>
      </c>
      <c r="J37" s="730">
        <f t="shared" si="9"/>
        <v>447</v>
      </c>
      <c r="K37" s="730">
        <f t="shared" ref="K37:P37" si="10">MIN(K5:K35)</f>
        <v>0</v>
      </c>
      <c r="L37" s="731">
        <f t="shared" si="10"/>
        <v>2.36</v>
      </c>
      <c r="M37" s="730">
        <f t="shared" si="10"/>
        <v>508</v>
      </c>
      <c r="N37" s="730">
        <f t="shared" si="10"/>
        <v>496</v>
      </c>
      <c r="O37" s="757">
        <f t="shared" si="10"/>
        <v>479</v>
      </c>
      <c r="P37" s="840">
        <f t="shared" si="10"/>
        <v>192.27031569375001</v>
      </c>
      <c r="Q37" s="84"/>
      <c r="R37" s="64"/>
      <c r="S37" s="63"/>
      <c r="T37" s="63"/>
      <c r="U37" s="63"/>
      <c r="V37" s="63"/>
      <c r="W37" s="63"/>
      <c r="X37" s="63"/>
      <c r="Y37" s="63"/>
      <c r="Z37" s="63"/>
    </row>
    <row r="38" spans="1:26" ht="20.25" hidden="1" x14ac:dyDescent="0.3">
      <c r="A38" s="831" t="s">
        <v>591</v>
      </c>
      <c r="B38" s="837">
        <f>STDEV(B5:B35)</f>
        <v>0.1134566464122391</v>
      </c>
      <c r="C38" s="701">
        <f>STDEV(C5:C35)</f>
        <v>25.247448913512184</v>
      </c>
      <c r="D38" s="731">
        <f t="shared" ref="D38:J38" si="11">STDEV(D5:D35)</f>
        <v>0.61243599621704636</v>
      </c>
      <c r="E38" s="731">
        <f t="shared" si="11"/>
        <v>0.46072196733257059</v>
      </c>
      <c r="F38" s="745">
        <f t="shared" si="11"/>
        <v>18.36646494570083</v>
      </c>
      <c r="G38" s="834">
        <f t="shared" si="11"/>
        <v>1148.9071899778482</v>
      </c>
      <c r="H38" s="731">
        <f t="shared" si="11"/>
        <v>0.76487443624807239</v>
      </c>
      <c r="I38" s="730">
        <f t="shared" si="11"/>
        <v>1148.9071899778482</v>
      </c>
      <c r="J38" s="730">
        <f t="shared" si="11"/>
        <v>158.29557897357913</v>
      </c>
      <c r="K38" s="730" t="e">
        <f>STDEV(K5:K35)</f>
        <v>#DIV/0!</v>
      </c>
      <c r="L38" s="733">
        <f>STDEV(L6:L35)</f>
        <v>5.619905100029135E-2</v>
      </c>
      <c r="M38" s="730">
        <f>STDEV(M5:M35)</f>
        <v>163.87530008666542</v>
      </c>
      <c r="N38" s="730">
        <f>STDEV(N5:N35)</f>
        <v>159.89854982631684</v>
      </c>
      <c r="O38" s="757">
        <f>STDEV(O5:O35)</f>
        <v>158.46551132524044</v>
      </c>
      <c r="P38" s="840">
        <f>STDEV(P5:P35)</f>
        <v>97.38908191888622</v>
      </c>
      <c r="Q38" s="84"/>
      <c r="R38" s="64"/>
      <c r="S38" s="63"/>
      <c r="T38" s="63"/>
      <c r="U38" s="63"/>
      <c r="V38" s="63"/>
      <c r="W38" s="63"/>
      <c r="X38" s="63"/>
      <c r="Y38" s="63"/>
      <c r="Z38" s="63"/>
    </row>
    <row r="39" spans="1:26" ht="20.25" x14ac:dyDescent="0.3">
      <c r="A39" s="831" t="s">
        <v>592</v>
      </c>
      <c r="B39" s="837">
        <f>SUM(B5:B35)</f>
        <v>11.055014999999997</v>
      </c>
      <c r="C39" s="828">
        <f>SUM(C5:C35)</f>
        <v>1819.4558803500001</v>
      </c>
      <c r="D39" s="731"/>
      <c r="E39" s="731"/>
      <c r="F39" s="745"/>
      <c r="G39" s="738">
        <f>SUM(G5:G35)</f>
        <v>27536</v>
      </c>
      <c r="H39" s="731"/>
      <c r="I39" s="730">
        <f>SUM(I5:I35)</f>
        <v>27536</v>
      </c>
      <c r="J39" s="781">
        <f>SUM(J5:J35)</f>
        <v>21573</v>
      </c>
      <c r="K39" s="730">
        <f>SUM(K5:K35)</f>
        <v>0</v>
      </c>
      <c r="L39" s="731"/>
      <c r="M39" s="730">
        <f>SUM(M5:M35)</f>
        <v>22141</v>
      </c>
      <c r="N39" s="730">
        <f>SUM(N5:N35)</f>
        <v>21412</v>
      </c>
      <c r="O39" s="757">
        <f>SUM(O5:O35)</f>
        <v>21470</v>
      </c>
      <c r="P39" s="840"/>
      <c r="Q39" s="84"/>
      <c r="R39" s="64"/>
      <c r="S39" s="63"/>
      <c r="T39" s="63"/>
      <c r="U39" s="63"/>
      <c r="V39" s="63"/>
      <c r="W39" s="63"/>
      <c r="X39" s="63"/>
      <c r="Y39" s="63"/>
      <c r="Z39" s="63"/>
    </row>
    <row r="40" spans="1:26" ht="21" thickBot="1" x14ac:dyDescent="0.35">
      <c r="A40" s="832" t="s">
        <v>538</v>
      </c>
      <c r="B40" s="838">
        <f>AVERAGE(B5:B35)</f>
        <v>0.35661338709677409</v>
      </c>
      <c r="C40" s="710">
        <f>AVERAGE(C5:C35)</f>
        <v>58.692125172580653</v>
      </c>
      <c r="D40" s="804">
        <f t="shared" ref="D40:I40" si="12">AVERAGE(D5:D35)</f>
        <v>3.9038709677419363</v>
      </c>
      <c r="E40" s="804">
        <f t="shared" si="12"/>
        <v>3.1622580645161289</v>
      </c>
      <c r="F40" s="750">
        <f t="shared" si="12"/>
        <v>82.876729262061573</v>
      </c>
      <c r="G40" s="835">
        <f t="shared" si="12"/>
        <v>888.25806451612902</v>
      </c>
      <c r="H40" s="804">
        <f t="shared" si="12"/>
        <v>0.32935483870967747</v>
      </c>
      <c r="I40" s="747">
        <f t="shared" si="12"/>
        <v>888.25806451612902</v>
      </c>
      <c r="J40" s="747">
        <f>AVERAGE(J5:J35)</f>
        <v>695.90322580645159</v>
      </c>
      <c r="K40" s="829" t="str">
        <f>IF(ISERROR(AVERAGE(K5:K35)),"",AVERAGE(K5:K35))</f>
        <v/>
      </c>
      <c r="L40" s="804">
        <f>AVERAGE(L5:L35)</f>
        <v>2.4279999999999999</v>
      </c>
      <c r="M40" s="747">
        <f>AVERAGE(M5:M35)</f>
        <v>714.22580645161293</v>
      </c>
      <c r="N40" s="747">
        <f>AVERAGE(N5:N35)</f>
        <v>690.70967741935488</v>
      </c>
      <c r="O40" s="758">
        <f>AVERAGE(O5:O35)</f>
        <v>692.58064516129036</v>
      </c>
      <c r="P40" s="841">
        <f>AVERAGE(P5:P35)</f>
        <v>292.1073113818548</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4"/>
      <c r="C42" s="272"/>
    </row>
    <row r="43" spans="1:26" x14ac:dyDescent="0.2">
      <c r="A43" s="94"/>
    </row>
  </sheetData>
  <mergeCells count="1">
    <mergeCell ref="A1:R1"/>
  </mergeCells>
  <phoneticPr fontId="0" type="noConversion"/>
  <printOptions horizontalCentered="1" verticalCentered="1"/>
  <pageMargins left="0.25" right="0.25" top="0.25" bottom="0.25" header="0.25" footer="0.25"/>
  <pageSetup paperSize="3" scale="97"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55" zoomScaleNormal="55" workbookViewId="0">
      <selection activeCell="E29" sqref="E29"/>
    </sheetView>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91" t="s">
        <v>550</v>
      </c>
      <c r="B2" s="1658" t="s">
        <v>435</v>
      </c>
      <c r="C2" s="1658"/>
      <c r="D2" s="1657" t="s">
        <v>437</v>
      </c>
      <c r="E2" s="1657"/>
      <c r="F2" s="1657" t="s">
        <v>635</v>
      </c>
      <c r="G2" s="1657"/>
      <c r="H2" s="1657" t="s">
        <v>636</v>
      </c>
      <c r="I2" s="1657"/>
      <c r="J2" s="1657" t="s">
        <v>637</v>
      </c>
      <c r="K2" s="1657"/>
      <c r="L2" s="1657" t="s">
        <v>638</v>
      </c>
      <c r="M2" s="1657"/>
      <c r="N2" s="1657" t="s">
        <v>561</v>
      </c>
      <c r="O2" s="1657"/>
      <c r="P2" s="1657" t="s">
        <v>562</v>
      </c>
      <c r="Q2" s="1657"/>
    </row>
    <row r="3" spans="1:17" ht="20.25" customHeight="1" x14ac:dyDescent="0.3">
      <c r="A3" s="855">
        <f>IF(date!B6="","",date!B6)</f>
        <v>43466</v>
      </c>
      <c r="B3" s="313" t="s">
        <v>314</v>
      </c>
      <c r="C3" s="312" t="s">
        <v>436</v>
      </c>
      <c r="D3" s="313" t="s">
        <v>314</v>
      </c>
      <c r="E3" s="312" t="s">
        <v>436</v>
      </c>
      <c r="F3" s="313" t="s">
        <v>314</v>
      </c>
      <c r="G3" s="312" t="s">
        <v>436</v>
      </c>
      <c r="H3" s="313" t="s">
        <v>314</v>
      </c>
      <c r="I3" s="312" t="s">
        <v>436</v>
      </c>
      <c r="J3" s="313" t="s">
        <v>314</v>
      </c>
      <c r="K3" s="312" t="s">
        <v>436</v>
      </c>
      <c r="L3" s="313" t="s">
        <v>314</v>
      </c>
      <c r="M3" s="312" t="s">
        <v>436</v>
      </c>
      <c r="N3" s="313" t="s">
        <v>314</v>
      </c>
      <c r="O3" s="312" t="s">
        <v>436</v>
      </c>
      <c r="P3" s="375" t="s">
        <v>314</v>
      </c>
      <c r="Q3" s="312" t="s">
        <v>436</v>
      </c>
    </row>
    <row r="4" spans="1:17" ht="20.25" customHeight="1" thickBot="1" x14ac:dyDescent="0.35">
      <c r="A4" s="794">
        <f>IF(date!B6="","",date!B6)</f>
        <v>43466</v>
      </c>
      <c r="B4" s="405" t="s">
        <v>22</v>
      </c>
      <c r="C4" s="406" t="s">
        <v>22</v>
      </c>
      <c r="D4" s="405" t="s">
        <v>22</v>
      </c>
      <c r="E4" s="406" t="s">
        <v>22</v>
      </c>
      <c r="F4" s="405" t="s">
        <v>22</v>
      </c>
      <c r="G4" s="406" t="s">
        <v>22</v>
      </c>
      <c r="H4" s="405" t="s">
        <v>22</v>
      </c>
      <c r="I4" s="406" t="s">
        <v>22</v>
      </c>
      <c r="J4" s="405" t="s">
        <v>22</v>
      </c>
      <c r="K4" s="406" t="s">
        <v>22</v>
      </c>
      <c r="L4" s="405" t="s">
        <v>22</v>
      </c>
      <c r="M4" s="406" t="s">
        <v>22</v>
      </c>
      <c r="N4" s="405" t="s">
        <v>22</v>
      </c>
      <c r="O4" s="406" t="s">
        <v>22</v>
      </c>
      <c r="P4" s="407" t="s">
        <v>22</v>
      </c>
      <c r="Q4" s="406" t="s">
        <v>22</v>
      </c>
    </row>
    <row r="5" spans="1:17" ht="20.25" customHeight="1" x14ac:dyDescent="0.3">
      <c r="A5" s="735">
        <v>1</v>
      </c>
      <c r="B5" s="815">
        <f>IF([2]DIG!AA4="","",[2]DIG!AA4)</f>
        <v>2.12</v>
      </c>
      <c r="C5" s="821">
        <f>IF([2]DIG!AB4="","",[2]DIG!AB4)</f>
        <v>1.02</v>
      </c>
      <c r="D5" s="852">
        <f>IF([2]DIG!AD4="","",[2]DIG!AD4)</f>
        <v>1.78</v>
      </c>
      <c r="E5" s="762">
        <f>IF([2]DIG!AE4="","",[2]DIG!AE4)</f>
        <v>0.97</v>
      </c>
      <c r="F5" s="815">
        <f>IF([2]DIG!AG4="","",[2]DIG!AG4)</f>
        <v>2.1</v>
      </c>
      <c r="G5" s="821">
        <f>IF([2]DIG!AH4="","",[2]DIG!AH4)</f>
        <v>1.1200000000000001</v>
      </c>
      <c r="H5" s="852">
        <f>IF([2]DIG!AJ4="","",[2]DIG!AJ4)</f>
        <v>2.15</v>
      </c>
      <c r="I5" s="762">
        <f>IF([2]DIG!AK4="","",[2]DIG!AK4)</f>
        <v>1.1100000000000001</v>
      </c>
      <c r="J5" s="815">
        <f>IF([2]DIG!AM4="","",[2]DIG!AM4)</f>
        <v>2.5099999999999998</v>
      </c>
      <c r="K5" s="821">
        <f>IF([2]DIG!AN4="","",[2]DIG!AN4)</f>
        <v>1.55</v>
      </c>
      <c r="L5" s="852">
        <f>IF([2]DIG!AP4="","",[2]DIG!AP4)</f>
        <v>2.16</v>
      </c>
      <c r="M5" s="762">
        <f>IF([2]DIG!AQ4="","",[2]DIG!AQ4)</f>
        <v>1.1599999999999999</v>
      </c>
      <c r="N5" s="815">
        <f>IF([2]DIG!AS4="","",[2]DIG!AS4)</f>
        <v>2.08</v>
      </c>
      <c r="O5" s="821">
        <f>IF([2]DIG!AT4="","",[2]DIG!AT4)</f>
        <v>1.1299999999999999</v>
      </c>
      <c r="P5" s="852">
        <f>IF([2]DIG!AV4="","",[2]DIG!AV4)</f>
        <v>2.06</v>
      </c>
      <c r="Q5" s="762">
        <f>IF([2]DIG!AW4="","",[2]DIG!AW4)</f>
        <v>1.1299999999999999</v>
      </c>
    </row>
    <row r="6" spans="1:17" ht="20.25" customHeight="1" x14ac:dyDescent="0.3">
      <c r="A6" s="736">
        <v>2</v>
      </c>
      <c r="B6" s="816" t="str">
        <f>IF([2]DIG!AA5="","",[2]DIG!AA5)</f>
        <v/>
      </c>
      <c r="C6" s="822" t="str">
        <f>IF([2]DIG!AB5="","",[2]DIG!AB5)</f>
        <v/>
      </c>
      <c r="D6" s="853" t="str">
        <f>IF([2]DIG!AD5="","",[2]DIG!AD5)</f>
        <v/>
      </c>
      <c r="E6" s="763" t="str">
        <f>IF([2]DIG!AE5="","",[2]DIG!AE5)</f>
        <v/>
      </c>
      <c r="F6" s="816" t="str">
        <f>IF([2]DIG!AG5="","",[2]DIG!AG5)</f>
        <v/>
      </c>
      <c r="G6" s="822" t="str">
        <f>IF([2]DIG!AH5="","",[2]DIG!AH5)</f>
        <v/>
      </c>
      <c r="H6" s="853" t="str">
        <f>IF([2]DIG!AJ5="","",[2]DIG!AJ5)</f>
        <v/>
      </c>
      <c r="I6" s="763" t="str">
        <f>IF([2]DIG!AK5="","",[2]DIG!AK5)</f>
        <v/>
      </c>
      <c r="J6" s="816" t="str">
        <f>IF([2]DIG!AM5="","",[2]DIG!AM5)</f>
        <v/>
      </c>
      <c r="K6" s="822" t="str">
        <f>IF([2]DIG!AN5="","",[2]DIG!AN5)</f>
        <v/>
      </c>
      <c r="L6" s="853" t="str">
        <f>IF([2]DIG!AP5="","",[2]DIG!AP5)</f>
        <v/>
      </c>
      <c r="M6" s="763" t="str">
        <f>IF([2]DIG!AQ5="","",[2]DIG!AQ5)</f>
        <v/>
      </c>
      <c r="N6" s="816" t="str">
        <f>IF([2]DIG!AS5="","",[2]DIG!AS5)</f>
        <v/>
      </c>
      <c r="O6" s="822" t="str">
        <f>IF([2]DIG!AT5="","",[2]DIG!AT5)</f>
        <v/>
      </c>
      <c r="P6" s="853" t="str">
        <f>IF([2]DIG!AV5="","",[2]DIG!AV5)</f>
        <v/>
      </c>
      <c r="Q6" s="763" t="str">
        <f>IF([2]DIG!AW5="","",[2]DIG!AW5)</f>
        <v/>
      </c>
    </row>
    <row r="7" spans="1:17" ht="20.25" customHeight="1" x14ac:dyDescent="0.3">
      <c r="A7" s="736">
        <v>3</v>
      </c>
      <c r="B7" s="816" t="str">
        <f>IF([2]DIG!AA6="","",[2]DIG!AA6)</f>
        <v/>
      </c>
      <c r="C7" s="822" t="str">
        <f>IF([2]DIG!AB6="","",[2]DIG!AB6)</f>
        <v/>
      </c>
      <c r="D7" s="853" t="str">
        <f>IF([2]DIG!AD6="","",[2]DIG!AD6)</f>
        <v/>
      </c>
      <c r="E7" s="763" t="str">
        <f>IF([2]DIG!AE6="","",[2]DIG!AE6)</f>
        <v/>
      </c>
      <c r="F7" s="816" t="str">
        <f>IF([2]DIG!AG6="","",[2]DIG!AG6)</f>
        <v/>
      </c>
      <c r="G7" s="822" t="str">
        <f>IF([2]DIG!AH6="","",[2]DIG!AH6)</f>
        <v/>
      </c>
      <c r="H7" s="853" t="str">
        <f>IF([2]DIG!AJ6="","",[2]DIG!AJ6)</f>
        <v/>
      </c>
      <c r="I7" s="763" t="str">
        <f>IF([2]DIG!AK6="","",[2]DIG!AK6)</f>
        <v/>
      </c>
      <c r="J7" s="816" t="str">
        <f>IF([2]DIG!AM6="","",[2]DIG!AM6)</f>
        <v/>
      </c>
      <c r="K7" s="822" t="str">
        <f>IF([2]DIG!AN6="","",[2]DIG!AN6)</f>
        <v/>
      </c>
      <c r="L7" s="853" t="str">
        <f>IF([2]DIG!AP6="","",[2]DIG!AP6)</f>
        <v/>
      </c>
      <c r="M7" s="763" t="str">
        <f>IF([2]DIG!AQ6="","",[2]DIG!AQ6)</f>
        <v/>
      </c>
      <c r="N7" s="816" t="str">
        <f>IF([2]DIG!AS6="","",[2]DIG!AS6)</f>
        <v/>
      </c>
      <c r="O7" s="822" t="str">
        <f>IF([2]DIG!AT6="","",[2]DIG!AT6)</f>
        <v/>
      </c>
      <c r="P7" s="853" t="str">
        <f>IF([2]DIG!AV6="","",[2]DIG!AV6)</f>
        <v/>
      </c>
      <c r="Q7" s="763" t="str">
        <f>IF([2]DIG!AW6="","",[2]DIG!AW6)</f>
        <v/>
      </c>
    </row>
    <row r="8" spans="1:17" ht="20.25" customHeight="1" x14ac:dyDescent="0.3">
      <c r="A8" s="736">
        <v>4</v>
      </c>
      <c r="B8" s="816" t="str">
        <f>IF([2]DIG!AA7="","",[2]DIG!AA7)</f>
        <v/>
      </c>
      <c r="C8" s="822" t="str">
        <f>IF([2]DIG!AB7="","",[2]DIG!AB7)</f>
        <v/>
      </c>
      <c r="D8" s="853" t="str">
        <f>IF([2]DIG!AD7="","",[2]DIG!AD7)</f>
        <v/>
      </c>
      <c r="E8" s="763" t="str">
        <f>IF([2]DIG!AE7="","",[2]DIG!AE7)</f>
        <v/>
      </c>
      <c r="F8" s="816" t="str">
        <f>IF([2]DIG!AG7="","",[2]DIG!AG7)</f>
        <v/>
      </c>
      <c r="G8" s="822" t="str">
        <f>IF([2]DIG!AH7="","",[2]DIG!AH7)</f>
        <v/>
      </c>
      <c r="H8" s="853" t="str">
        <f>IF([2]DIG!AJ7="","",[2]DIG!AJ7)</f>
        <v/>
      </c>
      <c r="I8" s="763" t="str">
        <f>IF([2]DIG!AK7="","",[2]DIG!AK7)</f>
        <v/>
      </c>
      <c r="J8" s="816" t="str">
        <f>IF([2]DIG!AM7="","",[2]DIG!AM7)</f>
        <v/>
      </c>
      <c r="K8" s="822" t="str">
        <f>IF([2]DIG!AN7="","",[2]DIG!AN7)</f>
        <v/>
      </c>
      <c r="L8" s="853" t="str">
        <f>IF([2]DIG!AP7="","",[2]DIG!AP7)</f>
        <v/>
      </c>
      <c r="M8" s="763" t="str">
        <f>IF([2]DIG!AQ7="","",[2]DIG!AQ7)</f>
        <v/>
      </c>
      <c r="N8" s="816" t="str">
        <f>IF([2]DIG!AS7="","",[2]DIG!AS7)</f>
        <v/>
      </c>
      <c r="O8" s="822" t="str">
        <f>IF([2]DIG!AT7="","",[2]DIG!AT7)</f>
        <v/>
      </c>
      <c r="P8" s="853" t="str">
        <f>IF([2]DIG!AV7="","",[2]DIG!AV7)</f>
        <v/>
      </c>
      <c r="Q8" s="763" t="str">
        <f>IF([2]DIG!AW7="","",[2]DIG!AW7)</f>
        <v/>
      </c>
    </row>
    <row r="9" spans="1:17" ht="20.25" customHeight="1" x14ac:dyDescent="0.3">
      <c r="A9" s="736">
        <v>5</v>
      </c>
      <c r="B9" s="816" t="str">
        <f>IF([2]DIG!AA8="","",[2]DIG!AA8)</f>
        <v/>
      </c>
      <c r="C9" s="822" t="str">
        <f>IF([2]DIG!AB8="","",[2]DIG!AB8)</f>
        <v/>
      </c>
      <c r="D9" s="853" t="str">
        <f>IF([2]DIG!AD8="","",[2]DIG!AD8)</f>
        <v/>
      </c>
      <c r="E9" s="763" t="str">
        <f>IF([2]DIG!AE8="","",[2]DIG!AE8)</f>
        <v/>
      </c>
      <c r="F9" s="816" t="str">
        <f>IF([2]DIG!AG8="","",[2]DIG!AG8)</f>
        <v/>
      </c>
      <c r="G9" s="822" t="str">
        <f>IF([2]DIG!AH8="","",[2]DIG!AH8)</f>
        <v/>
      </c>
      <c r="H9" s="853" t="str">
        <f>IF([2]DIG!AJ8="","",[2]DIG!AJ8)</f>
        <v/>
      </c>
      <c r="I9" s="763" t="str">
        <f>IF([2]DIG!AK8="","",[2]DIG!AK8)</f>
        <v/>
      </c>
      <c r="J9" s="816" t="str">
        <f>IF([2]DIG!AM8="","",[2]DIG!AM8)</f>
        <v/>
      </c>
      <c r="K9" s="822" t="str">
        <f>IF([2]DIG!AN8="","",[2]DIG!AN8)</f>
        <v/>
      </c>
      <c r="L9" s="853" t="str">
        <f>IF([2]DIG!AP8="","",[2]DIG!AP8)</f>
        <v/>
      </c>
      <c r="M9" s="763" t="str">
        <f>IF([2]DIG!AQ8="","",[2]DIG!AQ8)</f>
        <v/>
      </c>
      <c r="N9" s="816" t="str">
        <f>IF([2]DIG!AS8="","",[2]DIG!AS8)</f>
        <v/>
      </c>
      <c r="O9" s="822" t="str">
        <f>IF([2]DIG!AT8="","",[2]DIG!AT8)</f>
        <v/>
      </c>
      <c r="P9" s="853" t="str">
        <f>IF([2]DIG!AV8="","",[2]DIG!AV8)</f>
        <v/>
      </c>
      <c r="Q9" s="763" t="str">
        <f>IF([2]DIG!AW8="","",[2]DIG!AW8)</f>
        <v/>
      </c>
    </row>
    <row r="10" spans="1:17" ht="20.25" customHeight="1" x14ac:dyDescent="0.3">
      <c r="A10" s="736">
        <v>6</v>
      </c>
      <c r="B10" s="816" t="str">
        <f>IF([2]DIG!AA9="","",[2]DIG!AA9)</f>
        <v/>
      </c>
      <c r="C10" s="822" t="str">
        <f>IF([2]DIG!AB9="","",[2]DIG!AB9)</f>
        <v/>
      </c>
      <c r="D10" s="853" t="str">
        <f>IF([2]DIG!AD9="","",[2]DIG!AD9)</f>
        <v/>
      </c>
      <c r="E10" s="763" t="str">
        <f>IF([2]DIG!AE9="","",[2]DIG!AE9)</f>
        <v/>
      </c>
      <c r="F10" s="816" t="str">
        <f>IF([2]DIG!AG9="","",[2]DIG!AG9)</f>
        <v/>
      </c>
      <c r="G10" s="822" t="str">
        <f>IF([2]DIG!AH9="","",[2]DIG!AH9)</f>
        <v/>
      </c>
      <c r="H10" s="853" t="str">
        <f>IF([2]DIG!AJ9="","",[2]DIG!AJ9)</f>
        <v/>
      </c>
      <c r="I10" s="763" t="str">
        <f>IF([2]DIG!AK9="","",[2]DIG!AK9)</f>
        <v/>
      </c>
      <c r="J10" s="816" t="str">
        <f>IF([2]DIG!AM9="","",[2]DIG!AM9)</f>
        <v/>
      </c>
      <c r="K10" s="822" t="str">
        <f>IF([2]DIG!AN9="","",[2]DIG!AN9)</f>
        <v/>
      </c>
      <c r="L10" s="853" t="str">
        <f>IF([2]DIG!AP9="","",[2]DIG!AP9)</f>
        <v/>
      </c>
      <c r="M10" s="763" t="str">
        <f>IF([2]DIG!AQ9="","",[2]DIG!AQ9)</f>
        <v/>
      </c>
      <c r="N10" s="816" t="str">
        <f>IF([2]DIG!AS9="","",[2]DIG!AS9)</f>
        <v/>
      </c>
      <c r="O10" s="822" t="str">
        <f>IF([2]DIG!AT9="","",[2]DIG!AT9)</f>
        <v/>
      </c>
      <c r="P10" s="853" t="str">
        <f>IF([2]DIG!AV9="","",[2]DIG!AV9)</f>
        <v/>
      </c>
      <c r="Q10" s="763" t="str">
        <f>IF([2]DIG!AW9="","",[2]DIG!AW9)</f>
        <v/>
      </c>
    </row>
    <row r="11" spans="1:17" ht="20.25" customHeight="1" x14ac:dyDescent="0.3">
      <c r="A11" s="736">
        <v>7</v>
      </c>
      <c r="B11" s="816" t="str">
        <f>IF([2]DIG!AA10="","",[2]DIG!AA10)</f>
        <v/>
      </c>
      <c r="C11" s="822" t="str">
        <f>IF([2]DIG!AB10="","",[2]DIG!AB10)</f>
        <v/>
      </c>
      <c r="D11" s="853" t="str">
        <f>IF([2]DIG!AD10="","",[2]DIG!AD10)</f>
        <v/>
      </c>
      <c r="E11" s="763" t="str">
        <f>IF([2]DIG!AE10="","",[2]DIG!AE10)</f>
        <v/>
      </c>
      <c r="F11" s="816" t="str">
        <f>IF([2]DIG!AG10="","",[2]DIG!AG10)</f>
        <v/>
      </c>
      <c r="G11" s="822" t="str">
        <f>IF([2]DIG!AH10="","",[2]DIG!AH10)</f>
        <v/>
      </c>
      <c r="H11" s="853" t="str">
        <f>IF([2]DIG!AJ10="","",[2]DIG!AJ10)</f>
        <v/>
      </c>
      <c r="I11" s="763" t="str">
        <f>IF([2]DIG!AK10="","",[2]DIG!AK10)</f>
        <v/>
      </c>
      <c r="J11" s="816" t="str">
        <f>IF([2]DIG!AM10="","",[2]DIG!AM10)</f>
        <v/>
      </c>
      <c r="K11" s="822" t="str">
        <f>IF([2]DIG!AN10="","",[2]DIG!AN10)</f>
        <v/>
      </c>
      <c r="L11" s="853" t="str">
        <f>IF([2]DIG!AP10="","",[2]DIG!AP10)</f>
        <v/>
      </c>
      <c r="M11" s="763" t="str">
        <f>IF([2]DIG!AQ10="","",[2]DIG!AQ10)</f>
        <v/>
      </c>
      <c r="N11" s="816" t="str">
        <f>IF([2]DIG!AS10="","",[2]DIG!AS10)</f>
        <v/>
      </c>
      <c r="O11" s="822" t="str">
        <f>IF([2]DIG!AT10="","",[2]DIG!AT10)</f>
        <v/>
      </c>
      <c r="P11" s="853" t="str">
        <f>IF([2]DIG!AV10="","",[2]DIG!AV10)</f>
        <v/>
      </c>
      <c r="Q11" s="763" t="str">
        <f>IF([2]DIG!AW10="","",[2]DIG!AW10)</f>
        <v/>
      </c>
    </row>
    <row r="12" spans="1:17" ht="20.25" customHeight="1" x14ac:dyDescent="0.3">
      <c r="A12" s="736">
        <v>8</v>
      </c>
      <c r="B12" s="816">
        <f>IF([2]DIG!AA11="","",[2]DIG!AA11)</f>
        <v>1.89</v>
      </c>
      <c r="C12" s="822">
        <f>IF([2]DIG!AB11="","",[2]DIG!AB11)</f>
        <v>0.95</v>
      </c>
      <c r="D12" s="853">
        <f>IF([2]DIG!AD11="","",[2]DIG!AD11)</f>
        <v>1.72</v>
      </c>
      <c r="E12" s="763">
        <f>IF([2]DIG!AE11="","",[2]DIG!AE11)</f>
        <v>0.96</v>
      </c>
      <c r="F12" s="816">
        <f>IF([2]DIG!AG11="","",[2]DIG!AG11)</f>
        <v>2.16</v>
      </c>
      <c r="G12" s="822">
        <f>IF([2]DIG!AH11="","",[2]DIG!AH11)</f>
        <v>1.1000000000000001</v>
      </c>
      <c r="H12" s="853">
        <f>IF([2]DIG!AJ11="","",[2]DIG!AJ11)</f>
        <v>2</v>
      </c>
      <c r="I12" s="763">
        <f>IF([2]DIG!AK11="","",[2]DIG!AK11)</f>
        <v>1.06</v>
      </c>
      <c r="J12" s="816">
        <f>IF([2]DIG!AM11="","",[2]DIG!AM11)</f>
        <v>2.4700000000000002</v>
      </c>
      <c r="K12" s="822">
        <f>IF([2]DIG!AN11="","",[2]DIG!AN11)</f>
        <v>1.5</v>
      </c>
      <c r="L12" s="853">
        <f>IF([2]DIG!AP11="","",[2]DIG!AP11)</f>
        <v>2.12</v>
      </c>
      <c r="M12" s="763">
        <f>IF([2]DIG!AQ11="","",[2]DIG!AQ11)</f>
        <v>1.1299999999999999</v>
      </c>
      <c r="N12" s="816">
        <f>IF([2]DIG!AS11="","",[2]DIG!AS11)</f>
        <v>2.0699999999999998</v>
      </c>
      <c r="O12" s="822">
        <f>IF([2]DIG!AT11="","",[2]DIG!AT11)</f>
        <v>1.1000000000000001</v>
      </c>
      <c r="P12" s="853">
        <f>IF([2]DIG!AV11="","",[2]DIG!AV11)</f>
        <v>2.06</v>
      </c>
      <c r="Q12" s="763">
        <f>IF([2]DIG!AW11="","",[2]DIG!AW11)</f>
        <v>1.1200000000000001</v>
      </c>
    </row>
    <row r="13" spans="1:17" ht="20.25" customHeight="1" x14ac:dyDescent="0.3">
      <c r="A13" s="736">
        <v>9</v>
      </c>
      <c r="B13" s="816" t="str">
        <f>IF([2]DIG!AA12="","",[2]DIG!AA12)</f>
        <v/>
      </c>
      <c r="C13" s="822" t="str">
        <f>IF([2]DIG!AB12="","",[2]DIG!AB12)</f>
        <v/>
      </c>
      <c r="D13" s="853" t="str">
        <f>IF([2]DIG!AD12="","",[2]DIG!AD12)</f>
        <v/>
      </c>
      <c r="E13" s="763" t="str">
        <f>IF([2]DIG!AE12="","",[2]DIG!AE12)</f>
        <v/>
      </c>
      <c r="F13" s="816" t="str">
        <f>IF([2]DIG!AG12="","",[2]DIG!AG12)</f>
        <v/>
      </c>
      <c r="G13" s="822" t="str">
        <f>IF([2]DIG!AH12="","",[2]DIG!AH12)</f>
        <v/>
      </c>
      <c r="H13" s="853" t="str">
        <f>IF([2]DIG!AJ12="","",[2]DIG!AJ12)</f>
        <v/>
      </c>
      <c r="I13" s="763" t="str">
        <f>IF([2]DIG!AK12="","",[2]DIG!AK12)</f>
        <v/>
      </c>
      <c r="J13" s="816" t="str">
        <f>IF([2]DIG!AM12="","",[2]DIG!AM12)</f>
        <v/>
      </c>
      <c r="K13" s="822" t="str">
        <f>IF([2]DIG!AN12="","",[2]DIG!AN12)</f>
        <v/>
      </c>
      <c r="L13" s="853" t="str">
        <f>IF([2]DIG!AP12="","",[2]DIG!AP12)</f>
        <v/>
      </c>
      <c r="M13" s="763" t="str">
        <f>IF([2]DIG!AQ12="","",[2]DIG!AQ12)</f>
        <v/>
      </c>
      <c r="N13" s="816" t="str">
        <f>IF([2]DIG!AS12="","",[2]DIG!AS12)</f>
        <v/>
      </c>
      <c r="O13" s="822" t="str">
        <f>IF([2]DIG!AT12="","",[2]DIG!AT12)</f>
        <v/>
      </c>
      <c r="P13" s="853" t="str">
        <f>IF([2]DIG!AV12="","",[2]DIG!AV12)</f>
        <v/>
      </c>
      <c r="Q13" s="763" t="str">
        <f>IF([2]DIG!AW12="","",[2]DIG!AW12)</f>
        <v/>
      </c>
    </row>
    <row r="14" spans="1:17" ht="20.25" customHeight="1" x14ac:dyDescent="0.3">
      <c r="A14" s="736">
        <v>10</v>
      </c>
      <c r="B14" s="816" t="str">
        <f>IF([2]DIG!AA13="","",[2]DIG!AA13)</f>
        <v/>
      </c>
      <c r="C14" s="822" t="str">
        <f>IF([2]DIG!AB13="","",[2]DIG!AB13)</f>
        <v/>
      </c>
      <c r="D14" s="853" t="str">
        <f>IF([2]DIG!AD13="","",[2]DIG!AD13)</f>
        <v/>
      </c>
      <c r="E14" s="763" t="str">
        <f>IF([2]DIG!AE13="","",[2]DIG!AE13)</f>
        <v/>
      </c>
      <c r="F14" s="816" t="str">
        <f>IF([2]DIG!AG13="","",[2]DIG!AG13)</f>
        <v/>
      </c>
      <c r="G14" s="822" t="str">
        <f>IF([2]DIG!AH13="","",[2]DIG!AH13)</f>
        <v/>
      </c>
      <c r="H14" s="853" t="str">
        <f>IF([2]DIG!AJ13="","",[2]DIG!AJ13)</f>
        <v/>
      </c>
      <c r="I14" s="763" t="str">
        <f>IF([2]DIG!AK13="","",[2]DIG!AK13)</f>
        <v/>
      </c>
      <c r="J14" s="816" t="str">
        <f>IF([2]DIG!AM13="","",[2]DIG!AM13)</f>
        <v/>
      </c>
      <c r="K14" s="822" t="str">
        <f>IF([2]DIG!AN13="","",[2]DIG!AN13)</f>
        <v/>
      </c>
      <c r="L14" s="853" t="str">
        <f>IF([2]DIG!AP13="","",[2]DIG!AP13)</f>
        <v/>
      </c>
      <c r="M14" s="763" t="str">
        <f>IF([2]DIG!AQ13="","",[2]DIG!AQ13)</f>
        <v/>
      </c>
      <c r="N14" s="816" t="str">
        <f>IF([2]DIG!AS13="","",[2]DIG!AS13)</f>
        <v/>
      </c>
      <c r="O14" s="822" t="str">
        <f>IF([2]DIG!AT13="","",[2]DIG!AT13)</f>
        <v/>
      </c>
      <c r="P14" s="853" t="str">
        <f>IF([2]DIG!AV13="","",[2]DIG!AV13)</f>
        <v/>
      </c>
      <c r="Q14" s="763" t="str">
        <f>IF([2]DIG!AW13="","",[2]DIG!AW13)</f>
        <v/>
      </c>
    </row>
    <row r="15" spans="1:17" ht="20.25" customHeight="1" x14ac:dyDescent="0.3">
      <c r="A15" s="736">
        <v>11</v>
      </c>
      <c r="B15" s="816" t="str">
        <f>IF([2]DIG!AA14="","",[2]DIG!AA14)</f>
        <v/>
      </c>
      <c r="C15" s="822" t="str">
        <f>IF([2]DIG!AB14="","",[2]DIG!AB14)</f>
        <v/>
      </c>
      <c r="D15" s="853" t="str">
        <f>IF([2]DIG!AD14="","",[2]DIG!AD14)</f>
        <v/>
      </c>
      <c r="E15" s="763" t="str">
        <f>IF([2]DIG!AE14="","",[2]DIG!AE14)</f>
        <v/>
      </c>
      <c r="F15" s="816" t="str">
        <f>IF([2]DIG!AG14="","",[2]DIG!AG14)</f>
        <v/>
      </c>
      <c r="G15" s="822" t="str">
        <f>IF([2]DIG!AH14="","",[2]DIG!AH14)</f>
        <v/>
      </c>
      <c r="H15" s="853" t="str">
        <f>IF([2]DIG!AJ14="","",[2]DIG!AJ14)</f>
        <v/>
      </c>
      <c r="I15" s="763" t="str">
        <f>IF([2]DIG!AK14="","",[2]DIG!AK14)</f>
        <v/>
      </c>
      <c r="J15" s="816" t="str">
        <f>IF([2]DIG!AM14="","",[2]DIG!AM14)</f>
        <v/>
      </c>
      <c r="K15" s="822" t="str">
        <f>IF([2]DIG!AN14="","",[2]DIG!AN14)</f>
        <v/>
      </c>
      <c r="L15" s="853" t="str">
        <f>IF([2]DIG!AP14="","",[2]DIG!AP14)</f>
        <v/>
      </c>
      <c r="M15" s="763" t="str">
        <f>IF([2]DIG!AQ14="","",[2]DIG!AQ14)</f>
        <v/>
      </c>
      <c r="N15" s="816" t="str">
        <f>IF([2]DIG!AS14="","",[2]DIG!AS14)</f>
        <v/>
      </c>
      <c r="O15" s="822" t="str">
        <f>IF([2]DIG!AT14="","",[2]DIG!AT14)</f>
        <v/>
      </c>
      <c r="P15" s="853" t="str">
        <f>IF([2]DIG!AV14="","",[2]DIG!AV14)</f>
        <v/>
      </c>
      <c r="Q15" s="763" t="str">
        <f>IF([2]DIG!AW14="","",[2]DIG!AW14)</f>
        <v/>
      </c>
    </row>
    <row r="16" spans="1:17" ht="20.25" customHeight="1" x14ac:dyDescent="0.3">
      <c r="A16" s="736">
        <v>12</v>
      </c>
      <c r="B16" s="816" t="str">
        <f>IF([2]DIG!AA15="","",[2]DIG!AA15)</f>
        <v/>
      </c>
      <c r="C16" s="822" t="str">
        <f>IF([2]DIG!AB15="","",[2]DIG!AB15)</f>
        <v/>
      </c>
      <c r="D16" s="853" t="str">
        <f>IF([2]DIG!AD15="","",[2]DIG!AD15)</f>
        <v/>
      </c>
      <c r="E16" s="763" t="str">
        <f>IF([2]DIG!AE15="","",[2]DIG!AE15)</f>
        <v/>
      </c>
      <c r="F16" s="816" t="str">
        <f>IF([2]DIG!AG15="","",[2]DIG!AG15)</f>
        <v/>
      </c>
      <c r="G16" s="822" t="str">
        <f>IF([2]DIG!AH15="","",[2]DIG!AH15)</f>
        <v/>
      </c>
      <c r="H16" s="853" t="str">
        <f>IF([2]DIG!AJ15="","",[2]DIG!AJ15)</f>
        <v/>
      </c>
      <c r="I16" s="763" t="str">
        <f>IF([2]DIG!AK15="","",[2]DIG!AK15)</f>
        <v/>
      </c>
      <c r="J16" s="816" t="str">
        <f>IF([2]DIG!AM15="","",[2]DIG!AM15)</f>
        <v/>
      </c>
      <c r="K16" s="822" t="str">
        <f>IF([2]DIG!AN15="","",[2]DIG!AN15)</f>
        <v/>
      </c>
      <c r="L16" s="853" t="str">
        <f>IF([2]DIG!AP15="","",[2]DIG!AP15)</f>
        <v/>
      </c>
      <c r="M16" s="763" t="str">
        <f>IF([2]DIG!AQ15="","",[2]DIG!AQ15)</f>
        <v/>
      </c>
      <c r="N16" s="816" t="str">
        <f>IF([2]DIG!AS15="","",[2]DIG!AS15)</f>
        <v/>
      </c>
      <c r="O16" s="822" t="str">
        <f>IF([2]DIG!AT15="","",[2]DIG!AT15)</f>
        <v/>
      </c>
      <c r="P16" s="853" t="str">
        <f>IF([2]DIG!AV15="","",[2]DIG!AV15)</f>
        <v/>
      </c>
      <c r="Q16" s="763" t="str">
        <f>IF([2]DIG!AW15="","",[2]DIG!AW15)</f>
        <v/>
      </c>
    </row>
    <row r="17" spans="1:19" ht="20.25" customHeight="1" x14ac:dyDescent="0.3">
      <c r="A17" s="736">
        <v>13</v>
      </c>
      <c r="B17" s="816" t="str">
        <f>IF([2]DIG!AA16="","",[2]DIG!AA16)</f>
        <v/>
      </c>
      <c r="C17" s="822" t="str">
        <f>IF([2]DIG!AB16="","",[2]DIG!AB16)</f>
        <v/>
      </c>
      <c r="D17" s="853" t="str">
        <f>IF([2]DIG!AD16="","",[2]DIG!AD16)</f>
        <v/>
      </c>
      <c r="E17" s="763" t="str">
        <f>IF([2]DIG!AE16="","",[2]DIG!AE16)</f>
        <v/>
      </c>
      <c r="F17" s="816" t="str">
        <f>IF([2]DIG!AG16="","",[2]DIG!AG16)</f>
        <v/>
      </c>
      <c r="G17" s="822" t="str">
        <f>IF([2]DIG!AH16="","",[2]DIG!AH16)</f>
        <v/>
      </c>
      <c r="H17" s="853" t="str">
        <f>IF([2]DIG!AJ16="","",[2]DIG!AJ16)</f>
        <v/>
      </c>
      <c r="I17" s="763" t="str">
        <f>IF([2]DIG!AK16="","",[2]DIG!AK16)</f>
        <v/>
      </c>
      <c r="J17" s="816" t="str">
        <f>IF([2]DIG!AM16="","",[2]DIG!AM16)</f>
        <v/>
      </c>
      <c r="K17" s="822" t="str">
        <f>IF([2]DIG!AN16="","",[2]DIG!AN16)</f>
        <v/>
      </c>
      <c r="L17" s="853" t="str">
        <f>IF([2]DIG!AP16="","",[2]DIG!AP16)</f>
        <v/>
      </c>
      <c r="M17" s="763" t="str">
        <f>IF([2]DIG!AQ16="","",[2]DIG!AQ16)</f>
        <v/>
      </c>
      <c r="N17" s="816" t="str">
        <f>IF([2]DIG!AS16="","",[2]DIG!AS16)</f>
        <v/>
      </c>
      <c r="O17" s="822" t="str">
        <f>IF([2]DIG!AT16="","",[2]DIG!AT16)</f>
        <v/>
      </c>
      <c r="P17" s="853" t="str">
        <f>IF([2]DIG!AV16="","",[2]DIG!AV16)</f>
        <v/>
      </c>
      <c r="Q17" s="763" t="str">
        <f>IF([2]DIG!AW16="","",[2]DIG!AW16)</f>
        <v/>
      </c>
    </row>
    <row r="18" spans="1:19" ht="20.25" customHeight="1" x14ac:dyDescent="0.3">
      <c r="A18" s="736">
        <v>14</v>
      </c>
      <c r="B18" s="816" t="str">
        <f>IF([2]DIG!AA17="","",[2]DIG!AA17)</f>
        <v/>
      </c>
      <c r="C18" s="822" t="str">
        <f>IF([2]DIG!AB17="","",[2]DIG!AB17)</f>
        <v/>
      </c>
      <c r="D18" s="853" t="str">
        <f>IF([2]DIG!AD17="","",[2]DIG!AD17)</f>
        <v/>
      </c>
      <c r="E18" s="763" t="str">
        <f>IF([2]DIG!AE17="","",[2]DIG!AE17)</f>
        <v/>
      </c>
      <c r="F18" s="816" t="str">
        <f>IF([2]DIG!AG17="","",[2]DIG!AG17)</f>
        <v/>
      </c>
      <c r="G18" s="822" t="str">
        <f>IF([2]DIG!AH17="","",[2]DIG!AH17)</f>
        <v/>
      </c>
      <c r="H18" s="853" t="str">
        <f>IF([2]DIG!AJ17="","",[2]DIG!AJ17)</f>
        <v/>
      </c>
      <c r="I18" s="763" t="str">
        <f>IF([2]DIG!AK17="","",[2]DIG!AK17)</f>
        <v/>
      </c>
      <c r="J18" s="816" t="str">
        <f>IF([2]DIG!AM17="","",[2]DIG!AM17)</f>
        <v/>
      </c>
      <c r="K18" s="822" t="str">
        <f>IF([2]DIG!AN17="","",[2]DIG!AN17)</f>
        <v/>
      </c>
      <c r="L18" s="853" t="str">
        <f>IF([2]DIG!AP17="","",[2]DIG!AP17)</f>
        <v/>
      </c>
      <c r="M18" s="763" t="str">
        <f>IF([2]DIG!AQ17="","",[2]DIG!AQ17)</f>
        <v/>
      </c>
      <c r="N18" s="816" t="str">
        <f>IF([2]DIG!AS17="","",[2]DIG!AS17)</f>
        <v/>
      </c>
      <c r="O18" s="822" t="str">
        <f>IF([2]DIG!AT17="","",[2]DIG!AT17)</f>
        <v/>
      </c>
      <c r="P18" s="853" t="str">
        <f>IF([2]DIG!AV17="","",[2]DIG!AV17)</f>
        <v/>
      </c>
      <c r="Q18" s="763" t="str">
        <f>IF([2]DIG!AW17="","",[2]DIG!AW17)</f>
        <v/>
      </c>
    </row>
    <row r="19" spans="1:19" ht="20.25" customHeight="1" x14ac:dyDescent="0.3">
      <c r="A19" s="736">
        <v>15</v>
      </c>
      <c r="B19" s="816">
        <f>IF([2]DIG!AA18="","",[2]DIG!AA18)</f>
        <v>1.9</v>
      </c>
      <c r="C19" s="822">
        <f>IF([2]DIG!AB18="","",[2]DIG!AB18)</f>
        <v>0.91</v>
      </c>
      <c r="D19" s="853">
        <f>IF([2]DIG!AD18="","",[2]DIG!AD18)</f>
        <v>1.74</v>
      </c>
      <c r="E19" s="763">
        <f>IF([2]DIG!AE18="","",[2]DIG!AE18)</f>
        <v>0.97</v>
      </c>
      <c r="F19" s="816">
        <f>IF([2]DIG!AG18="","",[2]DIG!AG18)</f>
        <v>2.14</v>
      </c>
      <c r="G19" s="822">
        <f>IF([2]DIG!AH18="","",[2]DIG!AH18)</f>
        <v>1.0900000000000001</v>
      </c>
      <c r="H19" s="853">
        <f>IF([2]DIG!AJ18="","",[2]DIG!AJ18)</f>
        <v>1.94</v>
      </c>
      <c r="I19" s="763">
        <f>IF([2]DIG!AK18="","",[2]DIG!AK18)</f>
        <v>1.02</v>
      </c>
      <c r="J19" s="816">
        <f>IF([2]DIG!AM18="","",[2]DIG!AM18)</f>
        <v>2.44</v>
      </c>
      <c r="K19" s="822">
        <f>IF([2]DIG!AN18="","",[2]DIG!AN18)</f>
        <v>1.51</v>
      </c>
      <c r="L19" s="853">
        <f>IF([2]DIG!AP18="","",[2]DIG!AP18)</f>
        <v>2.12</v>
      </c>
      <c r="M19" s="763">
        <f>IF([2]DIG!AQ18="","",[2]DIG!AQ18)</f>
        <v>1.1200000000000001</v>
      </c>
      <c r="N19" s="816">
        <f>IF([2]DIG!AS18="","",[2]DIG!AS18)</f>
        <v>1.98</v>
      </c>
      <c r="O19" s="822">
        <f>IF([2]DIG!AT18="","",[2]DIG!AT18)</f>
        <v>1.08</v>
      </c>
      <c r="P19" s="853">
        <f>IF([2]DIG!AV18="","",[2]DIG!AV18)</f>
        <v>2.0099999999999998</v>
      </c>
      <c r="Q19" s="763">
        <f>IF([2]DIG!AW18="","",[2]DIG!AW18)</f>
        <v>1.1100000000000001</v>
      </c>
    </row>
    <row r="20" spans="1:19" ht="20.25" customHeight="1" x14ac:dyDescent="0.3">
      <c r="A20" s="736">
        <v>16</v>
      </c>
      <c r="B20" s="816" t="str">
        <f>IF([2]DIG!AA19="","",[2]DIG!AA19)</f>
        <v/>
      </c>
      <c r="C20" s="822" t="str">
        <f>IF([2]DIG!AB19="","",[2]DIG!AB19)</f>
        <v/>
      </c>
      <c r="D20" s="853" t="str">
        <f>IF([2]DIG!AD19="","",[2]DIG!AD19)</f>
        <v/>
      </c>
      <c r="E20" s="763" t="str">
        <f>IF([2]DIG!AE19="","",[2]DIG!AE19)</f>
        <v/>
      </c>
      <c r="F20" s="816" t="str">
        <f>IF([2]DIG!AG19="","",[2]DIG!AG19)</f>
        <v/>
      </c>
      <c r="G20" s="822" t="str">
        <f>IF([2]DIG!AH19="","",[2]DIG!AH19)</f>
        <v/>
      </c>
      <c r="H20" s="853" t="str">
        <f>IF([2]DIG!AJ19="","",[2]DIG!AJ19)</f>
        <v/>
      </c>
      <c r="I20" s="763" t="str">
        <f>IF([2]DIG!AK19="","",[2]DIG!AK19)</f>
        <v/>
      </c>
      <c r="J20" s="816" t="str">
        <f>IF([2]DIG!AM19="","",[2]DIG!AM19)</f>
        <v/>
      </c>
      <c r="K20" s="822" t="str">
        <f>IF([2]DIG!AN19="","",[2]DIG!AN19)</f>
        <v/>
      </c>
      <c r="L20" s="853" t="str">
        <f>IF([2]DIG!AP19="","",[2]DIG!AP19)</f>
        <v/>
      </c>
      <c r="M20" s="763" t="str">
        <f>IF([2]DIG!AQ19="","",[2]DIG!AQ19)</f>
        <v/>
      </c>
      <c r="N20" s="816" t="str">
        <f>IF([2]DIG!AS19="","",[2]DIG!AS19)</f>
        <v/>
      </c>
      <c r="O20" s="822" t="str">
        <f>IF([2]DIG!AT19="","",[2]DIG!AT19)</f>
        <v/>
      </c>
      <c r="P20" s="853" t="str">
        <f>IF([2]DIG!AV19="","",[2]DIG!AV19)</f>
        <v/>
      </c>
      <c r="Q20" s="763" t="str">
        <f>IF([2]DIG!AW19="","",[2]DIG!AW19)</f>
        <v/>
      </c>
    </row>
    <row r="21" spans="1:19" ht="20.25" customHeight="1" x14ac:dyDescent="0.3">
      <c r="A21" s="736">
        <v>17</v>
      </c>
      <c r="B21" s="816" t="str">
        <f>IF([2]DIG!AA20="","",[2]DIG!AA20)</f>
        <v/>
      </c>
      <c r="C21" s="822" t="str">
        <f>IF([2]DIG!AB20="","",[2]DIG!AB20)</f>
        <v/>
      </c>
      <c r="D21" s="853" t="str">
        <f>IF([2]DIG!AD20="","",[2]DIG!AD20)</f>
        <v/>
      </c>
      <c r="E21" s="763" t="str">
        <f>IF([2]DIG!AE20="","",[2]DIG!AE20)</f>
        <v/>
      </c>
      <c r="F21" s="816" t="str">
        <f>IF([2]DIG!AG20="","",[2]DIG!AG20)</f>
        <v/>
      </c>
      <c r="G21" s="822" t="str">
        <f>IF([2]DIG!AH20="","",[2]DIG!AH20)</f>
        <v/>
      </c>
      <c r="H21" s="853" t="str">
        <f>IF([2]DIG!AJ20="","",[2]DIG!AJ20)</f>
        <v/>
      </c>
      <c r="I21" s="763" t="str">
        <f>IF([2]DIG!AK20="","",[2]DIG!AK20)</f>
        <v/>
      </c>
      <c r="J21" s="816" t="str">
        <f>IF([2]DIG!AM20="","",[2]DIG!AM20)</f>
        <v/>
      </c>
      <c r="K21" s="822" t="str">
        <f>IF([2]DIG!AN20="","",[2]DIG!AN20)</f>
        <v/>
      </c>
      <c r="L21" s="853" t="str">
        <f>IF([2]DIG!AP20="","",[2]DIG!AP20)</f>
        <v/>
      </c>
      <c r="M21" s="763" t="str">
        <f>IF([2]DIG!AQ20="","",[2]DIG!AQ20)</f>
        <v/>
      </c>
      <c r="N21" s="816" t="str">
        <f>IF([2]DIG!AS20="","",[2]DIG!AS20)</f>
        <v/>
      </c>
      <c r="O21" s="822" t="str">
        <f>IF([2]DIG!AT20="","",[2]DIG!AT20)</f>
        <v/>
      </c>
      <c r="P21" s="853" t="str">
        <f>IF([2]DIG!AV20="","",[2]DIG!AV20)</f>
        <v/>
      </c>
      <c r="Q21" s="763" t="str">
        <f>IF([2]DIG!AW20="","",[2]DIG!AW20)</f>
        <v/>
      </c>
    </row>
    <row r="22" spans="1:19" ht="20.25" customHeight="1" x14ac:dyDescent="0.3">
      <c r="A22" s="736">
        <v>18</v>
      </c>
      <c r="B22" s="816" t="str">
        <f>IF([2]DIG!AA21="","",[2]DIG!AA21)</f>
        <v/>
      </c>
      <c r="C22" s="822" t="str">
        <f>IF([2]DIG!AB21="","",[2]DIG!AB21)</f>
        <v/>
      </c>
      <c r="D22" s="853" t="str">
        <f>IF([2]DIG!AD21="","",[2]DIG!AD21)</f>
        <v/>
      </c>
      <c r="E22" s="763" t="str">
        <f>IF([2]DIG!AE21="","",[2]DIG!AE21)</f>
        <v/>
      </c>
      <c r="F22" s="816" t="str">
        <f>IF([2]DIG!AG21="","",[2]DIG!AG21)</f>
        <v/>
      </c>
      <c r="G22" s="822" t="str">
        <f>IF([2]DIG!AH21="","",[2]DIG!AH21)</f>
        <v/>
      </c>
      <c r="H22" s="853" t="str">
        <f>IF([2]DIG!AJ21="","",[2]DIG!AJ21)</f>
        <v/>
      </c>
      <c r="I22" s="763" t="str">
        <f>IF([2]DIG!AK21="","",[2]DIG!AK21)</f>
        <v/>
      </c>
      <c r="J22" s="816" t="str">
        <f>IF([2]DIG!AM21="","",[2]DIG!AM21)</f>
        <v/>
      </c>
      <c r="K22" s="822" t="str">
        <f>IF([2]DIG!AN21="","",[2]DIG!AN21)</f>
        <v/>
      </c>
      <c r="L22" s="853" t="str">
        <f>IF([2]DIG!AP21="","",[2]DIG!AP21)</f>
        <v/>
      </c>
      <c r="M22" s="763" t="str">
        <f>IF([2]DIG!AQ21="","",[2]DIG!AQ21)</f>
        <v/>
      </c>
      <c r="N22" s="816" t="str">
        <f>IF([2]DIG!AS21="","",[2]DIG!AS21)</f>
        <v/>
      </c>
      <c r="O22" s="822" t="str">
        <f>IF([2]DIG!AT21="","",[2]DIG!AT21)</f>
        <v/>
      </c>
      <c r="P22" s="853" t="str">
        <f>IF([2]DIG!AV21="","",[2]DIG!AV21)</f>
        <v/>
      </c>
      <c r="Q22" s="763" t="str">
        <f>IF([2]DIG!AW21="","",[2]DIG!AW21)</f>
        <v/>
      </c>
      <c r="S22" s="672"/>
    </row>
    <row r="23" spans="1:19" ht="20.25" customHeight="1" x14ac:dyDescent="0.3">
      <c r="A23" s="736">
        <v>19</v>
      </c>
      <c r="B23" s="816" t="str">
        <f>IF([2]DIG!AA22="","",[2]DIG!AA22)</f>
        <v/>
      </c>
      <c r="C23" s="822" t="str">
        <f>IF([2]DIG!AB22="","",[2]DIG!AB22)</f>
        <v/>
      </c>
      <c r="D23" s="853" t="str">
        <f>IF([2]DIG!AD22="","",[2]DIG!AD22)</f>
        <v/>
      </c>
      <c r="E23" s="763" t="str">
        <f>IF([2]DIG!AE22="","",[2]DIG!AE22)</f>
        <v/>
      </c>
      <c r="F23" s="816" t="str">
        <f>IF([2]DIG!AG22="","",[2]DIG!AG22)</f>
        <v/>
      </c>
      <c r="G23" s="822" t="str">
        <f>IF([2]DIG!AH22="","",[2]DIG!AH22)</f>
        <v/>
      </c>
      <c r="H23" s="853" t="str">
        <f>IF([2]DIG!AJ22="","",[2]DIG!AJ22)</f>
        <v/>
      </c>
      <c r="I23" s="763" t="str">
        <f>IF([2]DIG!AK22="","",[2]DIG!AK22)</f>
        <v/>
      </c>
      <c r="J23" s="816" t="str">
        <f>IF([2]DIG!AM22="","",[2]DIG!AM22)</f>
        <v/>
      </c>
      <c r="K23" s="822" t="str">
        <f>IF([2]DIG!AN22="","",[2]DIG!AN22)</f>
        <v/>
      </c>
      <c r="L23" s="853" t="str">
        <f>IF([2]DIG!AP22="","",[2]DIG!AP22)</f>
        <v/>
      </c>
      <c r="M23" s="763" t="str">
        <f>IF([2]DIG!AQ22="","",[2]DIG!AQ22)</f>
        <v/>
      </c>
      <c r="N23" s="816" t="str">
        <f>IF([2]DIG!AS22="","",[2]DIG!AS22)</f>
        <v/>
      </c>
      <c r="O23" s="822" t="str">
        <f>IF([2]DIG!AT22="","",[2]DIG!AT22)</f>
        <v/>
      </c>
      <c r="P23" s="853" t="str">
        <f>IF([2]DIG!AV22="","",[2]DIG!AV22)</f>
        <v/>
      </c>
      <c r="Q23" s="763" t="str">
        <f>IF([2]DIG!AW22="","",[2]DIG!AW22)</f>
        <v/>
      </c>
    </row>
    <row r="24" spans="1:19" ht="20.25" customHeight="1" x14ac:dyDescent="0.3">
      <c r="A24" s="736">
        <v>20</v>
      </c>
      <c r="B24" s="816" t="str">
        <f>IF([2]DIG!AA23="","",[2]DIG!AA23)</f>
        <v/>
      </c>
      <c r="C24" s="822" t="str">
        <f>IF([2]DIG!AB23="","",[2]DIG!AB23)</f>
        <v/>
      </c>
      <c r="D24" s="853" t="str">
        <f>IF([2]DIG!AD23="","",[2]DIG!AD23)</f>
        <v/>
      </c>
      <c r="E24" s="763" t="str">
        <f>IF([2]DIG!AE23="","",[2]DIG!AE23)</f>
        <v/>
      </c>
      <c r="F24" s="816" t="str">
        <f>IF([2]DIG!AG23="","",[2]DIG!AG23)</f>
        <v/>
      </c>
      <c r="G24" s="822" t="str">
        <f>IF([2]DIG!AH23="","",[2]DIG!AH23)</f>
        <v/>
      </c>
      <c r="H24" s="853" t="str">
        <f>IF([2]DIG!AJ23="","",[2]DIG!AJ23)</f>
        <v/>
      </c>
      <c r="I24" s="763" t="str">
        <f>IF([2]DIG!AK23="","",[2]DIG!AK23)</f>
        <v/>
      </c>
      <c r="J24" s="816" t="str">
        <f>IF([2]DIG!AM23="","",[2]DIG!AM23)</f>
        <v/>
      </c>
      <c r="K24" s="822" t="str">
        <f>IF([2]DIG!AN23="","",[2]DIG!AN23)</f>
        <v/>
      </c>
      <c r="L24" s="853" t="str">
        <f>IF([2]DIG!AP23="","",[2]DIG!AP23)</f>
        <v/>
      </c>
      <c r="M24" s="763" t="str">
        <f>IF([2]DIG!AQ23="","",[2]DIG!AQ23)</f>
        <v/>
      </c>
      <c r="N24" s="816" t="str">
        <f>IF([2]DIG!AS23="","",[2]DIG!AS23)</f>
        <v/>
      </c>
      <c r="O24" s="822" t="str">
        <f>IF([2]DIG!AT23="","",[2]DIG!AT23)</f>
        <v/>
      </c>
      <c r="P24" s="853" t="str">
        <f>IF([2]DIG!AV23="","",[2]DIG!AV23)</f>
        <v/>
      </c>
      <c r="Q24" s="763" t="str">
        <f>IF([2]DIG!AW23="","",[2]DIG!AW23)</f>
        <v/>
      </c>
    </row>
    <row r="25" spans="1:19" ht="20.25" customHeight="1" x14ac:dyDescent="0.3">
      <c r="A25" s="736">
        <v>21</v>
      </c>
      <c r="B25" s="816" t="str">
        <f>IF([2]DIG!AA24="","",[2]DIG!AA24)</f>
        <v/>
      </c>
      <c r="C25" s="822" t="str">
        <f>IF([2]DIG!AB24="","",[2]DIG!AB24)</f>
        <v/>
      </c>
      <c r="D25" s="853" t="str">
        <f>IF([2]DIG!AD24="","",[2]DIG!AD24)</f>
        <v/>
      </c>
      <c r="E25" s="763" t="str">
        <f>IF([2]DIG!AE24="","",[2]DIG!AE24)</f>
        <v/>
      </c>
      <c r="F25" s="816" t="str">
        <f>IF([2]DIG!AG24="","",[2]DIG!AG24)</f>
        <v/>
      </c>
      <c r="G25" s="822" t="str">
        <f>IF([2]DIG!AH24="","",[2]DIG!AH24)</f>
        <v/>
      </c>
      <c r="H25" s="853" t="str">
        <f>IF([2]DIG!AJ24="","",[2]DIG!AJ24)</f>
        <v/>
      </c>
      <c r="I25" s="763" t="str">
        <f>IF([2]DIG!AK24="","",[2]DIG!AK24)</f>
        <v/>
      </c>
      <c r="J25" s="816" t="str">
        <f>IF([2]DIG!AM24="","",[2]DIG!AM24)</f>
        <v/>
      </c>
      <c r="K25" s="822" t="str">
        <f>IF([2]DIG!AN24="","",[2]DIG!AN24)</f>
        <v/>
      </c>
      <c r="L25" s="853" t="str">
        <f>IF([2]DIG!AP24="","",[2]DIG!AP24)</f>
        <v/>
      </c>
      <c r="M25" s="763" t="str">
        <f>IF([2]DIG!AQ24="","",[2]DIG!AQ24)</f>
        <v/>
      </c>
      <c r="N25" s="816" t="str">
        <f>IF([2]DIG!AS24="","",[2]DIG!AS24)</f>
        <v/>
      </c>
      <c r="O25" s="822" t="str">
        <f>IF([2]DIG!AT24="","",[2]DIG!AT24)</f>
        <v/>
      </c>
      <c r="P25" s="853" t="str">
        <f>IF([2]DIG!AV24="","",[2]DIG!AV24)</f>
        <v/>
      </c>
      <c r="Q25" s="763" t="str">
        <f>IF([2]DIG!AW24="","",[2]DIG!AW24)</f>
        <v/>
      </c>
    </row>
    <row r="26" spans="1:19" ht="20.25" customHeight="1" x14ac:dyDescent="0.3">
      <c r="A26" s="736">
        <v>22</v>
      </c>
      <c r="B26" s="816">
        <f>IF([2]DIG!AA25="","",[2]DIG!AA25)</f>
        <v>2.0099999999999998</v>
      </c>
      <c r="C26" s="822">
        <f>IF([2]DIG!AB25="","",[2]DIG!AB25)</f>
        <v>0.96</v>
      </c>
      <c r="D26" s="853">
        <f>IF([2]DIG!AD25="","",[2]DIG!AD25)</f>
        <v>1.68</v>
      </c>
      <c r="E26" s="763">
        <f>IF([2]DIG!AE25="","",[2]DIG!AE25)</f>
        <v>0.93</v>
      </c>
      <c r="F26" s="816">
        <f>IF([2]DIG!AG25="","",[2]DIG!AG25)</f>
        <v>1.92</v>
      </c>
      <c r="G26" s="822">
        <f>IF([2]DIG!AH25="","",[2]DIG!AH25)</f>
        <v>1.02</v>
      </c>
      <c r="H26" s="853">
        <f>IF([2]DIG!AJ25="","",[2]DIG!AJ25)</f>
        <v>1.84</v>
      </c>
      <c r="I26" s="763">
        <f>IF([2]DIG!AK25="","",[2]DIG!AK25)</f>
        <v>1</v>
      </c>
      <c r="J26" s="816">
        <f>IF([2]DIG!AM25="","",[2]DIG!AM25)</f>
        <v>2.36</v>
      </c>
      <c r="K26" s="822">
        <f>IF([2]DIG!AN25="","",[2]DIG!AN25)</f>
        <v>1.47</v>
      </c>
      <c r="L26" s="853">
        <f>IF([2]DIG!AP25="","",[2]DIG!AP25)</f>
        <v>2.1</v>
      </c>
      <c r="M26" s="763">
        <f>IF([2]DIG!AQ25="","",[2]DIG!AQ25)</f>
        <v>1.1100000000000001</v>
      </c>
      <c r="N26" s="816">
        <f>IF([2]DIG!AS25="","",[2]DIG!AS25)</f>
        <v>1.97</v>
      </c>
      <c r="O26" s="822">
        <f>IF([2]DIG!AT25="","",[2]DIG!AT25)</f>
        <v>1.08</v>
      </c>
      <c r="P26" s="853">
        <f>IF([2]DIG!AV25="","",[2]DIG!AV25)</f>
        <v>2.02</v>
      </c>
      <c r="Q26" s="763">
        <f>IF([2]DIG!AW25="","",[2]DIG!AW25)</f>
        <v>1.1000000000000001</v>
      </c>
    </row>
    <row r="27" spans="1:19" ht="20.25" customHeight="1" x14ac:dyDescent="0.3">
      <c r="A27" s="736">
        <v>23</v>
      </c>
      <c r="B27" s="816" t="str">
        <f>IF([2]DIG!AA26="","",[2]DIG!AA26)</f>
        <v/>
      </c>
      <c r="C27" s="822" t="str">
        <f>IF([2]DIG!AB26="","",[2]DIG!AB26)</f>
        <v/>
      </c>
      <c r="D27" s="853" t="str">
        <f>IF([2]DIG!AD26="","",[2]DIG!AD26)</f>
        <v/>
      </c>
      <c r="E27" s="763" t="str">
        <f>IF([2]DIG!AE26="","",[2]DIG!AE26)</f>
        <v/>
      </c>
      <c r="F27" s="816" t="str">
        <f>IF([2]DIG!AG26="","",[2]DIG!AG26)</f>
        <v/>
      </c>
      <c r="G27" s="822" t="str">
        <f>IF([2]DIG!AH26="","",[2]DIG!AH26)</f>
        <v/>
      </c>
      <c r="H27" s="853" t="str">
        <f>IF([2]DIG!AJ26="","",[2]DIG!AJ26)</f>
        <v/>
      </c>
      <c r="I27" s="763" t="str">
        <f>IF([2]DIG!AK26="","",[2]DIG!AK26)</f>
        <v/>
      </c>
      <c r="J27" s="816" t="str">
        <f>IF([2]DIG!AM26="","",[2]DIG!AM26)</f>
        <v/>
      </c>
      <c r="K27" s="822" t="str">
        <f>IF([2]DIG!AN26="","",[2]DIG!AN26)</f>
        <v/>
      </c>
      <c r="L27" s="853" t="str">
        <f>IF([2]DIG!AP26="","",[2]DIG!AP26)</f>
        <v/>
      </c>
      <c r="M27" s="763" t="str">
        <f>IF([2]DIG!AQ26="","",[2]DIG!AQ26)</f>
        <v/>
      </c>
      <c r="N27" s="816" t="str">
        <f>IF([2]DIG!AS26="","",[2]DIG!AS26)</f>
        <v/>
      </c>
      <c r="O27" s="822" t="str">
        <f>IF([2]DIG!AT26="","",[2]DIG!AT26)</f>
        <v/>
      </c>
      <c r="P27" s="853" t="str">
        <f>IF([2]DIG!AV26="","",[2]DIG!AV26)</f>
        <v/>
      </c>
      <c r="Q27" s="763" t="str">
        <f>IF([2]DIG!AW26="","",[2]DIG!AW26)</f>
        <v/>
      </c>
    </row>
    <row r="28" spans="1:19" ht="20.25" customHeight="1" x14ac:dyDescent="0.3">
      <c r="A28" s="736">
        <v>24</v>
      </c>
      <c r="B28" s="816" t="str">
        <f>IF([2]DIG!AA27="","",[2]DIG!AA27)</f>
        <v/>
      </c>
      <c r="C28" s="822" t="str">
        <f>IF([2]DIG!AB27="","",[2]DIG!AB27)</f>
        <v/>
      </c>
      <c r="D28" s="853" t="str">
        <f>IF([2]DIG!AD27="","",[2]DIG!AD27)</f>
        <v/>
      </c>
      <c r="E28" s="763" t="str">
        <f>IF([2]DIG!AE27="","",[2]DIG!AE27)</f>
        <v/>
      </c>
      <c r="F28" s="816" t="str">
        <f>IF([2]DIG!AG27="","",[2]DIG!AG27)</f>
        <v/>
      </c>
      <c r="G28" s="822" t="str">
        <f>IF([2]DIG!AH27="","",[2]DIG!AH27)</f>
        <v/>
      </c>
      <c r="H28" s="853" t="str">
        <f>IF([2]DIG!AJ27="","",[2]DIG!AJ27)</f>
        <v/>
      </c>
      <c r="I28" s="763" t="str">
        <f>IF([2]DIG!AK27="","",[2]DIG!AK27)</f>
        <v/>
      </c>
      <c r="J28" s="816" t="str">
        <f>IF([2]DIG!AM27="","",[2]DIG!AM27)</f>
        <v/>
      </c>
      <c r="K28" s="822" t="str">
        <f>IF([2]DIG!AN27="","",[2]DIG!AN27)</f>
        <v/>
      </c>
      <c r="L28" s="853" t="str">
        <f>IF([2]DIG!AP27="","",[2]DIG!AP27)</f>
        <v/>
      </c>
      <c r="M28" s="763" t="str">
        <f>IF([2]DIG!AQ27="","",[2]DIG!AQ27)</f>
        <v/>
      </c>
      <c r="N28" s="816" t="str">
        <f>IF([2]DIG!AS27="","",[2]DIG!AS27)</f>
        <v/>
      </c>
      <c r="O28" s="822" t="str">
        <f>IF([2]DIG!AT27="","",[2]DIG!AT27)</f>
        <v/>
      </c>
      <c r="P28" s="853" t="str">
        <f>IF([2]DIG!AV27="","",[2]DIG!AV27)</f>
        <v/>
      </c>
      <c r="Q28" s="763" t="str">
        <f>IF([2]DIG!AW27="","",[2]DIG!AW27)</f>
        <v/>
      </c>
    </row>
    <row r="29" spans="1:19" ht="20.25" customHeight="1" x14ac:dyDescent="0.3">
      <c r="A29" s="736">
        <v>25</v>
      </c>
      <c r="B29" s="816" t="str">
        <f>IF([2]DIG!AA28="","",[2]DIG!AA28)</f>
        <v/>
      </c>
      <c r="C29" s="822" t="str">
        <f>IF([2]DIG!AB28="","",[2]DIG!AB28)</f>
        <v/>
      </c>
      <c r="D29" s="853" t="str">
        <f>IF([2]DIG!AD28="","",[2]DIG!AD28)</f>
        <v/>
      </c>
      <c r="E29" s="763" t="str">
        <f>IF([2]DIG!AE28="","",[2]DIG!AE28)</f>
        <v/>
      </c>
      <c r="F29" s="816" t="str">
        <f>IF([2]DIG!AG28="","",[2]DIG!AG28)</f>
        <v/>
      </c>
      <c r="G29" s="822" t="str">
        <f>IF([2]DIG!AH28="","",[2]DIG!AH28)</f>
        <v/>
      </c>
      <c r="H29" s="853" t="str">
        <f>IF([2]DIG!AJ28="","",[2]DIG!AJ28)</f>
        <v/>
      </c>
      <c r="I29" s="763" t="str">
        <f>IF([2]DIG!AK28="","",[2]DIG!AK28)</f>
        <v/>
      </c>
      <c r="J29" s="816" t="str">
        <f>IF([2]DIG!AM28="","",[2]DIG!AM28)</f>
        <v/>
      </c>
      <c r="K29" s="822" t="str">
        <f>IF([2]DIG!AN28="","",[2]DIG!AN28)</f>
        <v/>
      </c>
      <c r="L29" s="853" t="str">
        <f>IF([2]DIG!AP28="","",[2]DIG!AP28)</f>
        <v/>
      </c>
      <c r="M29" s="763" t="str">
        <f>IF([2]DIG!AQ28="","",[2]DIG!AQ28)</f>
        <v/>
      </c>
      <c r="N29" s="816" t="str">
        <f>IF([2]DIG!AS28="","",[2]DIG!AS28)</f>
        <v/>
      </c>
      <c r="O29" s="822" t="str">
        <f>IF([2]DIG!AT28="","",[2]DIG!AT28)</f>
        <v/>
      </c>
      <c r="P29" s="853" t="str">
        <f>IF([2]DIG!AV28="","",[2]DIG!AV28)</f>
        <v/>
      </c>
      <c r="Q29" s="763" t="str">
        <f>IF([2]DIG!AW28="","",[2]DIG!AW28)</f>
        <v/>
      </c>
    </row>
    <row r="30" spans="1:19" ht="20.25" customHeight="1" x14ac:dyDescent="0.3">
      <c r="A30" s="736">
        <v>26</v>
      </c>
      <c r="B30" s="816" t="str">
        <f>IF([2]DIG!AA29="","",[2]DIG!AA29)</f>
        <v/>
      </c>
      <c r="C30" s="822" t="str">
        <f>IF([2]DIG!AB29="","",[2]DIG!AB29)</f>
        <v/>
      </c>
      <c r="D30" s="853" t="str">
        <f>IF([2]DIG!AD29="","",[2]DIG!AD29)</f>
        <v/>
      </c>
      <c r="E30" s="763" t="str">
        <f>IF([2]DIG!AE29="","",[2]DIG!AE29)</f>
        <v/>
      </c>
      <c r="F30" s="816" t="str">
        <f>IF([2]DIG!AG29="","",[2]DIG!AG29)</f>
        <v/>
      </c>
      <c r="G30" s="822" t="str">
        <f>IF([2]DIG!AH29="","",[2]DIG!AH29)</f>
        <v/>
      </c>
      <c r="H30" s="853" t="str">
        <f>IF([2]DIG!AJ29="","",[2]DIG!AJ29)</f>
        <v/>
      </c>
      <c r="I30" s="763" t="str">
        <f>IF([2]DIG!AK29="","",[2]DIG!AK29)</f>
        <v/>
      </c>
      <c r="J30" s="816" t="str">
        <f>IF([2]DIG!AM29="","",[2]DIG!AM29)</f>
        <v/>
      </c>
      <c r="K30" s="822" t="str">
        <f>IF([2]DIG!AN29="","",[2]DIG!AN29)</f>
        <v/>
      </c>
      <c r="L30" s="853" t="str">
        <f>IF([2]DIG!AP29="","",[2]DIG!AP29)</f>
        <v/>
      </c>
      <c r="M30" s="763" t="str">
        <f>IF([2]DIG!AQ29="","",[2]DIG!AQ29)</f>
        <v/>
      </c>
      <c r="N30" s="816" t="str">
        <f>IF([2]DIG!AS29="","",[2]DIG!AS29)</f>
        <v/>
      </c>
      <c r="O30" s="822" t="str">
        <f>IF([2]DIG!AT29="","",[2]DIG!AT29)</f>
        <v/>
      </c>
      <c r="P30" s="853" t="str">
        <f>IF([2]DIG!AV29="","",[2]DIG!AV29)</f>
        <v/>
      </c>
      <c r="Q30" s="763" t="str">
        <f>IF([2]DIG!AW29="","",[2]DIG!AW29)</f>
        <v/>
      </c>
    </row>
    <row r="31" spans="1:19" ht="20.25" customHeight="1" x14ac:dyDescent="0.3">
      <c r="A31" s="736">
        <v>27</v>
      </c>
      <c r="B31" s="816" t="str">
        <f>IF([2]DIG!AA30="","",[2]DIG!AA30)</f>
        <v/>
      </c>
      <c r="C31" s="822" t="str">
        <f>IF([2]DIG!AB30="","",[2]DIG!AB30)</f>
        <v/>
      </c>
      <c r="D31" s="853" t="str">
        <f>IF([2]DIG!AD30="","",[2]DIG!AD30)</f>
        <v/>
      </c>
      <c r="E31" s="763" t="str">
        <f>IF([2]DIG!AE30="","",[2]DIG!AE30)</f>
        <v/>
      </c>
      <c r="F31" s="816" t="str">
        <f>IF([2]DIG!AG30="","",[2]DIG!AG30)</f>
        <v/>
      </c>
      <c r="G31" s="822" t="str">
        <f>IF([2]DIG!AH30="","",[2]DIG!AH30)</f>
        <v/>
      </c>
      <c r="H31" s="853" t="str">
        <f>IF([2]DIG!AJ30="","",[2]DIG!AJ30)</f>
        <v/>
      </c>
      <c r="I31" s="763" t="str">
        <f>IF([2]DIG!AK30="","",[2]DIG!AK30)</f>
        <v/>
      </c>
      <c r="J31" s="816" t="str">
        <f>IF([2]DIG!AM30="","",[2]DIG!AM30)</f>
        <v/>
      </c>
      <c r="K31" s="822" t="str">
        <f>IF([2]DIG!AN30="","",[2]DIG!AN30)</f>
        <v/>
      </c>
      <c r="L31" s="853" t="str">
        <f>IF([2]DIG!AP30="","",[2]DIG!AP30)</f>
        <v/>
      </c>
      <c r="M31" s="763" t="str">
        <f>IF([2]DIG!AQ30="","",[2]DIG!AQ30)</f>
        <v/>
      </c>
      <c r="N31" s="816" t="str">
        <f>IF([2]DIG!AS30="","",[2]DIG!AS30)</f>
        <v/>
      </c>
      <c r="O31" s="822" t="str">
        <f>IF([2]DIG!AT30="","",[2]DIG!AT30)</f>
        <v/>
      </c>
      <c r="P31" s="853" t="str">
        <f>IF([2]DIG!AV30="","",[2]DIG!AV30)</f>
        <v/>
      </c>
      <c r="Q31" s="763" t="str">
        <f>IF([2]DIG!AW30="","",[2]DIG!AW30)</f>
        <v/>
      </c>
    </row>
    <row r="32" spans="1:19" ht="20.25" customHeight="1" x14ac:dyDescent="0.3">
      <c r="A32" s="736">
        <v>28</v>
      </c>
      <c r="B32" s="816" t="str">
        <f>IF([2]DIG!AA31="","",[2]DIG!AA31)</f>
        <v/>
      </c>
      <c r="C32" s="822" t="str">
        <f>IF([2]DIG!AB31="","",[2]DIG!AB31)</f>
        <v/>
      </c>
      <c r="D32" s="853" t="str">
        <f>IF([2]DIG!AD31="","",[2]DIG!AD31)</f>
        <v/>
      </c>
      <c r="E32" s="763" t="str">
        <f>IF([2]DIG!AE31="","",[2]DIG!AE31)</f>
        <v/>
      </c>
      <c r="F32" s="816" t="str">
        <f>IF([2]DIG!AG31="","",[2]DIG!AG31)</f>
        <v/>
      </c>
      <c r="G32" s="822" t="str">
        <f>IF([2]DIG!AH31="","",[2]DIG!AH31)</f>
        <v/>
      </c>
      <c r="H32" s="853" t="str">
        <f>IF([2]DIG!AJ31="","",[2]DIG!AJ31)</f>
        <v/>
      </c>
      <c r="I32" s="763" t="str">
        <f>IF([2]DIG!AK31="","",[2]DIG!AK31)</f>
        <v/>
      </c>
      <c r="J32" s="816" t="str">
        <f>IF([2]DIG!AM31="","",[2]DIG!AM31)</f>
        <v/>
      </c>
      <c r="K32" s="822" t="str">
        <f>IF([2]DIG!AN31="","",[2]DIG!AN31)</f>
        <v/>
      </c>
      <c r="L32" s="853" t="str">
        <f>IF([2]DIG!AP31="","",[2]DIG!AP31)</f>
        <v/>
      </c>
      <c r="M32" s="763" t="str">
        <f>IF([2]DIG!AQ31="","",[2]DIG!AQ31)</f>
        <v/>
      </c>
      <c r="N32" s="816" t="str">
        <f>IF([2]DIG!AS31="","",[2]DIG!AS31)</f>
        <v/>
      </c>
      <c r="O32" s="822" t="str">
        <f>IF([2]DIG!AT31="","",[2]DIG!AT31)</f>
        <v/>
      </c>
      <c r="P32" s="853" t="str">
        <f>IF([2]DIG!AV31="","",[2]DIG!AV31)</f>
        <v/>
      </c>
      <c r="Q32" s="763" t="str">
        <f>IF([2]DIG!AW31="","",[2]DIG!AW31)</f>
        <v/>
      </c>
    </row>
    <row r="33" spans="1:17" ht="20.25" customHeight="1" x14ac:dyDescent="0.3">
      <c r="A33" s="736">
        <v>29</v>
      </c>
      <c r="B33" s="816">
        <f>IF([2]DIG!AA32="","",[2]DIG!AA32)</f>
        <v>2.12</v>
      </c>
      <c r="C33" s="822">
        <f>IF([2]DIG!AB32="","",[2]DIG!AB32)</f>
        <v>0.95</v>
      </c>
      <c r="D33" s="853">
        <f>IF([2]DIG!AD32="","",[2]DIG!AD32)</f>
        <v>1.7</v>
      </c>
      <c r="E33" s="763">
        <f>IF([2]DIG!AE32="","",[2]DIG!AE32)</f>
        <v>0.9</v>
      </c>
      <c r="F33" s="816">
        <f>IF([2]DIG!AG32="","",[2]DIG!AG32)</f>
        <v>1.89</v>
      </c>
      <c r="G33" s="822">
        <f>IF([2]DIG!AH32="","",[2]DIG!AH32)</f>
        <v>1.06</v>
      </c>
      <c r="H33" s="853">
        <f>IF([2]DIG!AJ32="","",[2]DIG!AJ32)</f>
        <v>1.83</v>
      </c>
      <c r="I33" s="763">
        <f>IF([2]DIG!AK32="","",[2]DIG!AK32)</f>
        <v>1.03</v>
      </c>
      <c r="J33" s="816">
        <f>IF([2]DIG!AM32="","",[2]DIG!AM32)</f>
        <v>2.36</v>
      </c>
      <c r="K33" s="822">
        <f>IF([2]DIG!AN32="","",[2]DIG!AN32)</f>
        <v>1.42</v>
      </c>
      <c r="L33" s="853">
        <f>IF([2]DIG!AP32="","",[2]DIG!AP32)</f>
        <v>1.87</v>
      </c>
      <c r="M33" s="763">
        <f>IF([2]DIG!AQ32="","",[2]DIG!AQ32)</f>
        <v>1.03</v>
      </c>
      <c r="N33" s="816">
        <f>IF([2]DIG!AS32="","",[2]DIG!AS32)</f>
        <v>1.85</v>
      </c>
      <c r="O33" s="822">
        <f>IF([2]DIG!AT32="","",[2]DIG!AT32)</f>
        <v>1.03</v>
      </c>
      <c r="P33" s="853">
        <f>IF([2]DIG!AV32="","",[2]DIG!AV32)</f>
        <v>184</v>
      </c>
      <c r="Q33" s="763">
        <f>IF([2]DIG!AW32="","",[2]DIG!AW32)</f>
        <v>1.04</v>
      </c>
    </row>
    <row r="34" spans="1:17" ht="20.25" customHeight="1" x14ac:dyDescent="0.3">
      <c r="A34" s="736">
        <v>30</v>
      </c>
      <c r="B34" s="816" t="str">
        <f>IF([2]DIG!AA33="","",[2]DIG!AA33)</f>
        <v/>
      </c>
      <c r="C34" s="822" t="str">
        <f>IF([2]DIG!AB33="","",[2]DIG!AB33)</f>
        <v/>
      </c>
      <c r="D34" s="853" t="str">
        <f>IF([2]DIG!AD33="","",[2]DIG!AD33)</f>
        <v/>
      </c>
      <c r="E34" s="763" t="str">
        <f>IF([2]DIG!AE33="","",[2]DIG!AE33)</f>
        <v/>
      </c>
      <c r="F34" s="816" t="str">
        <f>IF([2]DIG!AG33="","",[2]DIG!AG33)</f>
        <v/>
      </c>
      <c r="G34" s="822" t="str">
        <f>IF([2]DIG!AH33="","",[2]DIG!AH33)</f>
        <v/>
      </c>
      <c r="H34" s="853" t="str">
        <f>IF([2]DIG!AJ33="","",[2]DIG!AJ33)</f>
        <v/>
      </c>
      <c r="I34" s="763" t="str">
        <f>IF([2]DIG!AK33="","",[2]DIG!AK33)</f>
        <v/>
      </c>
      <c r="J34" s="816" t="str">
        <f>IF([2]DIG!AM33="","",[2]DIG!AM33)</f>
        <v/>
      </c>
      <c r="K34" s="822" t="str">
        <f>IF([2]DIG!AN33="","",[2]DIG!AN33)</f>
        <v/>
      </c>
      <c r="L34" s="853" t="str">
        <f>IF([2]DIG!AP33="","",[2]DIG!AP33)</f>
        <v/>
      </c>
      <c r="M34" s="763" t="str">
        <f>IF([2]DIG!AQ33="","",[2]DIG!AQ33)</f>
        <v/>
      </c>
      <c r="N34" s="816" t="str">
        <f>IF([2]DIG!AS33="","",[2]DIG!AS33)</f>
        <v/>
      </c>
      <c r="O34" s="822" t="str">
        <f>IF([2]DIG!AT33="","",[2]DIG!AT33)</f>
        <v/>
      </c>
      <c r="P34" s="853" t="str">
        <f>IF([2]DIG!AV33="","",[2]DIG!AV33)</f>
        <v/>
      </c>
      <c r="Q34" s="763" t="str">
        <f>IF([2]DIG!AW33="","",[2]DIG!AW33)</f>
        <v/>
      </c>
    </row>
    <row r="35" spans="1:17" ht="21" thickBot="1" x14ac:dyDescent="0.35">
      <c r="A35" s="736">
        <v>31</v>
      </c>
      <c r="B35" s="816" t="str">
        <f>IF([2]DIG!AA34="","",[2]DIG!AA34)</f>
        <v/>
      </c>
      <c r="C35" s="822" t="str">
        <f>IF([2]DIG!AB34="","",[2]DIG!AB34)</f>
        <v/>
      </c>
      <c r="D35" s="853" t="str">
        <f>IF([2]DIG!AD34="","",[2]DIG!AD34)</f>
        <v/>
      </c>
      <c r="E35" s="763" t="str">
        <f>IF([2]DIG!AE34="","",[2]DIG!AE34)</f>
        <v/>
      </c>
      <c r="F35" s="816" t="str">
        <f>IF([2]DIG!AG34="","",[2]DIG!AG34)</f>
        <v/>
      </c>
      <c r="G35" s="822" t="str">
        <f>IF([2]DIG!AH34="","",[2]DIG!AH34)</f>
        <v/>
      </c>
      <c r="H35" s="853" t="str">
        <f>IF([2]DIG!AJ34="","",[2]DIG!AJ34)</f>
        <v/>
      </c>
      <c r="I35" s="763" t="str">
        <f>IF([2]DIG!AK34="","",[2]DIG!AK34)</f>
        <v/>
      </c>
      <c r="J35" s="816" t="str">
        <f>IF([2]DIG!AM34="","",[2]DIG!AM34)</f>
        <v/>
      </c>
      <c r="K35" s="822" t="str">
        <f>IF([2]DIG!AN34="","",[2]DIG!AN34)</f>
        <v/>
      </c>
      <c r="L35" s="853" t="str">
        <f>IF([2]DIG!AP34="","",[2]DIG!AP34)</f>
        <v/>
      </c>
      <c r="M35" s="763" t="str">
        <f>IF([2]DIG!AQ34="","",[2]DIG!AQ34)</f>
        <v/>
      </c>
      <c r="N35" s="816" t="str">
        <f>IF([2]DIG!AS34="","",[2]DIG!AS34)</f>
        <v/>
      </c>
      <c r="O35" s="822" t="str">
        <f>IF([2]DIG!AT34="","",[2]DIG!AT34)</f>
        <v/>
      </c>
      <c r="P35" s="853" t="str">
        <f>IF([2]DIG!AV34="","",[2]DIG!AV34)</f>
        <v/>
      </c>
      <c r="Q35" s="763" t="str">
        <f>IF([2]DIG!AW34="","",[2]DIG!AW34)</f>
        <v/>
      </c>
    </row>
    <row r="36" spans="1:17" ht="20.25" x14ac:dyDescent="0.3">
      <c r="A36" s="735" t="s">
        <v>539</v>
      </c>
      <c r="B36" s="815">
        <f>IF(MAX(B5:B35)=0,"",MAX(B5:B35))</f>
        <v>2.12</v>
      </c>
      <c r="C36" s="741">
        <f t="shared" ref="C36:Q36" si="0">IF(MAX(C5:C35)=0,"",MAX(C5:C35))</f>
        <v>1.02</v>
      </c>
      <c r="D36" s="741">
        <f t="shared" si="0"/>
        <v>1.78</v>
      </c>
      <c r="E36" s="821">
        <f t="shared" si="0"/>
        <v>0.97</v>
      </c>
      <c r="F36" s="852">
        <f t="shared" si="0"/>
        <v>2.16</v>
      </c>
      <c r="G36" s="762">
        <f t="shared" si="0"/>
        <v>1.1200000000000001</v>
      </c>
      <c r="H36" s="815">
        <f t="shared" si="0"/>
        <v>2.15</v>
      </c>
      <c r="I36" s="821">
        <f t="shared" si="0"/>
        <v>1.1100000000000001</v>
      </c>
      <c r="J36" s="852">
        <f t="shared" si="0"/>
        <v>2.5099999999999998</v>
      </c>
      <c r="K36" s="762">
        <f t="shared" si="0"/>
        <v>1.55</v>
      </c>
      <c r="L36" s="815">
        <f t="shared" si="0"/>
        <v>2.16</v>
      </c>
      <c r="M36" s="821">
        <f t="shared" si="0"/>
        <v>1.1599999999999999</v>
      </c>
      <c r="N36" s="852">
        <f t="shared" si="0"/>
        <v>2.08</v>
      </c>
      <c r="O36" s="762">
        <f t="shared" si="0"/>
        <v>1.1299999999999999</v>
      </c>
      <c r="P36" s="815">
        <f t="shared" si="0"/>
        <v>184</v>
      </c>
      <c r="Q36" s="762">
        <f t="shared" si="0"/>
        <v>1.1299999999999999</v>
      </c>
    </row>
    <row r="37" spans="1:17" ht="20.25" x14ac:dyDescent="0.3">
      <c r="A37" s="736" t="s">
        <v>590</v>
      </c>
      <c r="B37" s="816">
        <f t="shared" ref="B37:P37" si="1">IF(MIN(B5:B35)=0,"",MIN(B5:B35))</f>
        <v>1.89</v>
      </c>
      <c r="C37" s="731">
        <f t="shared" si="1"/>
        <v>0.91</v>
      </c>
      <c r="D37" s="731">
        <f t="shared" si="1"/>
        <v>1.68</v>
      </c>
      <c r="E37" s="822">
        <f t="shared" si="1"/>
        <v>0.9</v>
      </c>
      <c r="F37" s="853">
        <f t="shared" si="1"/>
        <v>1.89</v>
      </c>
      <c r="G37" s="763">
        <f t="shared" si="1"/>
        <v>1.02</v>
      </c>
      <c r="H37" s="816">
        <f t="shared" si="1"/>
        <v>1.83</v>
      </c>
      <c r="I37" s="822">
        <f t="shared" si="1"/>
        <v>1</v>
      </c>
      <c r="J37" s="853">
        <f t="shared" si="1"/>
        <v>2.36</v>
      </c>
      <c r="K37" s="763">
        <f t="shared" si="1"/>
        <v>1.42</v>
      </c>
      <c r="L37" s="816">
        <f t="shared" si="1"/>
        <v>1.87</v>
      </c>
      <c r="M37" s="822">
        <f t="shared" si="1"/>
        <v>1.03</v>
      </c>
      <c r="N37" s="853">
        <f t="shared" si="1"/>
        <v>1.85</v>
      </c>
      <c r="O37" s="763">
        <f t="shared" si="1"/>
        <v>1.03</v>
      </c>
      <c r="P37" s="816">
        <f t="shared" si="1"/>
        <v>2.0099999999999998</v>
      </c>
      <c r="Q37" s="763">
        <f>IF(MIN(Q5:Q35)=0,"",MIN(Q5:Q35))</f>
        <v>1.04</v>
      </c>
    </row>
    <row r="38" spans="1:17" ht="20.25" x14ac:dyDescent="0.3">
      <c r="A38" s="736"/>
      <c r="B38" s="816"/>
      <c r="C38" s="731"/>
      <c r="D38" s="731"/>
      <c r="E38" s="822"/>
      <c r="F38" s="853"/>
      <c r="G38" s="763"/>
      <c r="H38" s="816"/>
      <c r="I38" s="822"/>
      <c r="J38" s="853"/>
      <c r="K38" s="763"/>
      <c r="L38" s="816"/>
      <c r="M38" s="822"/>
      <c r="N38" s="853"/>
      <c r="O38" s="763"/>
      <c r="P38" s="816"/>
      <c r="Q38" s="763"/>
    </row>
    <row r="39" spans="1:17" ht="21" thickBot="1" x14ac:dyDescent="0.35">
      <c r="A39" s="737" t="s">
        <v>538</v>
      </c>
      <c r="B39" s="817">
        <f>IF(B36="",0,AVERAGE(B5:B35))</f>
        <v>2.008</v>
      </c>
      <c r="C39" s="804">
        <f t="shared" ref="C39:Q39" si="2">IF(C36="",0,AVERAGE(C5:C35))</f>
        <v>0.95799999999999996</v>
      </c>
      <c r="D39" s="804">
        <f t="shared" si="2"/>
        <v>1.7239999999999998</v>
      </c>
      <c r="E39" s="823">
        <f t="shared" si="2"/>
        <v>0.94600000000000006</v>
      </c>
      <c r="F39" s="854">
        <f t="shared" si="2"/>
        <v>2.0420000000000003</v>
      </c>
      <c r="G39" s="851">
        <f t="shared" si="2"/>
        <v>1.0780000000000001</v>
      </c>
      <c r="H39" s="817">
        <f t="shared" si="2"/>
        <v>1.952</v>
      </c>
      <c r="I39" s="823">
        <f t="shared" si="2"/>
        <v>1.044</v>
      </c>
      <c r="J39" s="854">
        <f t="shared" si="2"/>
        <v>2.4279999999999999</v>
      </c>
      <c r="K39" s="851">
        <f t="shared" si="2"/>
        <v>1.4899999999999998</v>
      </c>
      <c r="L39" s="817">
        <f t="shared" si="2"/>
        <v>2.0740000000000003</v>
      </c>
      <c r="M39" s="823">
        <f t="shared" si="2"/>
        <v>1.1100000000000001</v>
      </c>
      <c r="N39" s="854">
        <f t="shared" si="2"/>
        <v>1.9900000000000002</v>
      </c>
      <c r="O39" s="851">
        <f t="shared" si="2"/>
        <v>1.0840000000000001</v>
      </c>
      <c r="P39" s="817">
        <f t="shared" si="2"/>
        <v>38.43</v>
      </c>
      <c r="Q39" s="851">
        <f t="shared" si="2"/>
        <v>1.1000000000000001</v>
      </c>
    </row>
    <row r="40" spans="1:17" ht="15.95" customHeight="1" x14ac:dyDescent="0.2">
      <c r="B40" s="664"/>
      <c r="D40" s="664"/>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O121"/>
  <sheetViews>
    <sheetView zoomScale="55" zoomScaleNormal="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91"/>
      <c r="B1" s="1659" t="s">
        <v>348</v>
      </c>
      <c r="C1" s="1660"/>
      <c r="D1" s="1660"/>
      <c r="E1" s="1660"/>
      <c r="F1" s="1660"/>
      <c r="G1" s="1660"/>
      <c r="H1" s="1660"/>
      <c r="I1" s="1661"/>
      <c r="J1" s="896"/>
      <c r="K1" s="897"/>
      <c r="L1" s="1659" t="s">
        <v>27</v>
      </c>
      <c r="M1" s="1660"/>
      <c r="N1" s="1660"/>
      <c r="O1" s="1660"/>
      <c r="P1" s="1660"/>
      <c r="Q1" s="1661"/>
      <c r="R1" s="898"/>
      <c r="S1" s="898"/>
      <c r="T1" s="898"/>
      <c r="U1" s="898"/>
      <c r="V1" s="898"/>
      <c r="W1" s="898"/>
      <c r="X1" s="1659" t="s">
        <v>28</v>
      </c>
      <c r="Y1" s="1660"/>
      <c r="Z1" s="1660"/>
      <c r="AA1" s="1660"/>
      <c r="AB1" s="1660"/>
      <c r="AC1" s="1661"/>
      <c r="AD1" s="1659" t="s">
        <v>29</v>
      </c>
      <c r="AE1" s="1660"/>
      <c r="AF1" s="1660"/>
      <c r="AG1" s="1660"/>
      <c r="AH1" s="1660"/>
      <c r="AI1" s="1661"/>
      <c r="AJ1" s="1666" t="s">
        <v>433</v>
      </c>
      <c r="AK1" s="1667"/>
    </row>
    <row r="2" spans="1:41" ht="21" thickBot="1" x14ac:dyDescent="0.35">
      <c r="A2" s="791" t="s">
        <v>550</v>
      </c>
      <c r="B2" s="415" t="s">
        <v>639</v>
      </c>
      <c r="C2" s="342" t="s">
        <v>640</v>
      </c>
      <c r="D2" s="342" t="s">
        <v>641</v>
      </c>
      <c r="E2" s="342" t="s">
        <v>642</v>
      </c>
      <c r="F2" s="342" t="s">
        <v>643</v>
      </c>
      <c r="G2" s="342" t="s">
        <v>644</v>
      </c>
      <c r="H2" s="342" t="s">
        <v>563</v>
      </c>
      <c r="I2" s="416" t="s">
        <v>564</v>
      </c>
      <c r="J2" s="279" t="s">
        <v>639</v>
      </c>
      <c r="K2" s="419" t="s">
        <v>640</v>
      </c>
      <c r="L2" s="423" t="s">
        <v>641</v>
      </c>
      <c r="M2" s="408" t="s">
        <v>642</v>
      </c>
      <c r="N2" s="343" t="s">
        <v>643</v>
      </c>
      <c r="O2" s="343" t="s">
        <v>644</v>
      </c>
      <c r="P2" s="343" t="s">
        <v>563</v>
      </c>
      <c r="Q2" s="424" t="s">
        <v>564</v>
      </c>
      <c r="R2" s="421" t="s">
        <v>645</v>
      </c>
      <c r="S2" s="409"/>
      <c r="T2" s="90"/>
      <c r="U2" s="409"/>
      <c r="V2" s="409"/>
      <c r="W2" s="65"/>
      <c r="X2" s="423" t="s">
        <v>641</v>
      </c>
      <c r="Y2" s="408" t="s">
        <v>642</v>
      </c>
      <c r="Z2" s="343" t="s">
        <v>643</v>
      </c>
      <c r="AA2" s="343" t="s">
        <v>644</v>
      </c>
      <c r="AB2" s="343" t="s">
        <v>563</v>
      </c>
      <c r="AC2" s="424" t="s">
        <v>564</v>
      </c>
      <c r="AD2" s="423" t="s">
        <v>641</v>
      </c>
      <c r="AE2" s="408" t="s">
        <v>642</v>
      </c>
      <c r="AF2" s="343" t="s">
        <v>643</v>
      </c>
      <c r="AG2" s="343" t="s">
        <v>644</v>
      </c>
      <c r="AH2" s="343" t="s">
        <v>563</v>
      </c>
      <c r="AI2" s="424" t="s">
        <v>564</v>
      </c>
      <c r="AJ2" s="1662" t="s">
        <v>414</v>
      </c>
      <c r="AK2" s="1663"/>
    </row>
    <row r="3" spans="1:41" ht="21" thickBot="1" x14ac:dyDescent="0.35">
      <c r="A3" s="855">
        <f>IF(date!B6="","",date!B6)</f>
        <v>43466</v>
      </c>
      <c r="B3" s="415" t="s">
        <v>323</v>
      </c>
      <c r="C3" s="342" t="s">
        <v>323</v>
      </c>
      <c r="D3" s="342" t="s">
        <v>323</v>
      </c>
      <c r="E3" s="342" t="s">
        <v>323</v>
      </c>
      <c r="F3" s="342" t="s">
        <v>323</v>
      </c>
      <c r="G3" s="342" t="s">
        <v>323</v>
      </c>
      <c r="H3" s="342" t="s">
        <v>323</v>
      </c>
      <c r="I3" s="416" t="s">
        <v>323</v>
      </c>
      <c r="J3" s="279" t="s">
        <v>651</v>
      </c>
      <c r="K3" s="278" t="s">
        <v>651</v>
      </c>
      <c r="L3" s="423" t="s">
        <v>514</v>
      </c>
      <c r="M3" s="343" t="s">
        <v>514</v>
      </c>
      <c r="N3" s="343" t="s">
        <v>514</v>
      </c>
      <c r="O3" s="343" t="s">
        <v>514</v>
      </c>
      <c r="P3" s="343" t="s">
        <v>514</v>
      </c>
      <c r="Q3" s="424" t="s">
        <v>514</v>
      </c>
      <c r="R3" s="66" t="s">
        <v>639</v>
      </c>
      <c r="S3" s="78" t="s">
        <v>640</v>
      </c>
      <c r="T3" s="78" t="s">
        <v>641</v>
      </c>
      <c r="U3" s="78" t="s">
        <v>642</v>
      </c>
      <c r="V3" s="78" t="s">
        <v>643</v>
      </c>
      <c r="W3" s="65" t="s">
        <v>644</v>
      </c>
      <c r="X3" s="415" t="s">
        <v>324</v>
      </c>
      <c r="Y3" s="342" t="s">
        <v>324</v>
      </c>
      <c r="Z3" s="342" t="s">
        <v>324</v>
      </c>
      <c r="AA3" s="342" t="s">
        <v>324</v>
      </c>
      <c r="AB3" s="342" t="s">
        <v>324</v>
      </c>
      <c r="AC3" s="416" t="s">
        <v>324</v>
      </c>
      <c r="AD3" s="415" t="s">
        <v>324</v>
      </c>
      <c r="AE3" s="342" t="s">
        <v>324</v>
      </c>
      <c r="AF3" s="342" t="s">
        <v>324</v>
      </c>
      <c r="AG3" s="342" t="s">
        <v>324</v>
      </c>
      <c r="AH3" s="342" t="s">
        <v>324</v>
      </c>
      <c r="AI3" s="416" t="s">
        <v>324</v>
      </c>
      <c r="AJ3" s="1664" t="s">
        <v>162</v>
      </c>
      <c r="AK3" s="1665"/>
    </row>
    <row r="4" spans="1:41" ht="21" thickBot="1" x14ac:dyDescent="0.35">
      <c r="A4" s="794">
        <f>IF(date!B6="","",date!B6)</f>
        <v>43466</v>
      </c>
      <c r="B4" s="417"/>
      <c r="C4" s="410"/>
      <c r="D4" s="410"/>
      <c r="E4" s="410"/>
      <c r="F4" s="410"/>
      <c r="G4" s="410"/>
      <c r="H4" s="410"/>
      <c r="I4" s="418"/>
      <c r="J4" s="414"/>
      <c r="K4" s="420"/>
      <c r="L4" s="425"/>
      <c r="M4" s="411"/>
      <c r="N4" s="411"/>
      <c r="O4" s="411"/>
      <c r="P4" s="411"/>
      <c r="Q4" s="426"/>
      <c r="R4" s="422"/>
      <c r="S4" s="412"/>
      <c r="T4" s="412"/>
      <c r="U4" s="412"/>
      <c r="V4" s="412"/>
      <c r="W4" s="427"/>
      <c r="X4" s="428"/>
      <c r="Y4" s="413"/>
      <c r="Z4" s="413"/>
      <c r="AA4" s="413"/>
      <c r="AB4" s="413"/>
      <c r="AC4" s="429"/>
      <c r="AD4" s="428"/>
      <c r="AE4" s="413"/>
      <c r="AF4" s="413"/>
      <c r="AG4" s="413"/>
      <c r="AH4" s="413"/>
      <c r="AI4" s="429"/>
      <c r="AJ4" s="430" t="s">
        <v>434</v>
      </c>
      <c r="AK4" s="905" t="s">
        <v>432</v>
      </c>
    </row>
    <row r="5" spans="1:41" ht="20.25" x14ac:dyDescent="0.3">
      <c r="A5" s="735">
        <v>1</v>
      </c>
      <c r="B5" s="866">
        <f>IF([1]Digesters!R4="","",[1]Digesters!R4)</f>
        <v>97</v>
      </c>
      <c r="C5" s="859">
        <f>IF([1]Digesters!S4="","",[1]Digesters!S4)</f>
        <v>100</v>
      </c>
      <c r="D5" s="859">
        <f>IF([1]Digesters!T4="","",[1]Digesters!T4)</f>
        <v>99</v>
      </c>
      <c r="E5" s="857">
        <f>IF([1]Digesters!U4="","",[1]Digesters!U4)</f>
        <v>99</v>
      </c>
      <c r="F5" s="859">
        <f>IF([1]Digesters!V4="","",[1]Digesters!V4)</f>
        <v>99</v>
      </c>
      <c r="G5" s="859">
        <f>IF([1]Digesters!W4="","",[1]Digesters!W4)</f>
        <v>99</v>
      </c>
      <c r="H5" s="859">
        <f>IF([1]Digesters!X4="","",[1]Digesters!X4)</f>
        <v>99</v>
      </c>
      <c r="I5" s="859">
        <f>IF([1]Digesters!Y4="","",[1]Digesters!Y4)</f>
        <v>99</v>
      </c>
      <c r="J5" s="860"/>
      <c r="K5" s="869"/>
      <c r="L5" s="871">
        <f>IF([2]DIG!H4="","",[2]DIG!H4)</f>
        <v>7.3</v>
      </c>
      <c r="M5" s="860">
        <f>IF([2]DIG!K4="","",[2]DIG!K4)</f>
        <v>7.3</v>
      </c>
      <c r="N5" s="860">
        <f>IF([2]DIG!N4="","",[2]DIG!N4)</f>
        <v>7.3</v>
      </c>
      <c r="O5" s="860">
        <f>IF([2]DIG!Q4="","",[2]DIG!Q4)</f>
        <v>7.3</v>
      </c>
      <c r="P5" s="860">
        <f>IF([2]DIG!T4="","",[2]DIG!T4)</f>
        <v>7.4</v>
      </c>
      <c r="Q5" s="872">
        <f>IF([2]DIG!W4="","",[2]DIG!W4)</f>
        <v>7.2</v>
      </c>
      <c r="R5" s="866"/>
      <c r="S5" s="859"/>
      <c r="T5" s="859"/>
      <c r="U5" s="859"/>
      <c r="V5" s="859"/>
      <c r="W5" s="859"/>
      <c r="X5" s="859">
        <f>IF([2]DIG!I4="","",[2]DIG!I4)</f>
        <v>3750</v>
      </c>
      <c r="Y5" s="859">
        <f>IF([2]DIG!L4="","",[2]DIG!L4)</f>
        <v>3500</v>
      </c>
      <c r="Z5" s="859">
        <f>IF([2]DIG!O4="","",[2]DIG!O4)</f>
        <v>5620</v>
      </c>
      <c r="AA5" s="859">
        <f>IF([2]DIG!R4="","",[2]DIG!R4)</f>
        <v>3660</v>
      </c>
      <c r="AB5" s="859">
        <f>IF([2]DIG!U4="","",[2]DIG!U4)</f>
        <v>3620</v>
      </c>
      <c r="AC5" s="875">
        <f>IF([2]DIG!X4="","",[2]DIG!X4)</f>
        <v>3800</v>
      </c>
      <c r="AD5" s="880">
        <f>IF([2]DIG!J4="","",[2]DIG!J4)</f>
        <v>45</v>
      </c>
      <c r="AE5" s="859">
        <f>IF([2]DIG!M4="","",[2]DIG!M4)</f>
        <v>55</v>
      </c>
      <c r="AF5" s="859">
        <f>IF([2]DIG!P4="","",[2]DIG!P4)</f>
        <v>75</v>
      </c>
      <c r="AG5" s="859">
        <f>IF([2]DIG!S4="","",[2]DIG!S4)</f>
        <v>60</v>
      </c>
      <c r="AH5" s="859">
        <f>IF([2]DIG!V4="","",[2]DIG!V4)</f>
        <v>48</v>
      </c>
      <c r="AI5" s="881">
        <f>IF([2]DIG!Y4="","",[2]DIG!Y4)</f>
        <v>50</v>
      </c>
      <c r="AJ5" s="878">
        <f>IF([1]Digesters!AD4="","",[1]Digesters!AD4*100/1000000*((('DIG-1'!$F$39+'DIG-1'!$H$39+'DIG-1'!$J$39)/3)*10000)*8.34/2000)</f>
        <v>39.589382299999997</v>
      </c>
      <c r="AK5" s="861">
        <f>IF([1]Digesters!AA4="","",[1]Digesters!AA4*100/1000000*('DIG-1'!$L$39*10000)*8.34/2000)</f>
        <v>12.108012000000002</v>
      </c>
      <c r="AL5" s="856"/>
      <c r="AM5" s="185"/>
      <c r="AN5" s="185"/>
      <c r="AO5" s="199" t="s">
        <v>106</v>
      </c>
    </row>
    <row r="6" spans="1:41" ht="20.25" x14ac:dyDescent="0.3">
      <c r="A6" s="736">
        <v>2</v>
      </c>
      <c r="B6" s="867">
        <f>IF([1]Digesters!R5="","",[1]Digesters!R5)</f>
        <v>98</v>
      </c>
      <c r="C6" s="857">
        <f>IF([1]Digesters!S5="","",[1]Digesters!S5)</f>
        <v>100</v>
      </c>
      <c r="D6" s="857">
        <f>IF([1]Digesters!T5="","",[1]Digesters!T5)</f>
        <v>99</v>
      </c>
      <c r="E6" s="857">
        <f>IF([1]Digesters!U5="","",[1]Digesters!U5)</f>
        <v>99</v>
      </c>
      <c r="F6" s="857">
        <f>IF([1]Digesters!V5="","",[1]Digesters!V5)</f>
        <v>99</v>
      </c>
      <c r="G6" s="857">
        <f>IF([1]Digesters!W5="","",[1]Digesters!W5)</f>
        <v>99</v>
      </c>
      <c r="H6" s="857">
        <f>IF([1]Digesters!X5="","",[1]Digesters!X5)</f>
        <v>99</v>
      </c>
      <c r="I6" s="857">
        <f>IF([1]Digesters!Y5="","",[1]Digesters!Y5)</f>
        <v>99</v>
      </c>
      <c r="J6" s="858"/>
      <c r="K6" s="870"/>
      <c r="L6" s="873">
        <f>IF([2]DIG!H5="","",[2]DIG!H5)</f>
        <v>7.3</v>
      </c>
      <c r="M6" s="858">
        <f>IF([2]DIG!K5="","",[2]DIG!K5)</f>
        <v>7.3</v>
      </c>
      <c r="N6" s="858">
        <f>IF([2]DIG!N5="","",[2]DIG!N5)</f>
        <v>7.4</v>
      </c>
      <c r="O6" s="858">
        <f>IF([2]DIG!Q5="","",[2]DIG!Q5)</f>
        <v>7.4</v>
      </c>
      <c r="P6" s="858">
        <f>IF([2]DIG!T5="","",[2]DIG!T5)</f>
        <v>7.3</v>
      </c>
      <c r="Q6" s="874">
        <f>IF([2]DIG!W5="","",[2]DIG!W5)</f>
        <v>7.2</v>
      </c>
      <c r="R6" s="867"/>
      <c r="S6" s="857"/>
      <c r="T6" s="857"/>
      <c r="U6" s="857"/>
      <c r="V6" s="857"/>
      <c r="W6" s="857"/>
      <c r="X6" s="857">
        <f>IF([2]DIG!I5="","",[2]DIG!I5)</f>
        <v>3990</v>
      </c>
      <c r="Y6" s="857">
        <f>IF([2]DIG!L5="","",[2]DIG!L5)</f>
        <v>3410</v>
      </c>
      <c r="Z6" s="857">
        <f>IF([2]DIG!O5="","",[2]DIG!O5)</f>
        <v>5550</v>
      </c>
      <c r="AA6" s="857">
        <f>IF([2]DIG!R5="","",[2]DIG!R5)</f>
        <v>3570</v>
      </c>
      <c r="AB6" s="857">
        <f>IF([2]DIG!U5="","",[2]DIG!U5)</f>
        <v>3790</v>
      </c>
      <c r="AC6" s="876">
        <f>IF([2]DIG!X5="","",[2]DIG!X5)</f>
        <v>3970</v>
      </c>
      <c r="AD6" s="882">
        <f>IF([2]DIG!J5="","",[2]DIG!J5)</f>
        <v>65</v>
      </c>
      <c r="AE6" s="857">
        <f>IF([2]DIG!M5="","",[2]DIG!M5)</f>
        <v>62</v>
      </c>
      <c r="AF6" s="857">
        <f>IF([2]DIG!P5="","",[2]DIG!P5)</f>
        <v>90</v>
      </c>
      <c r="AG6" s="857">
        <f>IF([2]DIG!S5="","",[2]DIG!S5)</f>
        <v>75</v>
      </c>
      <c r="AH6" s="857">
        <f>IF([2]DIG!V5="","",[2]DIG!V5)</f>
        <v>55</v>
      </c>
      <c r="AI6" s="883">
        <f>IF([2]DIG!Y5="","",[2]DIG!Y5)</f>
        <v>60</v>
      </c>
      <c r="AJ6" s="879">
        <f>IF([1]Digesters!AD5="","",[1]Digesters!AD5*100/1000000*((('DIG-1'!$F$39+'DIG-1'!$H$39+'DIG-1'!$J$39)/3)*10000)*8.34/2000)</f>
        <v>37.259544920000003</v>
      </c>
      <c r="AK6" s="862">
        <f>IF([1]Digesters!AA5="","",[1]Digesters!AA5*100/1000000*('DIG-1'!$L$39*10000)*8.34/2000)</f>
        <v>12.479900940000004</v>
      </c>
    </row>
    <row r="7" spans="1:41" ht="20.25" x14ac:dyDescent="0.3">
      <c r="A7" s="736">
        <v>3</v>
      </c>
      <c r="B7" s="867">
        <f>IF([1]Digesters!R6="","",[1]Digesters!R6)</f>
        <v>99</v>
      </c>
      <c r="C7" s="857">
        <f>IF([1]Digesters!S6="","",[1]Digesters!S6)</f>
        <v>100</v>
      </c>
      <c r="D7" s="857">
        <f>IF([1]Digesters!T6="","",[1]Digesters!T6)</f>
        <v>99</v>
      </c>
      <c r="E7" s="857">
        <f>IF([1]Digesters!U6="","",[1]Digesters!U6)</f>
        <v>99</v>
      </c>
      <c r="F7" s="857">
        <f>IF([1]Digesters!V6="","",[1]Digesters!V6)</f>
        <v>99</v>
      </c>
      <c r="G7" s="857">
        <f>IF([1]Digesters!W6="","",[1]Digesters!W6)</f>
        <v>99</v>
      </c>
      <c r="H7" s="857">
        <f>IF([1]Digesters!X6="","",[1]Digesters!X6)</f>
        <v>99</v>
      </c>
      <c r="I7" s="857">
        <f>IF([1]Digesters!Y6="","",[1]Digesters!Y6)</f>
        <v>99</v>
      </c>
      <c r="J7" s="858"/>
      <c r="K7" s="870"/>
      <c r="L7" s="873">
        <f>IF([2]DIG!H6="","",[2]DIG!H6)</f>
        <v>7.2</v>
      </c>
      <c r="M7" s="858">
        <f>IF([2]DIG!K6="","",[2]DIG!K6)</f>
        <v>7.3</v>
      </c>
      <c r="N7" s="858">
        <f>IF([2]DIG!N6="","",[2]DIG!N6)</f>
        <v>7.3</v>
      </c>
      <c r="O7" s="858">
        <f>IF([2]DIG!Q6="","",[2]DIG!Q6)</f>
        <v>7.4</v>
      </c>
      <c r="P7" s="858">
        <f>IF([2]DIG!T6="","",[2]DIG!T6)</f>
        <v>7.3</v>
      </c>
      <c r="Q7" s="874">
        <f>IF([2]DIG!W6="","",[2]DIG!W6)</f>
        <v>7.2</v>
      </c>
      <c r="R7" s="867"/>
      <c r="S7" s="857"/>
      <c r="T7" s="857"/>
      <c r="U7" s="857"/>
      <c r="V7" s="857"/>
      <c r="W7" s="857"/>
      <c r="X7" s="857">
        <f>IF([2]DIG!I6="","",[2]DIG!I6)</f>
        <v>3680</v>
      </c>
      <c r="Y7" s="857">
        <f>IF([2]DIG!L6="","",[2]DIG!L6)</f>
        <v>3420</v>
      </c>
      <c r="Z7" s="857">
        <f>IF([2]DIG!O6="","",[2]DIG!O6)</f>
        <v>5430</v>
      </c>
      <c r="AA7" s="857">
        <f>IF([2]DIG!R6="","",[2]DIG!R6)</f>
        <v>3780</v>
      </c>
      <c r="AB7" s="857">
        <f>IF([2]DIG!U6="","",[2]DIG!U6)</f>
        <v>3640</v>
      </c>
      <c r="AC7" s="876">
        <f>IF([2]DIG!X6="","",[2]DIG!X6)</f>
        <v>3800</v>
      </c>
      <c r="AD7" s="882">
        <f>IF([2]DIG!J6="","",[2]DIG!J6)</f>
        <v>55</v>
      </c>
      <c r="AE7" s="857">
        <f>IF([2]DIG!M6="","",[2]DIG!M6)</f>
        <v>60</v>
      </c>
      <c r="AF7" s="857">
        <f>IF([2]DIG!P6="","",[2]DIG!P6)</f>
        <v>85</v>
      </c>
      <c r="AG7" s="857">
        <f>IF([2]DIG!S6="","",[2]DIG!S6)</f>
        <v>60</v>
      </c>
      <c r="AH7" s="857">
        <f>IF([2]DIG!V6="","",[2]DIG!V6)</f>
        <v>60</v>
      </c>
      <c r="AI7" s="883">
        <f>IF([2]DIG!Y6="","",[2]DIG!Y6)</f>
        <v>50</v>
      </c>
      <c r="AJ7" s="879">
        <f>IF([1]Digesters!AD6="","",[1]Digesters!AD6*100/1000000*((('DIG-1'!$F$39+'DIG-1'!$H$39+'DIG-1'!$J$39)/3)*10000)*8.34/2000)</f>
        <v>40.080344199999999</v>
      </c>
      <c r="AK7" s="862">
        <f>IF([1]Digesters!AA6="","",[1]Digesters!AA6*100/1000000*('DIG-1'!$L$39*10000)*8.34/2000)</f>
        <v>41.936964420000002</v>
      </c>
    </row>
    <row r="8" spans="1:41" ht="20.25" x14ac:dyDescent="0.3">
      <c r="A8" s="736">
        <v>4</v>
      </c>
      <c r="B8" s="867">
        <f>IF([1]Digesters!R7="","",[1]Digesters!R7)</f>
        <v>99</v>
      </c>
      <c r="C8" s="857">
        <f>IF([1]Digesters!S7="","",[1]Digesters!S7)</f>
        <v>101</v>
      </c>
      <c r="D8" s="857">
        <f>IF([1]Digesters!T7="","",[1]Digesters!T7)</f>
        <v>99</v>
      </c>
      <c r="E8" s="857">
        <f>IF([1]Digesters!U7="","",[1]Digesters!U7)</f>
        <v>99</v>
      </c>
      <c r="F8" s="857">
        <f>IF([1]Digesters!V7="","",[1]Digesters!V7)</f>
        <v>99</v>
      </c>
      <c r="G8" s="857">
        <f>IF([1]Digesters!W7="","",[1]Digesters!W7)</f>
        <v>99</v>
      </c>
      <c r="H8" s="857">
        <f>IF([1]Digesters!X7="","",[1]Digesters!X7)</f>
        <v>99</v>
      </c>
      <c r="I8" s="857">
        <f>IF([1]Digesters!Y7="","",[1]Digesters!Y7)</f>
        <v>99</v>
      </c>
      <c r="J8" s="858"/>
      <c r="K8" s="870"/>
      <c r="L8" s="873">
        <f>IF([2]DIG!H7="","",[2]DIG!H7)</f>
        <v>7.2</v>
      </c>
      <c r="M8" s="858">
        <f>IF([2]DIG!K7="","",[2]DIG!K7)</f>
        <v>7.2</v>
      </c>
      <c r="N8" s="858">
        <f>IF([2]DIG!N7="","",[2]DIG!N7)</f>
        <v>7.4</v>
      </c>
      <c r="O8" s="858">
        <f>IF([2]DIG!Q7="","",[2]DIG!Q7)</f>
        <v>7.3</v>
      </c>
      <c r="P8" s="858">
        <f>IF([2]DIG!T7="","",[2]DIG!T7)</f>
        <v>7.3</v>
      </c>
      <c r="Q8" s="874">
        <f>IF([2]DIG!W7="","",[2]DIG!W7)</f>
        <v>7.3</v>
      </c>
      <c r="R8" s="867"/>
      <c r="S8" s="857"/>
      <c r="T8" s="857"/>
      <c r="U8" s="857"/>
      <c r="V8" s="857"/>
      <c r="W8" s="857"/>
      <c r="X8" s="857">
        <f>IF([2]DIG!I7="","",[2]DIG!I7)</f>
        <v>4070</v>
      </c>
      <c r="Y8" s="857">
        <f>IF([2]DIG!L7="","",[2]DIG!L7)</f>
        <v>3530</v>
      </c>
      <c r="Z8" s="857">
        <f>IF([2]DIG!O7="","",[2]DIG!O7)</f>
        <v>6070</v>
      </c>
      <c r="AA8" s="857">
        <f>IF([2]DIG!R7="","",[2]DIG!R7)</f>
        <v>4040</v>
      </c>
      <c r="AB8" s="857">
        <f>IF([2]DIG!U7="","",[2]DIG!U7)</f>
        <v>3960</v>
      </c>
      <c r="AC8" s="876">
        <f>IF([2]DIG!X7="","",[2]DIG!X7)</f>
        <v>3890</v>
      </c>
      <c r="AD8" s="882">
        <f>IF([2]DIG!J7="","",[2]DIG!J7)</f>
        <v>45</v>
      </c>
      <c r="AE8" s="857">
        <f>IF([2]DIG!M7="","",[2]DIG!M7)</f>
        <v>55</v>
      </c>
      <c r="AF8" s="857">
        <f>IF([2]DIG!P7="","",[2]DIG!P7)</f>
        <v>78</v>
      </c>
      <c r="AG8" s="857">
        <f>IF([2]DIG!S7="","",[2]DIG!S7)</f>
        <v>58</v>
      </c>
      <c r="AH8" s="857">
        <f>IF([2]DIG!V7="","",[2]DIG!V7)</f>
        <v>58</v>
      </c>
      <c r="AI8" s="883">
        <f>IF([2]DIG!Y7="","",[2]DIG!Y7)</f>
        <v>52</v>
      </c>
      <c r="AJ8" s="879">
        <f>IF([1]Digesters!AD7="","",[1]Digesters!AD7*100/1000000*((('DIG-1'!$F$39+'DIG-1'!$H$39+'DIG-1'!$J$39)/3)*10000)*8.34/2000)</f>
        <v>57.85316498000001</v>
      </c>
      <c r="AK8" s="862">
        <f>IF([1]Digesters!AA7="","",[1]Digesters!AA7*100/1000000*('DIG-1'!$L$39*10000)*8.34/2000)</f>
        <v>32.769469620000002</v>
      </c>
    </row>
    <row r="9" spans="1:41" ht="20.25" x14ac:dyDescent="0.3">
      <c r="A9" s="736">
        <v>5</v>
      </c>
      <c r="B9" s="867">
        <f>IF([1]Digesters!R8="","",[1]Digesters!R8)</f>
        <v>100</v>
      </c>
      <c r="C9" s="857">
        <f>IF([1]Digesters!S8="","",[1]Digesters!S8)</f>
        <v>102</v>
      </c>
      <c r="D9" s="857">
        <f>IF([1]Digesters!T8="","",[1]Digesters!T8)</f>
        <v>99</v>
      </c>
      <c r="E9" s="857">
        <f>IF([1]Digesters!U8="","",[1]Digesters!U8)</f>
        <v>99</v>
      </c>
      <c r="F9" s="857">
        <f>IF([1]Digesters!V8="","",[1]Digesters!V8)</f>
        <v>99</v>
      </c>
      <c r="G9" s="857">
        <f>IF([1]Digesters!W8="","",[1]Digesters!W8)</f>
        <v>99</v>
      </c>
      <c r="H9" s="857">
        <f>IF([1]Digesters!X8="","",[1]Digesters!X8)</f>
        <v>99</v>
      </c>
      <c r="I9" s="857">
        <f>IF([1]Digesters!Y8="","",[1]Digesters!Y8)</f>
        <v>99</v>
      </c>
      <c r="J9" s="858"/>
      <c r="K9" s="870"/>
      <c r="L9" s="873">
        <f>IF([2]DIG!H8="","",[2]DIG!H8)</f>
        <v>7.3</v>
      </c>
      <c r="M9" s="858">
        <f>IF([2]DIG!K8="","",[2]DIG!K8)</f>
        <v>7.3</v>
      </c>
      <c r="N9" s="858">
        <f>IF([2]DIG!N8="","",[2]DIG!N8)</f>
        <v>7.3</v>
      </c>
      <c r="O9" s="858">
        <f>IF([2]DIG!Q8="","",[2]DIG!Q8)</f>
        <v>7.3</v>
      </c>
      <c r="P9" s="858">
        <f>IF([2]DIG!T8="","",[2]DIG!T8)</f>
        <v>7.3</v>
      </c>
      <c r="Q9" s="874">
        <f>IF([2]DIG!W8="","",[2]DIG!W8)</f>
        <v>7.2</v>
      </c>
      <c r="R9" s="867"/>
      <c r="S9" s="857"/>
      <c r="T9" s="857"/>
      <c r="U9" s="857"/>
      <c r="V9" s="857"/>
      <c r="W9" s="857"/>
      <c r="X9" s="857">
        <f>IF([2]DIG!I8="","",[2]DIG!I8)</f>
        <v>3640</v>
      </c>
      <c r="Y9" s="857">
        <f>IF([2]DIG!L8="","",[2]DIG!L8)</f>
        <v>3610</v>
      </c>
      <c r="Z9" s="857">
        <f>IF([2]DIG!O8="","",[2]DIG!O8)</f>
        <v>5610</v>
      </c>
      <c r="AA9" s="857">
        <f>IF([2]DIG!R8="","",[2]DIG!R8)</f>
        <v>3800</v>
      </c>
      <c r="AB9" s="857">
        <f>IF([2]DIG!U8="","",[2]DIG!U8)</f>
        <v>3470</v>
      </c>
      <c r="AC9" s="876">
        <f>IF([2]DIG!X8="","",[2]DIG!X8)</f>
        <v>3660</v>
      </c>
      <c r="AD9" s="882">
        <f>IF([2]DIG!J8="","",[2]DIG!J8)</f>
        <v>50</v>
      </c>
      <c r="AE9" s="857">
        <f>IF([2]DIG!M8="","",[2]DIG!M8)</f>
        <v>48</v>
      </c>
      <c r="AF9" s="857">
        <f>IF([2]DIG!P8="","",[2]DIG!P8)</f>
        <v>80</v>
      </c>
      <c r="AG9" s="857">
        <f>IF([2]DIG!S8="","",[2]DIG!S8)</f>
        <v>60</v>
      </c>
      <c r="AH9" s="857">
        <f>IF([2]DIG!V8="","",[2]DIG!V8)</f>
        <v>68</v>
      </c>
      <c r="AI9" s="883">
        <f>IF([2]DIG!Y8="","",[2]DIG!Y8)</f>
        <v>58</v>
      </c>
      <c r="AJ9" s="879">
        <f>IF([1]Digesters!AD8="","",[1]Digesters!AD8*100/1000000*((('DIG-1'!$F$39+'DIG-1'!$H$39+'DIG-1'!$J$39)/3)*10000)*8.34/2000)</f>
        <v>45.605897220000003</v>
      </c>
      <c r="AK9" s="862">
        <f>IF([1]Digesters!AA8="","",[1]Digesters!AA8*100/1000000*('DIG-1'!$L$39*10000)*8.34/2000)</f>
        <v>10.04964996</v>
      </c>
    </row>
    <row r="10" spans="1:41" ht="20.25" x14ac:dyDescent="0.3">
      <c r="A10" s="736">
        <v>6</v>
      </c>
      <c r="B10" s="867">
        <f>IF([1]Digesters!R9="","",[1]Digesters!R9)</f>
        <v>100</v>
      </c>
      <c r="C10" s="857">
        <f>IF([1]Digesters!S9="","",[1]Digesters!S9)</f>
        <v>102</v>
      </c>
      <c r="D10" s="857">
        <f>IF([1]Digesters!T9="","",[1]Digesters!T9)</f>
        <v>99</v>
      </c>
      <c r="E10" s="857">
        <f>IF([1]Digesters!U9="","",[1]Digesters!U9)</f>
        <v>99</v>
      </c>
      <c r="F10" s="857">
        <f>IF([1]Digesters!V9="","",[1]Digesters!V9)</f>
        <v>99</v>
      </c>
      <c r="G10" s="857">
        <f>IF([1]Digesters!W9="","",[1]Digesters!W9)</f>
        <v>99</v>
      </c>
      <c r="H10" s="857">
        <f>IF([1]Digesters!X9="","",[1]Digesters!X9)</f>
        <v>99</v>
      </c>
      <c r="I10" s="857">
        <f>IF([1]Digesters!Y9="","",[1]Digesters!Y9)</f>
        <v>99</v>
      </c>
      <c r="J10" s="858"/>
      <c r="K10" s="870"/>
      <c r="L10" s="873">
        <f>IF([2]DIG!H9="","",[2]DIG!H9)</f>
        <v>7.3</v>
      </c>
      <c r="M10" s="858">
        <f>IF([2]DIG!K9="","",[2]DIG!K9)</f>
        <v>7.3</v>
      </c>
      <c r="N10" s="858">
        <f>IF([2]DIG!N9="","",[2]DIG!N9)</f>
        <v>7.3</v>
      </c>
      <c r="O10" s="858">
        <f>IF([2]DIG!Q9="","",[2]DIG!Q9)</f>
        <v>7.3</v>
      </c>
      <c r="P10" s="858">
        <f>IF([2]DIG!T9="","",[2]DIG!T9)</f>
        <v>7.3</v>
      </c>
      <c r="Q10" s="874">
        <f>IF([2]DIG!W9="","",[2]DIG!W9)</f>
        <v>7.3</v>
      </c>
      <c r="R10" s="867"/>
      <c r="S10" s="857"/>
      <c r="T10" s="857"/>
      <c r="U10" s="857"/>
      <c r="V10" s="857"/>
      <c r="W10" s="857"/>
      <c r="X10" s="857">
        <f>IF([2]DIG!I9="","",[2]DIG!I9)</f>
        <v>3670</v>
      </c>
      <c r="Y10" s="857">
        <f>IF([2]DIG!L9="","",[2]DIG!L9)</f>
        <v>3500</v>
      </c>
      <c r="Z10" s="857">
        <f>IF([2]DIG!O9="","",[2]DIG!O9)</f>
        <v>5600</v>
      </c>
      <c r="AA10" s="857">
        <f>IF([2]DIG!R9="","",[2]DIG!R9)</f>
        <v>3600</v>
      </c>
      <c r="AB10" s="857">
        <f>IF([2]DIG!U9="","",[2]DIG!U9)</f>
        <v>3670</v>
      </c>
      <c r="AC10" s="876">
        <f>IF([2]DIG!X9="","",[2]DIG!X9)</f>
        <v>3570</v>
      </c>
      <c r="AD10" s="882">
        <f>IF([2]DIG!J9="","",[2]DIG!J9)</f>
        <v>62</v>
      </c>
      <c r="AE10" s="857">
        <f>IF([2]DIG!M9="","",[2]DIG!M9)</f>
        <v>55</v>
      </c>
      <c r="AF10" s="857">
        <f>IF([2]DIG!P9="","",[2]DIG!P9)</f>
        <v>80</v>
      </c>
      <c r="AG10" s="857">
        <f>IF([2]DIG!S9="","",[2]DIG!S9)</f>
        <v>65</v>
      </c>
      <c r="AH10" s="857">
        <f>IF([2]DIG!V9="","",[2]DIG!V9)</f>
        <v>58</v>
      </c>
      <c r="AI10" s="883">
        <f>IF([2]DIG!Y9="","",[2]DIG!Y9)</f>
        <v>55</v>
      </c>
      <c r="AJ10" s="879">
        <f>IF([1]Digesters!AD9="","",[1]Digesters!AD9*100/1000000*((('DIG-1'!$F$39+'DIG-1'!$H$39+'DIG-1'!$J$39)/3)*10000)*8.34/2000)</f>
        <v>49.765683500000002</v>
      </c>
      <c r="AK10" s="862">
        <f>IF([1]Digesters!AA9="","",[1]Digesters!AA9*100/1000000*('DIG-1'!$L$39*10000)*8.34/2000)</f>
        <v>12.600981060000002</v>
      </c>
    </row>
    <row r="11" spans="1:41" ht="20.25" x14ac:dyDescent="0.3">
      <c r="A11" s="736">
        <v>7</v>
      </c>
      <c r="B11" s="867">
        <f>IF([1]Digesters!R10="","",[1]Digesters!R10)</f>
        <v>100</v>
      </c>
      <c r="C11" s="857">
        <f>IF([1]Digesters!S10="","",[1]Digesters!S10)</f>
        <v>102</v>
      </c>
      <c r="D11" s="857">
        <f>IF([1]Digesters!T10="","",[1]Digesters!T10)</f>
        <v>99</v>
      </c>
      <c r="E11" s="857">
        <f>IF([1]Digesters!U10="","",[1]Digesters!U10)</f>
        <v>99</v>
      </c>
      <c r="F11" s="857">
        <f>IF([1]Digesters!V10="","",[1]Digesters!V10)</f>
        <v>99</v>
      </c>
      <c r="G11" s="857">
        <f>IF([1]Digesters!W10="","",[1]Digesters!W10)</f>
        <v>99</v>
      </c>
      <c r="H11" s="857">
        <f>IF([1]Digesters!X10="","",[1]Digesters!X10)</f>
        <v>99</v>
      </c>
      <c r="I11" s="857">
        <f>IF([1]Digesters!Y10="","",[1]Digesters!Y10)</f>
        <v>99</v>
      </c>
      <c r="J11" s="858"/>
      <c r="K11" s="870"/>
      <c r="L11" s="873">
        <f>IF([2]DIG!H10="","",[2]DIG!H10)</f>
        <v>7.2</v>
      </c>
      <c r="M11" s="858">
        <f>IF([2]DIG!K10="","",[2]DIG!K10)</f>
        <v>7.3</v>
      </c>
      <c r="N11" s="858">
        <f>IF([2]DIG!N10="","",[2]DIG!N10)</f>
        <v>7.4</v>
      </c>
      <c r="O11" s="858">
        <f>IF([2]DIG!Q10="","",[2]DIG!Q10)</f>
        <v>7.3</v>
      </c>
      <c r="P11" s="858">
        <f>IF([2]DIG!T10="","",[2]DIG!T10)</f>
        <v>7.2</v>
      </c>
      <c r="Q11" s="874">
        <f>IF([2]DIG!W10="","",[2]DIG!W10)</f>
        <v>7.2</v>
      </c>
      <c r="R11" s="867"/>
      <c r="S11" s="857"/>
      <c r="T11" s="857"/>
      <c r="U11" s="857"/>
      <c r="V11" s="857"/>
      <c r="W11" s="857"/>
      <c r="X11" s="857">
        <f>IF([2]DIG!I10="","",[2]DIG!I10)</f>
        <v>3670</v>
      </c>
      <c r="Y11" s="857">
        <f>IF([2]DIG!L10="","",[2]DIG!L10)</f>
        <v>3450</v>
      </c>
      <c r="Z11" s="857">
        <f>IF([2]DIG!O10="","",[2]DIG!O10)</f>
        <v>5540</v>
      </c>
      <c r="AA11" s="857">
        <f>IF([2]DIG!R10="","",[2]DIG!R10)</f>
        <v>3600</v>
      </c>
      <c r="AB11" s="857">
        <f>IF([2]DIG!U10="","",[2]DIG!U10)</f>
        <v>3820</v>
      </c>
      <c r="AC11" s="876">
        <f>IF([2]DIG!X10="","",[2]DIG!X10)</f>
        <v>3820</v>
      </c>
      <c r="AD11" s="882">
        <f>IF([2]DIG!J10="","",[2]DIG!J10)</f>
        <v>48</v>
      </c>
      <c r="AE11" s="857">
        <f>IF([2]DIG!M10="","",[2]DIG!M10)</f>
        <v>42</v>
      </c>
      <c r="AF11" s="857">
        <f>IF([2]DIG!P10="","",[2]DIG!P10)</f>
        <v>60</v>
      </c>
      <c r="AG11" s="857">
        <f>IF([2]DIG!S10="","",[2]DIG!S10)</f>
        <v>45</v>
      </c>
      <c r="AH11" s="857">
        <f>IF([2]DIG!V10="","",[2]DIG!V10)</f>
        <v>42</v>
      </c>
      <c r="AI11" s="883">
        <f>IF([2]DIG!Y10="","",[2]DIG!Y10)</f>
        <v>40</v>
      </c>
      <c r="AJ11" s="879">
        <f>IF([1]Digesters!AD10="","",[1]Digesters!AD10*100/1000000*((('DIG-1'!$F$39+'DIG-1'!$H$39+'DIG-1'!$J$39)/3)*10000)*8.34/2000)</f>
        <v>51.586705820000006</v>
      </c>
      <c r="AK11" s="862">
        <f>IF([1]Digesters!AA10="","",[1]Digesters!AA10*100/1000000*('DIG-1'!$L$39*10000)*8.34/2000)</f>
        <v>22.953331320000004</v>
      </c>
    </row>
    <row r="12" spans="1:41" ht="20.25" x14ac:dyDescent="0.3">
      <c r="A12" s="736">
        <v>8</v>
      </c>
      <c r="B12" s="867">
        <f>IF([1]Digesters!R11="","",[1]Digesters!R11)</f>
        <v>100</v>
      </c>
      <c r="C12" s="857">
        <f>IF([1]Digesters!S11="","",[1]Digesters!S11)</f>
        <v>103</v>
      </c>
      <c r="D12" s="857">
        <f>IF([1]Digesters!T11="","",[1]Digesters!T11)</f>
        <v>99</v>
      </c>
      <c r="E12" s="857">
        <f>IF([1]Digesters!U11="","",[1]Digesters!U11)</f>
        <v>99</v>
      </c>
      <c r="F12" s="857">
        <f>IF([1]Digesters!V11="","",[1]Digesters!V11)</f>
        <v>99</v>
      </c>
      <c r="G12" s="857">
        <f>IF([1]Digesters!W11="","",[1]Digesters!W11)</f>
        <v>99</v>
      </c>
      <c r="H12" s="857">
        <f>IF([1]Digesters!X11="","",[1]Digesters!X11)</f>
        <v>99</v>
      </c>
      <c r="I12" s="857">
        <f>IF([1]Digesters!Y11="","",[1]Digesters!Y11)</f>
        <v>99</v>
      </c>
      <c r="J12" s="858"/>
      <c r="K12" s="870"/>
      <c r="L12" s="873">
        <f>IF([2]DIG!H11="","",[2]DIG!H11)</f>
        <v>7.2</v>
      </c>
      <c r="M12" s="858">
        <f>IF([2]DIG!K11="","",[2]DIG!K11)</f>
        <v>7.3</v>
      </c>
      <c r="N12" s="858">
        <f>IF([2]DIG!N11="","",[2]DIG!N11)</f>
        <v>7.4</v>
      </c>
      <c r="O12" s="858">
        <f>IF([2]DIG!Q11="","",[2]DIG!Q11)</f>
        <v>7.2</v>
      </c>
      <c r="P12" s="858">
        <f>IF([2]DIG!T11="","",[2]DIG!T11)</f>
        <v>7.2</v>
      </c>
      <c r="Q12" s="874">
        <f>IF([2]DIG!W11="","",[2]DIG!W11)</f>
        <v>7.2</v>
      </c>
      <c r="R12" s="867"/>
      <c r="S12" s="857"/>
      <c r="T12" s="857"/>
      <c r="U12" s="857"/>
      <c r="V12" s="857"/>
      <c r="W12" s="857"/>
      <c r="X12" s="857">
        <f>IF([2]DIG!I11="","",[2]DIG!I11)</f>
        <v>3800</v>
      </c>
      <c r="Y12" s="857">
        <f>IF([2]DIG!L11="","",[2]DIG!L11)</f>
        <v>3540</v>
      </c>
      <c r="Z12" s="857">
        <f>IF([2]DIG!O11="","",[2]DIG!O11)</f>
        <v>5590</v>
      </c>
      <c r="AA12" s="857">
        <f>IF([2]DIG!R11="","",[2]DIG!R11)</f>
        <v>3800</v>
      </c>
      <c r="AB12" s="857">
        <f>IF([2]DIG!U11="","",[2]DIG!U11)</f>
        <v>3710</v>
      </c>
      <c r="AC12" s="876">
        <f>IF([2]DIG!X11="","",[2]DIG!X11)</f>
        <v>3840</v>
      </c>
      <c r="AD12" s="882">
        <f>IF([2]DIG!J11="","",[2]DIG!J11)</f>
        <v>50</v>
      </c>
      <c r="AE12" s="857">
        <f>IF([2]DIG!M11="","",[2]DIG!M11)</f>
        <v>45</v>
      </c>
      <c r="AF12" s="857">
        <f>IF([2]DIG!P11="","",[2]DIG!P11)</f>
        <v>75</v>
      </c>
      <c r="AG12" s="857">
        <f>IF([2]DIG!S11="","",[2]DIG!S11)</f>
        <v>58</v>
      </c>
      <c r="AH12" s="857">
        <f>IF([2]DIG!V11="","",[2]DIG!V11)</f>
        <v>45</v>
      </c>
      <c r="AI12" s="883">
        <f>IF([2]DIG!Y11="","",[2]DIG!Y11)</f>
        <v>55</v>
      </c>
      <c r="AJ12" s="879">
        <f>IF([1]Digesters!AD11="","",[1]Digesters!AD11*100/1000000*((('DIG-1'!$F$39+'DIG-1'!$H$39+'DIG-1'!$J$39)/3)*10000)*8.34/2000)</f>
        <v>42.642272660000003</v>
      </c>
      <c r="AK12" s="862">
        <f>IF([1]Digesters!AA11="","",[1]Digesters!AA11*100/1000000*('DIG-1'!$L$39*10000)*8.34/2000)</f>
        <v>12.895032780000003</v>
      </c>
    </row>
    <row r="13" spans="1:41" ht="20.25" x14ac:dyDescent="0.3">
      <c r="A13" s="736">
        <v>9</v>
      </c>
      <c r="B13" s="867">
        <f>IF([1]Digesters!R12="","",[1]Digesters!R12)</f>
        <v>100</v>
      </c>
      <c r="C13" s="857">
        <f>IF([1]Digesters!S12="","",[1]Digesters!S12)</f>
        <v>102</v>
      </c>
      <c r="D13" s="857">
        <f>IF([1]Digesters!T12="","",[1]Digesters!T12)</f>
        <v>99</v>
      </c>
      <c r="E13" s="857">
        <f>IF([1]Digesters!U12="","",[1]Digesters!U12)</f>
        <v>99</v>
      </c>
      <c r="F13" s="857">
        <f>IF([1]Digesters!V12="","",[1]Digesters!V12)</f>
        <v>99</v>
      </c>
      <c r="G13" s="857">
        <f>IF([1]Digesters!W12="","",[1]Digesters!W12)</f>
        <v>99</v>
      </c>
      <c r="H13" s="857">
        <f>IF([1]Digesters!X12="","",[1]Digesters!X12)</f>
        <v>99</v>
      </c>
      <c r="I13" s="857">
        <f>IF([1]Digesters!Y12="","",[1]Digesters!Y12)</f>
        <v>99</v>
      </c>
      <c r="J13" s="858"/>
      <c r="K13" s="870"/>
      <c r="L13" s="873">
        <f>IF([2]DIG!H12="","",[2]DIG!H12)</f>
        <v>7.2</v>
      </c>
      <c r="M13" s="858">
        <f>IF([2]DIG!K12="","",[2]DIG!K12)</f>
        <v>7.2</v>
      </c>
      <c r="N13" s="858">
        <f>IF([2]DIG!N12="","",[2]DIG!N12)</f>
        <v>7.3</v>
      </c>
      <c r="O13" s="858">
        <f>IF([2]DIG!Q12="","",[2]DIG!Q12)</f>
        <v>7.2</v>
      </c>
      <c r="P13" s="858">
        <f>IF([2]DIG!T12="","",[2]DIG!T12)</f>
        <v>7.2</v>
      </c>
      <c r="Q13" s="874">
        <f>IF([2]DIG!W12="","",[2]DIG!W12)</f>
        <v>7.2</v>
      </c>
      <c r="R13" s="867"/>
      <c r="S13" s="857"/>
      <c r="T13" s="857"/>
      <c r="U13" s="857"/>
      <c r="V13" s="857"/>
      <c r="W13" s="857"/>
      <c r="X13" s="857">
        <f>IF([2]DIG!I12="","",[2]DIG!I12)</f>
        <v>3760</v>
      </c>
      <c r="Y13" s="857">
        <f>IF([2]DIG!L12="","",[2]DIG!L12)</f>
        <v>3580</v>
      </c>
      <c r="Z13" s="857">
        <f>IF([2]DIG!O12="","",[2]DIG!O12)</f>
        <v>6180</v>
      </c>
      <c r="AA13" s="857">
        <f>IF([2]DIG!R12="","",[2]DIG!R12)</f>
        <v>3550</v>
      </c>
      <c r="AB13" s="857">
        <f>IF([2]DIG!U12="","",[2]DIG!U12)</f>
        <v>3850</v>
      </c>
      <c r="AC13" s="876">
        <f>IF([2]DIG!X12="","",[2]DIG!X12)</f>
        <v>3690</v>
      </c>
      <c r="AD13" s="882">
        <f>IF([2]DIG!J12="","",[2]DIG!J12)</f>
        <v>75</v>
      </c>
      <c r="AE13" s="857">
        <f>IF([2]DIG!M12="","",[2]DIG!M12)</f>
        <v>55</v>
      </c>
      <c r="AF13" s="857">
        <f>IF([2]DIG!P12="","",[2]DIG!P12)</f>
        <v>68</v>
      </c>
      <c r="AG13" s="857">
        <f>IF([2]DIG!S12="","",[2]DIG!S12)</f>
        <v>60</v>
      </c>
      <c r="AH13" s="857">
        <f>IF([2]DIG!V12="","",[2]DIG!V12)</f>
        <v>50</v>
      </c>
      <c r="AI13" s="883">
        <f>IF([2]DIG!Y12="","",[2]DIG!Y12)</f>
        <v>50</v>
      </c>
      <c r="AJ13" s="879">
        <f>IF([1]Digesters!AD12="","",[1]Digesters!AD12*100/1000000*((('DIG-1'!$F$39+'DIG-1'!$H$39+'DIG-1'!$J$39)/3)*10000)*8.34/2000)</f>
        <v>38.187909240000003</v>
      </c>
      <c r="AK13" s="862">
        <f>IF([1]Digesters!AA12="","",[1]Digesters!AA12*100/1000000*('DIG-1'!$L$39*10000)*8.34/2000)</f>
        <v>9.6172209600000027</v>
      </c>
    </row>
    <row r="14" spans="1:41" ht="20.25" x14ac:dyDescent="0.3">
      <c r="A14" s="736">
        <v>10</v>
      </c>
      <c r="B14" s="867">
        <f>IF([1]Digesters!R13="","",[1]Digesters!R13)</f>
        <v>100</v>
      </c>
      <c r="C14" s="857">
        <f>IF([1]Digesters!S13="","",[1]Digesters!S13)</f>
        <v>101</v>
      </c>
      <c r="D14" s="857">
        <f>IF([1]Digesters!T13="","",[1]Digesters!T13)</f>
        <v>99</v>
      </c>
      <c r="E14" s="857">
        <f>IF([1]Digesters!U13="","",[1]Digesters!U13)</f>
        <v>99</v>
      </c>
      <c r="F14" s="857">
        <f>IF([1]Digesters!V13="","",[1]Digesters!V13)</f>
        <v>99</v>
      </c>
      <c r="G14" s="857">
        <f>IF([1]Digesters!W13="","",[1]Digesters!W13)</f>
        <v>99</v>
      </c>
      <c r="H14" s="857">
        <f>IF([1]Digesters!X13="","",[1]Digesters!X13)</f>
        <v>99</v>
      </c>
      <c r="I14" s="857">
        <f>IF([1]Digesters!Y13="","",[1]Digesters!Y13)</f>
        <v>99</v>
      </c>
      <c r="J14" s="858"/>
      <c r="K14" s="870"/>
      <c r="L14" s="873">
        <f>IF([2]DIG!H13="","",[2]DIG!H13)</f>
        <v>7.2</v>
      </c>
      <c r="M14" s="858">
        <f>IF([2]DIG!K13="","",[2]DIG!K13)</f>
        <v>7.2</v>
      </c>
      <c r="N14" s="858">
        <f>IF([2]DIG!N13="","",[2]DIG!N13)</f>
        <v>7.3</v>
      </c>
      <c r="O14" s="858">
        <f>IF([2]DIG!Q13="","",[2]DIG!Q13)</f>
        <v>7.3</v>
      </c>
      <c r="P14" s="858">
        <f>IF([2]DIG!T13="","",[2]DIG!T13)</f>
        <v>7.2</v>
      </c>
      <c r="Q14" s="874">
        <f>IF([2]DIG!W13="","",[2]DIG!W13)</f>
        <v>7.2</v>
      </c>
      <c r="R14" s="867"/>
      <c r="S14" s="857"/>
      <c r="T14" s="857"/>
      <c r="U14" s="857"/>
      <c r="V14" s="857"/>
      <c r="W14" s="857"/>
      <c r="X14" s="857">
        <f>IF([2]DIG!I13="","",[2]DIG!I13)</f>
        <v>3700</v>
      </c>
      <c r="Y14" s="857">
        <f>IF([2]DIG!L13="","",[2]DIG!L13)</f>
        <v>3530</v>
      </c>
      <c r="Z14" s="857">
        <f>IF([2]DIG!O13="","",[2]DIG!O13)</f>
        <v>6310</v>
      </c>
      <c r="AA14" s="857">
        <f>IF([2]DIG!R13="","",[2]DIG!R13)</f>
        <v>3710</v>
      </c>
      <c r="AB14" s="857">
        <f>IF([2]DIG!U13="","",[2]DIG!U13)</f>
        <v>3970</v>
      </c>
      <c r="AC14" s="876">
        <f>IF([2]DIG!X13="","",[2]DIG!X13)</f>
        <v>3590</v>
      </c>
      <c r="AD14" s="882">
        <f>IF([2]DIG!J13="","",[2]DIG!J13)</f>
        <v>62</v>
      </c>
      <c r="AE14" s="857">
        <f>IF([2]DIG!M13="","",[2]DIG!M13)</f>
        <v>48</v>
      </c>
      <c r="AF14" s="857">
        <f>IF([2]DIG!P13="","",[2]DIG!P13)</f>
        <v>65</v>
      </c>
      <c r="AG14" s="857">
        <f>IF([2]DIG!S13="","",[2]DIG!S13)</f>
        <v>52</v>
      </c>
      <c r="AH14" s="857">
        <f>IF([2]DIG!V13="","",[2]DIG!V13)</f>
        <v>50</v>
      </c>
      <c r="AI14" s="883">
        <f>IF([2]DIG!Y13="","",[2]DIG!Y13)</f>
        <v>45</v>
      </c>
      <c r="AJ14" s="879">
        <f>IF([1]Digesters!AD13="","",[1]Digesters!AD13*100/1000000*((('DIG-1'!$F$39+'DIG-1'!$H$39+'DIG-1'!$J$39)/3)*10000)*8.34/2000)</f>
        <v>32.073201940000004</v>
      </c>
      <c r="AK14" s="862">
        <f>IF([1]Digesters!AA13="","",[1]Digesters!AA13*100/1000000*('DIG-1'!$L$39*10000)*8.34/2000)</f>
        <v>9.5912752200000018</v>
      </c>
    </row>
    <row r="15" spans="1:41" ht="20.25" x14ac:dyDescent="0.3">
      <c r="A15" s="736">
        <v>11</v>
      </c>
      <c r="B15" s="867">
        <f>IF([1]Digesters!R14="","",[1]Digesters!R14)</f>
        <v>100</v>
      </c>
      <c r="C15" s="857">
        <f>IF([1]Digesters!S14="","",[1]Digesters!S14)</f>
        <v>101</v>
      </c>
      <c r="D15" s="857">
        <f>IF([1]Digesters!T14="","",[1]Digesters!T14)</f>
        <v>99</v>
      </c>
      <c r="E15" s="857">
        <f>IF([1]Digesters!U14="","",[1]Digesters!U14)</f>
        <v>99</v>
      </c>
      <c r="F15" s="857">
        <f>IF([1]Digesters!V14="","",[1]Digesters!V14)</f>
        <v>99</v>
      </c>
      <c r="G15" s="857">
        <f>IF([1]Digesters!W14="","",[1]Digesters!W14)</f>
        <v>99</v>
      </c>
      <c r="H15" s="857">
        <f>IF([1]Digesters!X14="","",[1]Digesters!X14)</f>
        <v>99</v>
      </c>
      <c r="I15" s="857">
        <f>IF([1]Digesters!Y14="","",[1]Digesters!Y14)</f>
        <v>99</v>
      </c>
      <c r="J15" s="858"/>
      <c r="K15" s="870"/>
      <c r="L15" s="873">
        <f>IF([2]DIG!H14="","",[2]DIG!H14)</f>
        <v>7.3</v>
      </c>
      <c r="M15" s="858">
        <f>IF([2]DIG!K14="","",[2]DIG!K14)</f>
        <v>7.3</v>
      </c>
      <c r="N15" s="858">
        <f>IF([2]DIG!N14="","",[2]DIG!N14)</f>
        <v>7.4</v>
      </c>
      <c r="O15" s="858">
        <f>IF([2]DIG!Q14="","",[2]DIG!Q14)</f>
        <v>7.4</v>
      </c>
      <c r="P15" s="858">
        <f>IF([2]DIG!T14="","",[2]DIG!T14)</f>
        <v>7.3</v>
      </c>
      <c r="Q15" s="874">
        <f>IF([2]DIG!W14="","",[2]DIG!W14)</f>
        <v>7.4</v>
      </c>
      <c r="R15" s="867"/>
      <c r="S15" s="857"/>
      <c r="T15" s="857"/>
      <c r="U15" s="857"/>
      <c r="V15" s="857"/>
      <c r="W15" s="857"/>
      <c r="X15" s="857">
        <f>IF([2]DIG!I14="","",[2]DIG!I14)</f>
        <v>3570</v>
      </c>
      <c r="Y15" s="857">
        <f>IF([2]DIG!L14="","",[2]DIG!L14)</f>
        <v>3330</v>
      </c>
      <c r="Z15" s="857">
        <f>IF([2]DIG!O14="","",[2]DIG!O14)</f>
        <v>5750</v>
      </c>
      <c r="AA15" s="857">
        <f>IF([2]DIG!R14="","",[2]DIG!R14)</f>
        <v>3790</v>
      </c>
      <c r="AB15" s="857">
        <f>IF([2]DIG!U14="","",[2]DIG!U14)</f>
        <v>3580</v>
      </c>
      <c r="AC15" s="876">
        <f>IF([2]DIG!X14="","",[2]DIG!X14)</f>
        <v>3740</v>
      </c>
      <c r="AD15" s="882">
        <f>IF([2]DIG!J14="","",[2]DIG!J14)</f>
        <v>60</v>
      </c>
      <c r="AE15" s="857">
        <f>IF([2]DIG!M14="","",[2]DIG!M14)</f>
        <v>52</v>
      </c>
      <c r="AF15" s="857">
        <f>IF([2]DIG!P14="","",[2]DIG!P14)</f>
        <v>75</v>
      </c>
      <c r="AG15" s="857">
        <f>IF([2]DIG!S14="","",[2]DIG!S14)</f>
        <v>55</v>
      </c>
      <c r="AH15" s="857">
        <f>IF([2]DIG!V14="","",[2]DIG!V14)</f>
        <v>50</v>
      </c>
      <c r="AI15" s="883">
        <f>IF([2]DIG!Y14="","",[2]DIG!Y14)</f>
        <v>65</v>
      </c>
      <c r="AJ15" s="879">
        <f>IF([1]Digesters!AD14="","",[1]Digesters!AD14*100/1000000*((('DIG-1'!$F$39+'DIG-1'!$H$39+'DIG-1'!$J$39)/3)*10000)*8.34/2000)</f>
        <v>49.578225320000008</v>
      </c>
      <c r="AK15" s="862">
        <f>IF([1]Digesters!AA14="","",[1]Digesters!AA14*100/1000000*('DIG-1'!$L$39*10000)*8.34/2000)</f>
        <v>15.152312160000001</v>
      </c>
    </row>
    <row r="16" spans="1:41" ht="20.25" x14ac:dyDescent="0.3">
      <c r="A16" s="736">
        <v>12</v>
      </c>
      <c r="B16" s="867">
        <f>IF([1]Digesters!R15="","",[1]Digesters!R15)</f>
        <v>100</v>
      </c>
      <c r="C16" s="857">
        <f>IF([1]Digesters!S15="","",[1]Digesters!S15)</f>
        <v>100</v>
      </c>
      <c r="D16" s="857">
        <f>IF([1]Digesters!T15="","",[1]Digesters!T15)</f>
        <v>99</v>
      </c>
      <c r="E16" s="857">
        <f>IF([1]Digesters!U15="","",[1]Digesters!U15)</f>
        <v>99</v>
      </c>
      <c r="F16" s="857">
        <f>IF([1]Digesters!V15="","",[1]Digesters!V15)</f>
        <v>99</v>
      </c>
      <c r="G16" s="857">
        <f>IF([1]Digesters!W15="","",[1]Digesters!W15)</f>
        <v>99</v>
      </c>
      <c r="H16" s="857">
        <f>IF([1]Digesters!X15="","",[1]Digesters!X15)</f>
        <v>99</v>
      </c>
      <c r="I16" s="857">
        <f>IF([1]Digesters!Y15="","",[1]Digesters!Y15)</f>
        <v>99</v>
      </c>
      <c r="J16" s="858"/>
      <c r="K16" s="870"/>
      <c r="L16" s="873">
        <f>IF([2]DIG!H15="","",[2]DIG!H15)</f>
        <v>7.2</v>
      </c>
      <c r="M16" s="858">
        <f>IF([2]DIG!K15="","",[2]DIG!K15)</f>
        <v>7.3</v>
      </c>
      <c r="N16" s="858">
        <f>IF([2]DIG!N15="","",[2]DIG!N15)</f>
        <v>8.3000000000000007</v>
      </c>
      <c r="O16" s="858">
        <f>IF([2]DIG!Q15="","",[2]DIG!Q15)</f>
        <v>7.2</v>
      </c>
      <c r="P16" s="858">
        <f>IF([2]DIG!T15="","",[2]DIG!T15)</f>
        <v>7.2</v>
      </c>
      <c r="Q16" s="874">
        <f>IF([2]DIG!W15="","",[2]DIG!W15)</f>
        <v>7.2</v>
      </c>
      <c r="R16" s="867"/>
      <c r="S16" s="857"/>
      <c r="T16" s="857"/>
      <c r="U16" s="857"/>
      <c r="V16" s="857"/>
      <c r="W16" s="857"/>
      <c r="X16" s="857">
        <f>IF([2]DIG!I15="","",[2]DIG!I15)</f>
        <v>3630</v>
      </c>
      <c r="Y16" s="857">
        <f>IF([2]DIG!L15="","",[2]DIG!L15)</f>
        <v>3600</v>
      </c>
      <c r="Z16" s="857">
        <f>IF([2]DIG!O15="","",[2]DIG!O15)</f>
        <v>5710</v>
      </c>
      <c r="AA16" s="857">
        <f>IF([2]DIG!R15="","",[2]DIG!R15)</f>
        <v>3690</v>
      </c>
      <c r="AB16" s="857">
        <f>IF([2]DIG!U15="","",[2]DIG!U15)</f>
        <v>3770</v>
      </c>
      <c r="AC16" s="876">
        <f>IF([2]DIG!X15="","",[2]DIG!X15)</f>
        <v>3820</v>
      </c>
      <c r="AD16" s="882">
        <f>IF([2]DIG!J15="","",[2]DIG!J15)</f>
        <v>52</v>
      </c>
      <c r="AE16" s="857">
        <f>IF([2]DIG!M15="","",[2]DIG!M15)</f>
        <v>52</v>
      </c>
      <c r="AF16" s="857">
        <f>IF([2]DIG!P15="","",[2]DIG!P15)</f>
        <v>75</v>
      </c>
      <c r="AG16" s="857">
        <f>IF([2]DIG!S15="","",[2]DIG!S15)</f>
        <v>50</v>
      </c>
      <c r="AH16" s="857">
        <f>IF([2]DIG!V15="","",[2]DIG!V15)</f>
        <v>48</v>
      </c>
      <c r="AI16" s="883">
        <f>IF([2]DIG!Y15="","",[2]DIG!Y15)</f>
        <v>48</v>
      </c>
      <c r="AJ16" s="879">
        <f>IF([1]Digesters!AD15="","",[1]Digesters!AD15*100/1000000*((('DIG-1'!$F$39+'DIG-1'!$H$39+'DIG-1'!$J$39)/3)*10000)*8.34/2000)</f>
        <v>42.59763976</v>
      </c>
      <c r="AK16" s="862">
        <f>IF([1]Digesters!AA15="","",[1]Digesters!AA15*100/1000000*('DIG-1'!$L$39*10000)*8.34/2000)</f>
        <v>8.7610115400000019</v>
      </c>
    </row>
    <row r="17" spans="1:37" ht="20.25" x14ac:dyDescent="0.3">
      <c r="A17" s="736">
        <v>13</v>
      </c>
      <c r="B17" s="867">
        <f>IF([1]Digesters!R16="","",[1]Digesters!R16)</f>
        <v>100</v>
      </c>
      <c r="C17" s="857">
        <f>IF([1]Digesters!S16="","",[1]Digesters!S16)</f>
        <v>100</v>
      </c>
      <c r="D17" s="857">
        <f>IF([1]Digesters!T16="","",[1]Digesters!T16)</f>
        <v>99</v>
      </c>
      <c r="E17" s="857">
        <f>IF([1]Digesters!U16="","",[1]Digesters!U16)</f>
        <v>99</v>
      </c>
      <c r="F17" s="857">
        <f>IF([1]Digesters!V16="","",[1]Digesters!V16)</f>
        <v>99</v>
      </c>
      <c r="G17" s="857">
        <f>IF([1]Digesters!W16="","",[1]Digesters!W16)</f>
        <v>99</v>
      </c>
      <c r="H17" s="857">
        <f>IF([1]Digesters!X16="","",[1]Digesters!X16)</f>
        <v>99</v>
      </c>
      <c r="I17" s="857">
        <f>IF([1]Digesters!Y16="","",[1]Digesters!Y16)</f>
        <v>99</v>
      </c>
      <c r="J17" s="858"/>
      <c r="K17" s="870"/>
      <c r="L17" s="873">
        <f>IF([2]DIG!H16="","",[2]DIG!H16)</f>
        <v>7.2</v>
      </c>
      <c r="M17" s="858">
        <f>IF([2]DIG!K16="","",[2]DIG!K16)</f>
        <v>7.3</v>
      </c>
      <c r="N17" s="858">
        <f>IF([2]DIG!N16="","",[2]DIG!N16)</f>
        <v>7.3</v>
      </c>
      <c r="O17" s="858">
        <f>IF([2]DIG!Q16="","",[2]DIG!Q16)</f>
        <v>7.3</v>
      </c>
      <c r="P17" s="858">
        <f>IF([2]DIG!T16="","",[2]DIG!T16)</f>
        <v>7.3</v>
      </c>
      <c r="Q17" s="874">
        <f>IF([2]DIG!W16="","",[2]DIG!W16)</f>
        <v>7.4</v>
      </c>
      <c r="R17" s="867"/>
      <c r="S17" s="857"/>
      <c r="T17" s="857"/>
      <c r="U17" s="857"/>
      <c r="V17" s="857"/>
      <c r="W17" s="857"/>
      <c r="X17" s="857">
        <f>IF([2]DIG!I16="","",[2]DIG!I16)</f>
        <v>3670</v>
      </c>
      <c r="Y17" s="857">
        <f>IF([2]DIG!L16="","",[2]DIG!L16)</f>
        <v>3500</v>
      </c>
      <c r="Z17" s="857">
        <f>IF([2]DIG!O16="","",[2]DIG!O16)</f>
        <v>5960</v>
      </c>
      <c r="AA17" s="857">
        <f>IF([2]DIG!R16="","",[2]DIG!R16)</f>
        <v>3650</v>
      </c>
      <c r="AB17" s="857">
        <f>IF([2]DIG!U16="","",[2]DIG!U16)</f>
        <v>3740</v>
      </c>
      <c r="AC17" s="876">
        <f>IF([2]DIG!X16="","",[2]DIG!X16)</f>
        <v>3830</v>
      </c>
      <c r="AD17" s="882">
        <f>IF([2]DIG!J16="","",[2]DIG!J16)</f>
        <v>60</v>
      </c>
      <c r="AE17" s="857">
        <f>IF([2]DIG!M16="","",[2]DIG!M16)</f>
        <v>55</v>
      </c>
      <c r="AF17" s="857">
        <f>IF([2]DIG!P16="","",[2]DIG!P16)</f>
        <v>65</v>
      </c>
      <c r="AG17" s="857">
        <f>IF([2]DIG!S16="","",[2]DIG!S16)</f>
        <v>55</v>
      </c>
      <c r="AH17" s="857">
        <f>IF([2]DIG!V16="","",[2]DIG!V16)</f>
        <v>52</v>
      </c>
      <c r="AI17" s="883">
        <f>IF([2]DIG!Y16="","",[2]DIG!Y16)</f>
        <v>55</v>
      </c>
      <c r="AJ17" s="879">
        <f>IF([1]Digesters!AD16="","",[1]Digesters!AD16*100/1000000*((('DIG-1'!$F$39+'DIG-1'!$H$39+'DIG-1'!$J$39)/3)*10000)*8.34/2000)</f>
        <v>53.684452120000003</v>
      </c>
      <c r="AK17" s="862">
        <f>IF([1]Digesters!AA16="","",[1]Digesters!AA16*100/1000000*('DIG-1'!$L$39*10000)*8.34/2000)</f>
        <v>12.514495260000002</v>
      </c>
    </row>
    <row r="18" spans="1:37" ht="20.25" x14ac:dyDescent="0.3">
      <c r="A18" s="736">
        <v>14</v>
      </c>
      <c r="B18" s="867">
        <f>IF([1]Digesters!R17="","",[1]Digesters!R17)</f>
        <v>100</v>
      </c>
      <c r="C18" s="857">
        <f>IF([1]Digesters!S17="","",[1]Digesters!S17)</f>
        <v>100</v>
      </c>
      <c r="D18" s="857">
        <f>IF([1]Digesters!T17="","",[1]Digesters!T17)</f>
        <v>99</v>
      </c>
      <c r="E18" s="857">
        <f>IF([1]Digesters!U17="","",[1]Digesters!U17)</f>
        <v>99</v>
      </c>
      <c r="F18" s="857">
        <f>IF([1]Digesters!V17="","",[1]Digesters!V17)</f>
        <v>99</v>
      </c>
      <c r="G18" s="857">
        <f>IF([1]Digesters!W17="","",[1]Digesters!W17)</f>
        <v>99</v>
      </c>
      <c r="H18" s="857">
        <f>IF([1]Digesters!X17="","",[1]Digesters!X17)</f>
        <v>99</v>
      </c>
      <c r="I18" s="857">
        <f>IF([1]Digesters!Y17="","",[1]Digesters!Y17)</f>
        <v>99</v>
      </c>
      <c r="J18" s="858"/>
      <c r="K18" s="870"/>
      <c r="L18" s="873">
        <f>IF([2]DIG!H17="","",[2]DIG!H17)</f>
        <v>7.2</v>
      </c>
      <c r="M18" s="858">
        <f>IF([2]DIG!K17="","",[2]DIG!K17)</f>
        <v>7.3</v>
      </c>
      <c r="N18" s="858">
        <f>IF([2]DIG!N17="","",[2]DIG!N17)</f>
        <v>7.4</v>
      </c>
      <c r="O18" s="858">
        <f>IF([2]DIG!Q17="","",[2]DIG!Q17)</f>
        <v>7.2</v>
      </c>
      <c r="P18" s="858">
        <f>IF([2]DIG!T17="","",[2]DIG!T17)</f>
        <v>7.2</v>
      </c>
      <c r="Q18" s="874">
        <f>IF([2]DIG!W17="","",[2]DIG!W17)</f>
        <v>7.3</v>
      </c>
      <c r="R18" s="867"/>
      <c r="S18" s="857"/>
      <c r="T18" s="857"/>
      <c r="U18" s="857"/>
      <c r="V18" s="857"/>
      <c r="W18" s="857"/>
      <c r="X18" s="857">
        <f>IF([2]DIG!I17="","",[2]DIG!I17)</f>
        <v>3760</v>
      </c>
      <c r="Y18" s="857">
        <f>IF([2]DIG!L17="","",[2]DIG!L17)</f>
        <v>3580</v>
      </c>
      <c r="Z18" s="857">
        <f>IF([2]DIG!O17="","",[2]DIG!O17)</f>
        <v>5690</v>
      </c>
      <c r="AA18" s="857">
        <f>IF([2]DIG!R17="","",[2]DIG!R17)</f>
        <v>3780</v>
      </c>
      <c r="AB18" s="857">
        <f>IF([2]DIG!U17="","",[2]DIG!U17)</f>
        <v>3880</v>
      </c>
      <c r="AC18" s="876">
        <f>IF([2]DIG!X17="","",[2]DIG!X17)</f>
        <v>3860</v>
      </c>
      <c r="AD18" s="882">
        <f>IF([2]DIG!J17="","",[2]DIG!J17)</f>
        <v>45</v>
      </c>
      <c r="AE18" s="857">
        <f>IF([2]DIG!M17="","",[2]DIG!M17)</f>
        <v>40</v>
      </c>
      <c r="AF18" s="857">
        <f>IF([2]DIG!P17="","",[2]DIG!P17)</f>
        <v>60</v>
      </c>
      <c r="AG18" s="857">
        <f>IF([2]DIG!S17="","",[2]DIG!S17)</f>
        <v>48</v>
      </c>
      <c r="AH18" s="857">
        <f>IF([2]DIG!V17="","",[2]DIG!V17)</f>
        <v>52</v>
      </c>
      <c r="AI18" s="883">
        <f>IF([2]DIG!Y17="","",[2]DIG!Y17)</f>
        <v>45</v>
      </c>
      <c r="AJ18" s="879">
        <f>IF([1]Digesters!AD17="","",[1]Digesters!AD17*100/1000000*((('DIG-1'!$F$39+'DIG-1'!$H$39+'DIG-1'!$J$39)/3)*10000)*8.34/2000)</f>
        <v>43.3385459</v>
      </c>
      <c r="AK18" s="862">
        <f>IF([1]Digesters!AA17="","",[1]Digesters!AA17*100/1000000*('DIG-1'!$L$39*10000)*8.34/2000)</f>
        <v>9.5739780600000035</v>
      </c>
    </row>
    <row r="19" spans="1:37" ht="20.25" x14ac:dyDescent="0.3">
      <c r="A19" s="736">
        <v>15</v>
      </c>
      <c r="B19" s="867">
        <f>IF([1]Digesters!R18="","",[1]Digesters!R18)</f>
        <v>99</v>
      </c>
      <c r="C19" s="857">
        <f>IF([1]Digesters!S18="","",[1]Digesters!S18)</f>
        <v>100</v>
      </c>
      <c r="D19" s="857">
        <f>IF([1]Digesters!T18="","",[1]Digesters!T18)</f>
        <v>99</v>
      </c>
      <c r="E19" s="857">
        <f>IF([1]Digesters!U18="","",[1]Digesters!U18)</f>
        <v>99</v>
      </c>
      <c r="F19" s="857">
        <f>IF([1]Digesters!V18="","",[1]Digesters!V18)</f>
        <v>99</v>
      </c>
      <c r="G19" s="857">
        <f>IF([1]Digesters!W18="","",[1]Digesters!W18)</f>
        <v>99</v>
      </c>
      <c r="H19" s="857">
        <f>IF([1]Digesters!X18="","",[1]Digesters!X18)</f>
        <v>99</v>
      </c>
      <c r="I19" s="857">
        <f>IF([1]Digesters!Y18="","",[1]Digesters!Y18)</f>
        <v>99</v>
      </c>
      <c r="J19" s="858"/>
      <c r="K19" s="870"/>
      <c r="L19" s="873">
        <f>IF([2]DIG!H18="","",[2]DIG!H18)</f>
        <v>7.2</v>
      </c>
      <c r="M19" s="858">
        <f>IF([2]DIG!K18="","",[2]DIG!K18)</f>
        <v>7.3</v>
      </c>
      <c r="N19" s="858">
        <f>IF([2]DIG!N18="","",[2]DIG!N18)</f>
        <v>7.4</v>
      </c>
      <c r="O19" s="858">
        <f>IF([2]DIG!Q18="","",[2]DIG!Q18)</f>
        <v>7.2</v>
      </c>
      <c r="P19" s="858">
        <f>IF([2]DIG!T18="","",[2]DIG!T18)</f>
        <v>7.2</v>
      </c>
      <c r="Q19" s="874">
        <f>IF([2]DIG!W18="","",[2]DIG!W18)</f>
        <v>7.3</v>
      </c>
      <c r="R19" s="867"/>
      <c r="S19" s="857"/>
      <c r="T19" s="857"/>
      <c r="U19" s="857"/>
      <c r="V19" s="857"/>
      <c r="W19" s="857"/>
      <c r="X19" s="857">
        <f>IF([2]DIG!I18="","",[2]DIG!I18)</f>
        <v>3930</v>
      </c>
      <c r="Y19" s="857">
        <f>IF([2]DIG!L18="","",[2]DIG!L18)</f>
        <v>3340</v>
      </c>
      <c r="Z19" s="857">
        <f>IF([2]DIG!O18="","",[2]DIG!O18)</f>
        <v>5600</v>
      </c>
      <c r="AA19" s="857">
        <f>IF([2]DIG!R18="","",[2]DIG!R18)</f>
        <v>3640</v>
      </c>
      <c r="AB19" s="857">
        <f>IF([2]DIG!U18="","",[2]DIG!U18)</f>
        <v>3580</v>
      </c>
      <c r="AC19" s="876">
        <f>IF([2]DIG!X18="","",[2]DIG!X18)</f>
        <v>3600</v>
      </c>
      <c r="AD19" s="882">
        <f>IF([2]DIG!J18="","",[2]DIG!J18)</f>
        <v>45</v>
      </c>
      <c r="AE19" s="857">
        <f>IF([2]DIG!M18="","",[2]DIG!M18)</f>
        <v>45</v>
      </c>
      <c r="AF19" s="857">
        <f>IF([2]DIG!P18="","",[2]DIG!P18)</f>
        <v>75</v>
      </c>
      <c r="AG19" s="857">
        <f>IF([2]DIG!S18="","",[2]DIG!S18)</f>
        <v>55</v>
      </c>
      <c r="AH19" s="857">
        <f>IF([2]DIG!V18="","",[2]DIG!V18)</f>
        <v>45</v>
      </c>
      <c r="AI19" s="883">
        <f>IF([2]DIG!Y18="","",[2]DIG!Y18)</f>
        <v>45</v>
      </c>
      <c r="AJ19" s="879">
        <f>IF([1]Digesters!AD18="","",[1]Digesters!AD18*100/1000000*((('DIG-1'!$F$39+'DIG-1'!$H$39+'DIG-1'!$J$39)/3)*10000)*8.34/2000)</f>
        <v>49.631784800000005</v>
      </c>
      <c r="AK19" s="862">
        <f>IF([1]Digesters!AA18="","",[1]Digesters!AA18*100/1000000*('DIG-1'!$L$39*10000)*8.34/2000)</f>
        <v>12.773952660000003</v>
      </c>
    </row>
    <row r="20" spans="1:37" ht="20.25" x14ac:dyDescent="0.3">
      <c r="A20" s="736">
        <v>16</v>
      </c>
      <c r="B20" s="867">
        <f>IF([1]Digesters!R19="","",[1]Digesters!R19)</f>
        <v>99</v>
      </c>
      <c r="C20" s="857">
        <f>IF([1]Digesters!S19="","",[1]Digesters!S19)</f>
        <v>99</v>
      </c>
      <c r="D20" s="857">
        <f>IF([1]Digesters!T19="","",[1]Digesters!T19)</f>
        <v>99</v>
      </c>
      <c r="E20" s="857">
        <f>IF([1]Digesters!U19="","",[1]Digesters!U19)</f>
        <v>99</v>
      </c>
      <c r="F20" s="857">
        <f>IF([1]Digesters!V19="","",[1]Digesters!V19)</f>
        <v>99</v>
      </c>
      <c r="G20" s="857">
        <f>IF([1]Digesters!W19="","",[1]Digesters!W19)</f>
        <v>99</v>
      </c>
      <c r="H20" s="857">
        <f>IF([1]Digesters!X19="","",[1]Digesters!X19)</f>
        <v>99</v>
      </c>
      <c r="I20" s="857">
        <f>IF([1]Digesters!Y19="","",[1]Digesters!Y19)</f>
        <v>99</v>
      </c>
      <c r="J20" s="858"/>
      <c r="K20" s="870"/>
      <c r="L20" s="873">
        <f>IF([2]DIG!H19="","",[2]DIG!H19)</f>
        <v>7.2</v>
      </c>
      <c r="M20" s="858">
        <f>IF([2]DIG!K19="","",[2]DIG!K19)</f>
        <v>7.2</v>
      </c>
      <c r="N20" s="858">
        <f>IF([2]DIG!N19="","",[2]DIG!N19)</f>
        <v>7.4</v>
      </c>
      <c r="O20" s="858">
        <f>IF([2]DIG!Q19="","",[2]DIG!Q19)</f>
        <v>7.3</v>
      </c>
      <c r="P20" s="858">
        <f>IF([2]DIG!T19="","",[2]DIG!T19)</f>
        <v>7.2</v>
      </c>
      <c r="Q20" s="874">
        <f>IF([2]DIG!W19="","",[2]DIG!W19)</f>
        <v>7.2</v>
      </c>
      <c r="R20" s="867"/>
      <c r="S20" s="857"/>
      <c r="T20" s="857"/>
      <c r="U20" s="857"/>
      <c r="V20" s="857"/>
      <c r="W20" s="857"/>
      <c r="X20" s="857">
        <f>IF([2]DIG!I19="","",[2]DIG!I19)</f>
        <v>3990</v>
      </c>
      <c r="Y20" s="857">
        <f>IF([2]DIG!L19="","",[2]DIG!L19)</f>
        <v>3620</v>
      </c>
      <c r="Z20" s="857">
        <f>IF([2]DIG!O19="","",[2]DIG!O19)</f>
        <v>5580</v>
      </c>
      <c r="AA20" s="857">
        <f>IF([2]DIG!R19="","",[2]DIG!R19)</f>
        <v>3770</v>
      </c>
      <c r="AB20" s="857">
        <f>IF([2]DIG!U19="","",[2]DIG!U19)</f>
        <v>3800</v>
      </c>
      <c r="AC20" s="876">
        <f>IF([2]DIG!X19="","",[2]DIG!X19)</f>
        <v>3960</v>
      </c>
      <c r="AD20" s="882">
        <f>IF([2]DIG!J19="","",[2]DIG!J19)</f>
        <v>50</v>
      </c>
      <c r="AE20" s="857">
        <f>IF([2]DIG!M19="","",[2]DIG!M19)</f>
        <v>42</v>
      </c>
      <c r="AF20" s="857">
        <f>IF([2]DIG!P19="","",[2]DIG!P19)</f>
        <v>55</v>
      </c>
      <c r="AG20" s="857">
        <f>IF([2]DIG!S19="","",[2]DIG!S19)</f>
        <v>48</v>
      </c>
      <c r="AH20" s="857">
        <f>IF([2]DIG!V19="","",[2]DIG!V19)</f>
        <v>45</v>
      </c>
      <c r="AI20" s="883">
        <f>IF([2]DIG!Y19="","",[2]DIG!Y19)</f>
        <v>40</v>
      </c>
      <c r="AJ20" s="879">
        <f>IF([1]Digesters!AD19="","",[1]Digesters!AD19*100/1000000*((('DIG-1'!$F$39+'DIG-1'!$H$39+'DIG-1'!$J$39)/3)*10000)*8.34/2000)</f>
        <v>47.70364352</v>
      </c>
      <c r="AK20" s="862">
        <f>IF([1]Digesters!AA19="","",[1]Digesters!AA19*100/1000000*('DIG-1'!$L$39*10000)*8.34/2000)</f>
        <v>18.084180780000008</v>
      </c>
    </row>
    <row r="21" spans="1:37" ht="20.25" x14ac:dyDescent="0.3">
      <c r="A21" s="736">
        <v>17</v>
      </c>
      <c r="B21" s="867">
        <f>IF([1]Digesters!R20="","",[1]Digesters!R20)</f>
        <v>99</v>
      </c>
      <c r="C21" s="857">
        <f>IF([1]Digesters!S20="","",[1]Digesters!S20)</f>
        <v>99</v>
      </c>
      <c r="D21" s="857">
        <f>IF([1]Digesters!T20="","",[1]Digesters!T20)</f>
        <v>99</v>
      </c>
      <c r="E21" s="857">
        <f>IF([1]Digesters!U20="","",[1]Digesters!U20)</f>
        <v>99</v>
      </c>
      <c r="F21" s="857">
        <f>IF([1]Digesters!V20="","",[1]Digesters!V20)</f>
        <v>98</v>
      </c>
      <c r="G21" s="857">
        <f>IF([1]Digesters!W20="","",[1]Digesters!W20)</f>
        <v>99</v>
      </c>
      <c r="H21" s="857">
        <f>IF([1]Digesters!X20="","",[1]Digesters!X20)</f>
        <v>99</v>
      </c>
      <c r="I21" s="857">
        <f>IF([1]Digesters!Y20="","",[1]Digesters!Y20)</f>
        <v>99</v>
      </c>
      <c r="J21" s="858"/>
      <c r="K21" s="870"/>
      <c r="L21" s="873">
        <f>IF([2]DIG!H20="","",[2]DIG!H20)</f>
        <v>7.2</v>
      </c>
      <c r="M21" s="858">
        <f>IF([2]DIG!K20="","",[2]DIG!K20)</f>
        <v>7.3</v>
      </c>
      <c r="N21" s="858">
        <f>IF([2]DIG!N20="","",[2]DIG!N20)</f>
        <v>7.4</v>
      </c>
      <c r="O21" s="858">
        <f>IF([2]DIG!Q20="","",[2]DIG!Q20)</f>
        <v>7.3</v>
      </c>
      <c r="P21" s="858">
        <f>IF([2]DIG!T20="","",[2]DIG!T20)</f>
        <v>7.2</v>
      </c>
      <c r="Q21" s="874">
        <f>IF([2]DIG!W20="","",[2]DIG!W20)</f>
        <v>7.2</v>
      </c>
      <c r="R21" s="867"/>
      <c r="S21" s="857"/>
      <c r="T21" s="857"/>
      <c r="U21" s="857"/>
      <c r="V21" s="857"/>
      <c r="W21" s="857"/>
      <c r="X21" s="857">
        <f>IF([2]DIG!I20="","",[2]DIG!I20)</f>
        <v>3610</v>
      </c>
      <c r="Y21" s="857">
        <f>IF([2]DIG!L20="","",[2]DIG!L20)</f>
        <v>3510</v>
      </c>
      <c r="Z21" s="857">
        <f>IF([2]DIG!O20="","",[2]DIG!O20)</f>
        <v>5430</v>
      </c>
      <c r="AA21" s="857">
        <f>IF([2]DIG!R20="","",[2]DIG!R20)</f>
        <v>3760</v>
      </c>
      <c r="AB21" s="857">
        <f>IF([2]DIG!U20="","",[2]DIG!U20)</f>
        <v>3450</v>
      </c>
      <c r="AC21" s="876">
        <f>IF([2]DIG!X20="","",[2]DIG!X20)</f>
        <v>3990</v>
      </c>
      <c r="AD21" s="882">
        <f>IF([2]DIG!J20="","",[2]DIG!J20)</f>
        <v>48</v>
      </c>
      <c r="AE21" s="857">
        <f>IF([2]DIG!M20="","",[2]DIG!M20)</f>
        <v>42</v>
      </c>
      <c r="AF21" s="857">
        <f>IF([2]DIG!P20="","",[2]DIG!P20)</f>
        <v>58</v>
      </c>
      <c r="AG21" s="857">
        <f>IF([2]DIG!S20="","",[2]DIG!S20)</f>
        <v>48</v>
      </c>
      <c r="AH21" s="857">
        <f>IF([2]DIG!V20="","",[2]DIG!V20)</f>
        <v>48</v>
      </c>
      <c r="AI21" s="883">
        <f>IF([2]DIG!Y20="","",[2]DIG!Y20)</f>
        <v>42</v>
      </c>
      <c r="AJ21" s="879">
        <f>IF([1]Digesters!AD20="","",[1]Digesters!AD20*100/1000000*((('DIG-1'!$F$39+'DIG-1'!$H$39+'DIG-1'!$J$39)/3)*10000)*8.34/2000)</f>
        <v>65.672849060000004</v>
      </c>
      <c r="AK21" s="862">
        <f>IF([1]Digesters!AA20="","",[1]Digesters!AA20*100/1000000*('DIG-1'!$L$39*10000)*8.34/2000)</f>
        <v>12.860438460000001</v>
      </c>
    </row>
    <row r="22" spans="1:37" ht="20.25" x14ac:dyDescent="0.3">
      <c r="A22" s="736">
        <v>18</v>
      </c>
      <c r="B22" s="867">
        <f>IF([1]Digesters!R21="","",[1]Digesters!R21)</f>
        <v>99</v>
      </c>
      <c r="C22" s="857">
        <f>IF([1]Digesters!S21="","",[1]Digesters!S21)</f>
        <v>99</v>
      </c>
      <c r="D22" s="857">
        <f>IF([1]Digesters!T21="","",[1]Digesters!T21)</f>
        <v>99</v>
      </c>
      <c r="E22" s="857">
        <f>IF([1]Digesters!U21="","",[1]Digesters!U21)</f>
        <v>99</v>
      </c>
      <c r="F22" s="857">
        <f>IF([1]Digesters!V21="","",[1]Digesters!V21)</f>
        <v>99</v>
      </c>
      <c r="G22" s="857">
        <f>IF([1]Digesters!W21="","",[1]Digesters!W21)</f>
        <v>99</v>
      </c>
      <c r="H22" s="857">
        <f>IF([1]Digesters!X21="","",[1]Digesters!X21)</f>
        <v>99</v>
      </c>
      <c r="I22" s="857">
        <f>IF([1]Digesters!Y21="","",[1]Digesters!Y21)</f>
        <v>99</v>
      </c>
      <c r="J22" s="858"/>
      <c r="K22" s="870"/>
      <c r="L22" s="873">
        <f>IF([2]DIG!H21="","",[2]DIG!H21)</f>
        <v>7.3</v>
      </c>
      <c r="M22" s="858">
        <f>IF([2]DIG!K21="","",[2]DIG!K21)</f>
        <v>7.3</v>
      </c>
      <c r="N22" s="858">
        <f>IF([2]DIG!N21="","",[2]DIG!N21)</f>
        <v>7.4</v>
      </c>
      <c r="O22" s="858">
        <f>IF([2]DIG!Q21="","",[2]DIG!Q21)</f>
        <v>7.5</v>
      </c>
      <c r="P22" s="858">
        <f>IF([2]DIG!T21="","",[2]DIG!T21)</f>
        <v>7.2</v>
      </c>
      <c r="Q22" s="874">
        <f>IF([2]DIG!W21="","",[2]DIG!W21)</f>
        <v>7.2</v>
      </c>
      <c r="R22" s="867"/>
      <c r="S22" s="857"/>
      <c r="T22" s="857"/>
      <c r="U22" s="857"/>
      <c r="V22" s="857"/>
      <c r="W22" s="857"/>
      <c r="X22" s="857">
        <f>IF([2]DIG!I21="","",[2]DIG!I21)</f>
        <v>3670</v>
      </c>
      <c r="Y22" s="857">
        <f>IF([2]DIG!L21="","",[2]DIG!L21)</f>
        <v>3600</v>
      </c>
      <c r="Z22" s="857">
        <f>IF([2]DIG!O21="","",[2]DIG!O21)</f>
        <v>5980</v>
      </c>
      <c r="AA22" s="857">
        <f>IF([2]DIG!R21="","",[2]DIG!R21)</f>
        <v>3890</v>
      </c>
      <c r="AB22" s="857">
        <f>IF([2]DIG!U21="","",[2]DIG!U21)</f>
        <v>3710</v>
      </c>
      <c r="AC22" s="876">
        <f>IF([2]DIG!X21="","",[2]DIG!X21)</f>
        <v>3620</v>
      </c>
      <c r="AD22" s="882">
        <f>IF([2]DIG!J21="","",[2]DIG!J21)</f>
        <v>52</v>
      </c>
      <c r="AE22" s="857">
        <f>IF([2]DIG!M21="","",[2]DIG!M21)</f>
        <v>48</v>
      </c>
      <c r="AF22" s="857">
        <f>IF([2]DIG!P21="","",[2]DIG!P21)</f>
        <v>92</v>
      </c>
      <c r="AG22" s="857">
        <f>IF([2]DIG!S21="","",[2]DIG!S21)</f>
        <v>62</v>
      </c>
      <c r="AH22" s="857">
        <f>IF([2]DIG!V21="","",[2]DIG!V21)</f>
        <v>50</v>
      </c>
      <c r="AI22" s="883">
        <f>IF([2]DIG!Y21="","",[2]DIG!Y21)</f>
        <v>55</v>
      </c>
      <c r="AJ22" s="879">
        <f>IF([1]Digesters!AD21="","",[1]Digesters!AD21*100/1000000*((('DIG-1'!$F$39+'DIG-1'!$H$39+'DIG-1'!$J$39)/3)*10000)*8.34/2000)</f>
        <v>39.285878580000002</v>
      </c>
      <c r="AK22" s="862">
        <f>IF([1]Digesters!AA21="","",[1]Digesters!AA21*100/1000000*('DIG-1'!$L$39*10000)*8.34/2000)</f>
        <v>15.792307080000002</v>
      </c>
    </row>
    <row r="23" spans="1:37" ht="20.25" x14ac:dyDescent="0.3">
      <c r="A23" s="736">
        <v>19</v>
      </c>
      <c r="B23" s="867">
        <f>IF([1]Digesters!R22="","",[1]Digesters!R22)</f>
        <v>99</v>
      </c>
      <c r="C23" s="857">
        <f>IF([1]Digesters!S22="","",[1]Digesters!S22)</f>
        <v>99</v>
      </c>
      <c r="D23" s="857">
        <f>IF([1]Digesters!T22="","",[1]Digesters!T22)</f>
        <v>99</v>
      </c>
      <c r="E23" s="857">
        <f>IF([1]Digesters!U22="","",[1]Digesters!U22)</f>
        <v>99</v>
      </c>
      <c r="F23" s="857">
        <f>IF([1]Digesters!V22="","",[1]Digesters!V22)</f>
        <v>99</v>
      </c>
      <c r="G23" s="857">
        <f>IF([1]Digesters!W22="","",[1]Digesters!W22)</f>
        <v>99</v>
      </c>
      <c r="H23" s="857">
        <f>IF([1]Digesters!X22="","",[1]Digesters!X22)</f>
        <v>99</v>
      </c>
      <c r="I23" s="857">
        <f>IF([1]Digesters!Y22="","",[1]Digesters!Y22)</f>
        <v>99</v>
      </c>
      <c r="J23" s="858"/>
      <c r="K23" s="870"/>
      <c r="L23" s="873">
        <f>IF([2]DIG!H22="","",[2]DIG!H22)</f>
        <v>7.2</v>
      </c>
      <c r="M23" s="858">
        <f>IF([2]DIG!K22="","",[2]DIG!K22)</f>
        <v>7.3</v>
      </c>
      <c r="N23" s="858">
        <f>IF([2]DIG!N22="","",[2]DIG!N22)</f>
        <v>7.3</v>
      </c>
      <c r="O23" s="858">
        <f>IF([2]DIG!Q22="","",[2]DIG!Q22)</f>
        <v>7.4</v>
      </c>
      <c r="P23" s="858">
        <f>IF([2]DIG!T22="","",[2]DIG!T22)</f>
        <v>7.3</v>
      </c>
      <c r="Q23" s="874">
        <f>IF([2]DIG!W22="","",[2]DIG!W22)</f>
        <v>7.2</v>
      </c>
      <c r="R23" s="867"/>
      <c r="S23" s="857"/>
      <c r="T23" s="857"/>
      <c r="U23" s="857"/>
      <c r="V23" s="857"/>
      <c r="W23" s="857"/>
      <c r="X23" s="857">
        <f>IF([2]DIG!I22="","",[2]DIG!I22)</f>
        <v>3860</v>
      </c>
      <c r="Y23" s="857">
        <f>IF([2]DIG!L22="","",[2]DIG!L22)</f>
        <v>3400</v>
      </c>
      <c r="Z23" s="857">
        <f>IF([2]DIG!O22="","",[2]DIG!O22)</f>
        <v>5510</v>
      </c>
      <c r="AA23" s="857">
        <f>IF([2]DIG!R22="","",[2]DIG!R22)</f>
        <v>3580</v>
      </c>
      <c r="AB23" s="857">
        <f>IF([2]DIG!U22="","",[2]DIG!U22)</f>
        <v>3720</v>
      </c>
      <c r="AC23" s="876">
        <f>IF([2]DIG!X22="","",[2]DIG!X22)</f>
        <v>3600</v>
      </c>
      <c r="AD23" s="882">
        <f>IF([2]DIG!J22="","",[2]DIG!J22)</f>
        <v>92</v>
      </c>
      <c r="AE23" s="857">
        <f>IF([2]DIG!M22="","",[2]DIG!M22)</f>
        <v>58</v>
      </c>
      <c r="AF23" s="857">
        <f>IF([2]DIG!P22="","",[2]DIG!P22)</f>
        <v>75</v>
      </c>
      <c r="AG23" s="857">
        <f>IF([2]DIG!S22="","",[2]DIG!S22)</f>
        <v>58</v>
      </c>
      <c r="AH23" s="857">
        <f>IF([2]DIG!V22="","",[2]DIG!V22)</f>
        <v>55</v>
      </c>
      <c r="AI23" s="883">
        <f>IF([2]DIG!Y22="","",[2]DIG!Y22)</f>
        <v>88</v>
      </c>
      <c r="AJ23" s="879">
        <f>IF([1]Digesters!AD22="","",[1]Digesters!AD22*100/1000000*((('DIG-1'!$F$39+'DIG-1'!$H$39+'DIG-1'!$J$39)/3)*10000)*8.34/2000)</f>
        <v>67.752742200000014</v>
      </c>
      <c r="AK23" s="862">
        <f>IF([1]Digesters!AA22="","",[1]Digesters!AA22*100/1000000*('DIG-1'!$L$39*10000)*8.34/2000)</f>
        <v>10.015055640000002</v>
      </c>
    </row>
    <row r="24" spans="1:37" ht="20.25" x14ac:dyDescent="0.3">
      <c r="A24" s="736">
        <v>20</v>
      </c>
      <c r="B24" s="867">
        <f>IF([1]Digesters!R23="","",[1]Digesters!R23)</f>
        <v>99</v>
      </c>
      <c r="C24" s="857">
        <f>IF([1]Digesters!S23="","",[1]Digesters!S23)</f>
        <v>99</v>
      </c>
      <c r="D24" s="857">
        <f>IF([1]Digesters!T23="","",[1]Digesters!T23)</f>
        <v>99</v>
      </c>
      <c r="E24" s="857">
        <f>IF([1]Digesters!U23="","",[1]Digesters!U23)</f>
        <v>99</v>
      </c>
      <c r="F24" s="857">
        <f>IF([1]Digesters!V23="","",[1]Digesters!V23)</f>
        <v>97</v>
      </c>
      <c r="G24" s="857">
        <f>IF([1]Digesters!W23="","",[1]Digesters!W23)</f>
        <v>99</v>
      </c>
      <c r="H24" s="857">
        <f>IF([1]Digesters!X23="","",[1]Digesters!X23)</f>
        <v>99</v>
      </c>
      <c r="I24" s="857">
        <f>IF([1]Digesters!Y23="","",[1]Digesters!Y23)</f>
        <v>99</v>
      </c>
      <c r="J24" s="858"/>
      <c r="K24" s="870"/>
      <c r="L24" s="873">
        <f>IF([2]DIG!H23="","",[2]DIG!H23)</f>
        <v>7.2</v>
      </c>
      <c r="M24" s="858">
        <f>IF([2]DIG!K23="","",[2]DIG!K23)</f>
        <v>7.2</v>
      </c>
      <c r="N24" s="858">
        <f>IF([2]DIG!N23="","",[2]DIG!N23)</f>
        <v>7.4</v>
      </c>
      <c r="O24" s="858">
        <f>IF([2]DIG!Q23="","",[2]DIG!Q23)</f>
        <v>7.3</v>
      </c>
      <c r="P24" s="858">
        <f>IF([2]DIG!T23="","",[2]DIG!T23)</f>
        <v>7.2</v>
      </c>
      <c r="Q24" s="874">
        <f>IF([2]DIG!W23="","",[2]DIG!W23)</f>
        <v>7.2</v>
      </c>
      <c r="R24" s="867"/>
      <c r="S24" s="857"/>
      <c r="T24" s="857"/>
      <c r="U24" s="857"/>
      <c r="V24" s="857"/>
      <c r="W24" s="857"/>
      <c r="X24" s="857">
        <f>IF([2]DIG!I23="","",[2]DIG!I23)</f>
        <v>3630</v>
      </c>
      <c r="Y24" s="857">
        <f>IF([2]DIG!L23="","",[2]DIG!L23)</f>
        <v>3410</v>
      </c>
      <c r="Z24" s="857">
        <f>IF([2]DIG!O23="","",[2]DIG!O23)</f>
        <v>5610</v>
      </c>
      <c r="AA24" s="857">
        <f>IF([2]DIG!R23="","",[2]DIG!R23)</f>
        <v>3530</v>
      </c>
      <c r="AB24" s="857">
        <f>IF([2]DIG!U23="","",[2]DIG!U23)</f>
        <v>3700</v>
      </c>
      <c r="AC24" s="876">
        <f>IF([2]DIG!X23="","",[2]DIG!X23)</f>
        <v>3590</v>
      </c>
      <c r="AD24" s="882">
        <f>IF([2]DIG!J23="","",[2]DIG!J23)</f>
        <v>50</v>
      </c>
      <c r="AE24" s="857">
        <f>IF([2]DIG!M23="","",[2]DIG!M23)</f>
        <v>40</v>
      </c>
      <c r="AF24" s="857">
        <f>IF([2]DIG!P23="","",[2]DIG!P23)</f>
        <v>92</v>
      </c>
      <c r="AG24" s="857">
        <f>IF([2]DIG!S23="","",[2]DIG!S23)</f>
        <v>52</v>
      </c>
      <c r="AH24" s="857">
        <f>IF([2]DIG!V23="","",[2]DIG!V23)</f>
        <v>55</v>
      </c>
      <c r="AI24" s="883">
        <f>IF([2]DIG!Y23="","",[2]DIG!Y23)</f>
        <v>45</v>
      </c>
      <c r="AJ24" s="879">
        <f>IF([1]Digesters!AD23="","",[1]Digesters!AD23*100/1000000*((('DIG-1'!$F$39+'DIG-1'!$H$39+'DIG-1'!$J$39)/3)*10000)*8.34/2000)</f>
        <v>56.148188200000007</v>
      </c>
      <c r="AK24" s="862">
        <f>IF([1]Digesters!AA23="","",[1]Digesters!AA23*100/1000000*('DIG-1'!$L$39*10000)*8.34/2000)</f>
        <v>13.586919180000001</v>
      </c>
    </row>
    <row r="25" spans="1:37" ht="20.25" x14ac:dyDescent="0.3">
      <c r="A25" s="736">
        <v>21</v>
      </c>
      <c r="B25" s="867">
        <f>IF([1]Digesters!R24="","",[1]Digesters!R24)</f>
        <v>98</v>
      </c>
      <c r="C25" s="857">
        <f>IF([1]Digesters!S24="","",[1]Digesters!S24)</f>
        <v>99</v>
      </c>
      <c r="D25" s="857">
        <f>IF([1]Digesters!T24="","",[1]Digesters!T24)</f>
        <v>99</v>
      </c>
      <c r="E25" s="857">
        <f>IF([1]Digesters!U24="","",[1]Digesters!U24)</f>
        <v>99</v>
      </c>
      <c r="F25" s="857">
        <f>IF([1]Digesters!V24="","",[1]Digesters!V24)</f>
        <v>99</v>
      </c>
      <c r="G25" s="857">
        <f>IF([1]Digesters!W24="","",[1]Digesters!W24)</f>
        <v>99</v>
      </c>
      <c r="H25" s="857">
        <f>IF([1]Digesters!X24="","",[1]Digesters!X24)</f>
        <v>99</v>
      </c>
      <c r="I25" s="857">
        <f>IF([1]Digesters!Y24="","",[1]Digesters!Y24)</f>
        <v>99</v>
      </c>
      <c r="J25" s="858"/>
      <c r="K25" s="870"/>
      <c r="L25" s="873">
        <f>IF([2]DIG!H24="","",[2]DIG!H24)</f>
        <v>7.2</v>
      </c>
      <c r="M25" s="858">
        <f>IF([2]DIG!K24="","",[2]DIG!K24)</f>
        <v>7.3</v>
      </c>
      <c r="N25" s="858">
        <f>IF([2]DIG!N24="","",[2]DIG!N24)</f>
        <v>7.4</v>
      </c>
      <c r="O25" s="858">
        <f>IF([2]DIG!Q24="","",[2]DIG!Q24)</f>
        <v>7.3</v>
      </c>
      <c r="P25" s="858">
        <f>IF([2]DIG!T24="","",[2]DIG!T24)</f>
        <v>7.2</v>
      </c>
      <c r="Q25" s="874">
        <f>IF([2]DIG!W24="","",[2]DIG!W24)</f>
        <v>7.2</v>
      </c>
      <c r="R25" s="867"/>
      <c r="S25" s="857"/>
      <c r="T25" s="857"/>
      <c r="U25" s="857"/>
      <c r="V25" s="857"/>
      <c r="W25" s="857"/>
      <c r="X25" s="857">
        <f>IF([2]DIG!I24="","",[2]DIG!I24)</f>
        <v>3610</v>
      </c>
      <c r="Y25" s="857">
        <f>IF([2]DIG!L24="","",[2]DIG!L24)</f>
        <v>3440</v>
      </c>
      <c r="Z25" s="857">
        <f>IF([2]DIG!O24="","",[2]DIG!O24)</f>
        <v>5560</v>
      </c>
      <c r="AA25" s="857">
        <f>IF([2]DIG!R24="","",[2]DIG!R24)</f>
        <v>3270</v>
      </c>
      <c r="AB25" s="857">
        <f>IF([2]DIG!U24="","",[2]DIG!U24)</f>
        <v>3790</v>
      </c>
      <c r="AC25" s="876">
        <f>IF([2]DIG!X24="","",[2]DIG!X24)</f>
        <v>3600</v>
      </c>
      <c r="AD25" s="882">
        <f>IF([2]DIG!J24="","",[2]DIG!J24)</f>
        <v>48</v>
      </c>
      <c r="AE25" s="857">
        <f>IF([2]DIG!M24="","",[2]DIG!M24)</f>
        <v>45</v>
      </c>
      <c r="AF25" s="857">
        <f>IF([2]DIG!P24="","",[2]DIG!P24)</f>
        <v>62</v>
      </c>
      <c r="AG25" s="857">
        <f>IF([2]DIG!S24="","",[2]DIG!S24)</f>
        <v>45</v>
      </c>
      <c r="AH25" s="857">
        <f>IF([2]DIG!V24="","",[2]DIG!V24)</f>
        <v>48</v>
      </c>
      <c r="AI25" s="883">
        <f>IF([2]DIG!Y24="","",[2]DIG!Y24)</f>
        <v>50</v>
      </c>
      <c r="AJ25" s="879">
        <f>IF([1]Digesters!AD24="","",[1]Digesters!AD24*100/1000000*((('DIG-1'!$F$39+'DIG-1'!$H$39+'DIG-1'!$J$39)/3)*10000)*8.34/2000)</f>
        <v>32.251733540000004</v>
      </c>
      <c r="AK25" s="862">
        <f>IF([1]Digesters!AA24="","",[1]Digesters!AA24*100/1000000*('DIG-1'!$L$39*10000)*8.34/2000)</f>
        <v>9.7555982400000012</v>
      </c>
    </row>
    <row r="26" spans="1:37" ht="20.25" x14ac:dyDescent="0.3">
      <c r="A26" s="736">
        <v>22</v>
      </c>
      <c r="B26" s="867">
        <f>IF([1]Digesters!R25="","",[1]Digesters!R25)</f>
        <v>99</v>
      </c>
      <c r="C26" s="857">
        <f>IF([1]Digesters!S25="","",[1]Digesters!S25)</f>
        <v>100</v>
      </c>
      <c r="D26" s="857">
        <f>IF([1]Digesters!T25="","",[1]Digesters!T25)</f>
        <v>99</v>
      </c>
      <c r="E26" s="857">
        <f>IF([1]Digesters!U25="","",[1]Digesters!U25)</f>
        <v>99</v>
      </c>
      <c r="F26" s="857">
        <f>IF([1]Digesters!V25="","",[1]Digesters!V25)</f>
        <v>97</v>
      </c>
      <c r="G26" s="857">
        <f>IF([1]Digesters!W25="","",[1]Digesters!W25)</f>
        <v>99</v>
      </c>
      <c r="H26" s="857">
        <f>IF([1]Digesters!X25="","",[1]Digesters!X25)</f>
        <v>99</v>
      </c>
      <c r="I26" s="857">
        <f>IF([1]Digesters!Y25="","",[1]Digesters!Y25)</f>
        <v>99</v>
      </c>
      <c r="J26" s="858"/>
      <c r="K26" s="870"/>
      <c r="L26" s="873">
        <f>IF([2]DIG!H25="","",[2]DIG!H25)</f>
        <v>7.2</v>
      </c>
      <c r="M26" s="858">
        <f>IF([2]DIG!K25="","",[2]DIG!K25)</f>
        <v>7.2</v>
      </c>
      <c r="N26" s="858">
        <f>IF([2]DIG!N25="","",[2]DIG!N25)</f>
        <v>7.3</v>
      </c>
      <c r="O26" s="858">
        <f>IF([2]DIG!Q25="","",[2]DIG!Q25)</f>
        <v>7.3</v>
      </c>
      <c r="P26" s="858">
        <f>IF([2]DIG!T25="","",[2]DIG!T25)</f>
        <v>7.2</v>
      </c>
      <c r="Q26" s="874">
        <f>IF([2]DIG!W25="","",[2]DIG!W25)</f>
        <v>7.2</v>
      </c>
      <c r="R26" s="867"/>
      <c r="S26" s="857"/>
      <c r="T26" s="857"/>
      <c r="U26" s="857"/>
      <c r="V26" s="857"/>
      <c r="W26" s="857"/>
      <c r="X26" s="857">
        <f>IF([2]DIG!I25="","",[2]DIG!I25)</f>
        <v>3580</v>
      </c>
      <c r="Y26" s="857">
        <f>IF([2]DIG!L25="","",[2]DIG!L25)</f>
        <v>3550</v>
      </c>
      <c r="Z26" s="857">
        <f>IF([2]DIG!O25="","",[2]DIG!O25)</f>
        <v>5520</v>
      </c>
      <c r="AA26" s="857">
        <f>IF([2]DIG!R25="","",[2]DIG!R25)</f>
        <v>3800</v>
      </c>
      <c r="AB26" s="857">
        <f>IF([2]DIG!U25="","",[2]DIG!U25)</f>
        <v>3990</v>
      </c>
      <c r="AC26" s="876">
        <f>IF([2]DIG!X25="","",[2]DIG!X25)</f>
        <v>3760</v>
      </c>
      <c r="AD26" s="882">
        <f>IF([2]DIG!J25="","",[2]DIG!J25)</f>
        <v>42</v>
      </c>
      <c r="AE26" s="857">
        <f>IF([2]DIG!M25="","",[2]DIG!M25)</f>
        <v>48</v>
      </c>
      <c r="AF26" s="857">
        <f>IF([2]DIG!P25="","",[2]DIG!P25)</f>
        <v>70</v>
      </c>
      <c r="AG26" s="857">
        <f>IF([2]DIG!S25="","",[2]DIG!S25)</f>
        <v>50</v>
      </c>
      <c r="AH26" s="857">
        <f>IF([2]DIG!V25="","",[2]DIG!V25)</f>
        <v>48</v>
      </c>
      <c r="AI26" s="883">
        <f>IF([2]DIG!Y25="","",[2]DIG!Y25)</f>
        <v>55</v>
      </c>
      <c r="AJ26" s="879">
        <f>IF([1]Digesters!AD25="","",[1]Digesters!AD25*100/1000000*((('DIG-1'!$F$39+'DIG-1'!$H$39+'DIG-1'!$J$39)/3)*10000)*8.34/2000)</f>
        <v>38.491412959999998</v>
      </c>
      <c r="AK26" s="862">
        <f>IF([1]Digesters!AA25="","",[1]Digesters!AA25*100/1000000*('DIG-1'!$L$39*10000)*8.34/2000)</f>
        <v>13.941510960000004</v>
      </c>
    </row>
    <row r="27" spans="1:37" ht="20.25" x14ac:dyDescent="0.3">
      <c r="A27" s="736">
        <v>23</v>
      </c>
      <c r="B27" s="867">
        <f>IF([1]Digesters!R26="","",[1]Digesters!R26)</f>
        <v>99</v>
      </c>
      <c r="C27" s="857">
        <f>IF([1]Digesters!S26="","",[1]Digesters!S26)</f>
        <v>100</v>
      </c>
      <c r="D27" s="857">
        <f>IF([1]Digesters!T26="","",[1]Digesters!T26)</f>
        <v>99</v>
      </c>
      <c r="E27" s="857">
        <f>IF([1]Digesters!U26="","",[1]Digesters!U26)</f>
        <v>99</v>
      </c>
      <c r="F27" s="857">
        <f>IF([1]Digesters!V26="","",[1]Digesters!V26)</f>
        <v>97</v>
      </c>
      <c r="G27" s="857">
        <f>IF([1]Digesters!W26="","",[1]Digesters!W26)</f>
        <v>99</v>
      </c>
      <c r="H27" s="857">
        <f>IF([1]Digesters!X26="","",[1]Digesters!X26)</f>
        <v>99</v>
      </c>
      <c r="I27" s="857">
        <f>IF([1]Digesters!Y26="","",[1]Digesters!Y26)</f>
        <v>99</v>
      </c>
      <c r="J27" s="858"/>
      <c r="K27" s="870"/>
      <c r="L27" s="873">
        <f>IF([2]DIG!H26="","",[2]DIG!H26)</f>
        <v>7.3</v>
      </c>
      <c r="M27" s="858">
        <f>IF([2]DIG!K26="","",[2]DIG!K26)</f>
        <v>7.3</v>
      </c>
      <c r="N27" s="858">
        <f>IF([2]DIG!N26="","",[2]DIG!N26)</f>
        <v>7.3</v>
      </c>
      <c r="O27" s="858">
        <f>IF([2]DIG!Q26="","",[2]DIG!Q26)</f>
        <v>7.3</v>
      </c>
      <c r="P27" s="858">
        <f>IF([2]DIG!T26="","",[2]DIG!T26)</f>
        <v>7.3</v>
      </c>
      <c r="Q27" s="874">
        <f>IF([2]DIG!W26="","",[2]DIG!W26)</f>
        <v>7.2</v>
      </c>
      <c r="R27" s="867"/>
      <c r="S27" s="857"/>
      <c r="T27" s="857"/>
      <c r="U27" s="857"/>
      <c r="V27" s="857"/>
      <c r="W27" s="857"/>
      <c r="X27" s="857">
        <f>IF([2]DIG!I26="","",[2]DIG!I26)</f>
        <v>3570</v>
      </c>
      <c r="Y27" s="857">
        <f>IF([2]DIG!L26="","",[2]DIG!L26)</f>
        <v>3530</v>
      </c>
      <c r="Z27" s="857">
        <f>IF([2]DIG!O26="","",[2]DIG!O26)</f>
        <v>6180</v>
      </c>
      <c r="AA27" s="857">
        <f>IF([2]DIG!R26="","",[2]DIG!R26)</f>
        <v>3580</v>
      </c>
      <c r="AB27" s="857">
        <f>IF([2]DIG!U26="","",[2]DIG!U26)</f>
        <v>3550</v>
      </c>
      <c r="AC27" s="876">
        <f>IF([2]DIG!X26="","",[2]DIG!X26)</f>
        <v>3620</v>
      </c>
      <c r="AD27" s="882">
        <f>IF([2]DIG!J26="","",[2]DIG!J26)</f>
        <v>60</v>
      </c>
      <c r="AE27" s="857">
        <f>IF([2]DIG!M26="","",[2]DIG!M26)</f>
        <v>52</v>
      </c>
      <c r="AF27" s="857">
        <f>IF([2]DIG!P26="","",[2]DIG!P26)</f>
        <v>68</v>
      </c>
      <c r="AG27" s="857">
        <f>IF([2]DIG!S26="","",[2]DIG!S26)</f>
        <v>68</v>
      </c>
      <c r="AH27" s="857">
        <f>IF([2]DIG!V26="","",[2]DIG!V26)</f>
        <v>50</v>
      </c>
      <c r="AI27" s="883">
        <f>IF([2]DIG!Y26="","",[2]DIG!Y26)</f>
        <v>55</v>
      </c>
      <c r="AJ27" s="879">
        <f>IF([1]Digesters!AD26="","",[1]Digesters!AD26*100/1000000*((('DIG-1'!$F$39+'DIG-1'!$H$39+'DIG-1'!$J$39)/3)*10000)*8.34/2000)</f>
        <v>47.373360059999996</v>
      </c>
      <c r="AK27" s="862">
        <f>IF([1]Digesters!AA26="","",[1]Digesters!AA26*100/1000000*('DIG-1'!$L$39*10000)*8.34/2000)</f>
        <v>11.243154000000002</v>
      </c>
    </row>
    <row r="28" spans="1:37" ht="20.25" x14ac:dyDescent="0.3">
      <c r="A28" s="736">
        <v>24</v>
      </c>
      <c r="B28" s="867">
        <f>IF([1]Digesters!R27="","",[1]Digesters!R27)</f>
        <v>100</v>
      </c>
      <c r="C28" s="857">
        <f>IF([1]Digesters!S27="","",[1]Digesters!S27)</f>
        <v>100</v>
      </c>
      <c r="D28" s="857">
        <f>IF([1]Digesters!T27="","",[1]Digesters!T27)</f>
        <v>99</v>
      </c>
      <c r="E28" s="857">
        <f>IF([1]Digesters!U27="","",[1]Digesters!U27)</f>
        <v>99</v>
      </c>
      <c r="F28" s="857">
        <f>IF([1]Digesters!V27="","",[1]Digesters!V27)</f>
        <v>98</v>
      </c>
      <c r="G28" s="857">
        <f>IF([1]Digesters!W27="","",[1]Digesters!W27)</f>
        <v>99</v>
      </c>
      <c r="H28" s="857">
        <f>IF([1]Digesters!X27="","",[1]Digesters!X27)</f>
        <v>99</v>
      </c>
      <c r="I28" s="857">
        <f>IF([1]Digesters!Y27="","",[1]Digesters!Y27)</f>
        <v>99</v>
      </c>
      <c r="J28" s="858"/>
      <c r="K28" s="870"/>
      <c r="L28" s="873">
        <f>IF([2]DIG!H27="","",[2]DIG!H27)</f>
        <v>7.2</v>
      </c>
      <c r="M28" s="858">
        <f>IF([2]DIG!K27="","",[2]DIG!K27)</f>
        <v>7.2</v>
      </c>
      <c r="N28" s="858">
        <f>IF([2]DIG!N27="","",[2]DIG!N27)</f>
        <v>7.4</v>
      </c>
      <c r="O28" s="858">
        <f>IF([2]DIG!Q27="","",[2]DIG!Q27)</f>
        <v>7.2</v>
      </c>
      <c r="P28" s="858">
        <f>IF([2]DIG!T27="","",[2]DIG!T27)</f>
        <v>7.2</v>
      </c>
      <c r="Q28" s="874">
        <f>IF([2]DIG!W27="","",[2]DIG!W27)</f>
        <v>7.1</v>
      </c>
      <c r="R28" s="867"/>
      <c r="S28" s="857"/>
      <c r="T28" s="857"/>
      <c r="U28" s="857"/>
      <c r="V28" s="857"/>
      <c r="W28" s="857"/>
      <c r="X28" s="857">
        <f>IF([2]DIG!I27="","",[2]DIG!I27)</f>
        <v>3700</v>
      </c>
      <c r="Y28" s="857">
        <f>IF([2]DIG!L27="","",[2]DIG!L27)</f>
        <v>3540</v>
      </c>
      <c r="Z28" s="857">
        <f>IF([2]DIG!O27="","",[2]DIG!O27)</f>
        <v>5890</v>
      </c>
      <c r="AA28" s="857">
        <f>IF([2]DIG!R27="","",[2]DIG!R27)</f>
        <v>3680</v>
      </c>
      <c r="AB28" s="857">
        <f>IF([2]DIG!U27="","",[2]DIG!U27)</f>
        <v>3730</v>
      </c>
      <c r="AC28" s="876">
        <f>IF([2]DIG!X27="","",[2]DIG!X27)</f>
        <v>3920</v>
      </c>
      <c r="AD28" s="882">
        <f>IF([2]DIG!J27="","",[2]DIG!J27)</f>
        <v>50</v>
      </c>
      <c r="AE28" s="857">
        <f>IF([2]DIG!M27="","",[2]DIG!M27)</f>
        <v>45</v>
      </c>
      <c r="AF28" s="857">
        <f>IF([2]DIG!P27="","",[2]DIG!P27)</f>
        <v>65</v>
      </c>
      <c r="AG28" s="857">
        <f>IF([2]DIG!S27="","",[2]DIG!S27)</f>
        <v>55</v>
      </c>
      <c r="AH28" s="857">
        <f>IF([2]DIG!V27="","",[2]DIG!V27)</f>
        <v>48</v>
      </c>
      <c r="AI28" s="883">
        <f>IF([2]DIG!Y27="","",[2]DIG!Y27)</f>
        <v>52</v>
      </c>
      <c r="AJ28" s="879">
        <f>IF([1]Digesters!AD27="","",[1]Digesters!AD27*100/1000000*((('DIG-1'!$F$39+'DIG-1'!$H$39+'DIG-1'!$J$39)/3)*10000)*8.34/2000)</f>
        <v>50.720827560000004</v>
      </c>
      <c r="AK28" s="862">
        <f>IF([1]Digesters!AA27="","",[1]Digesters!AA27*100/1000000*('DIG-1'!$L$39*10000)*8.34/2000)</f>
        <v>16.224736080000003</v>
      </c>
    </row>
    <row r="29" spans="1:37" ht="20.25" x14ac:dyDescent="0.3">
      <c r="A29" s="736">
        <v>25</v>
      </c>
      <c r="B29" s="867">
        <f>IF([1]Digesters!R28="","",[1]Digesters!R28)</f>
        <v>100</v>
      </c>
      <c r="C29" s="857">
        <f>IF([1]Digesters!S28="","",[1]Digesters!S28)</f>
        <v>99</v>
      </c>
      <c r="D29" s="857">
        <f>IF([1]Digesters!T28="","",[1]Digesters!T28)</f>
        <v>99</v>
      </c>
      <c r="E29" s="857">
        <f>IF([1]Digesters!U28="","",[1]Digesters!U28)</f>
        <v>99</v>
      </c>
      <c r="F29" s="857">
        <f>IF([1]Digesters!V28="","",[1]Digesters!V28)</f>
        <v>99</v>
      </c>
      <c r="G29" s="857">
        <f>IF([1]Digesters!W28="","",[1]Digesters!W28)</f>
        <v>99</v>
      </c>
      <c r="H29" s="857">
        <f>IF([1]Digesters!X28="","",[1]Digesters!X28)</f>
        <v>99</v>
      </c>
      <c r="I29" s="857">
        <f>IF([1]Digesters!Y28="","",[1]Digesters!Y28)</f>
        <v>99</v>
      </c>
      <c r="J29" s="858"/>
      <c r="K29" s="870"/>
      <c r="L29" s="873">
        <f>IF([2]DIG!H28="","",[2]DIG!H28)</f>
        <v>7.1</v>
      </c>
      <c r="M29" s="858">
        <f>IF([2]DIG!K28="","",[2]DIG!K28)</f>
        <v>7.2</v>
      </c>
      <c r="N29" s="858">
        <f>IF([2]DIG!N28="","",[2]DIG!N28)</f>
        <v>7.3</v>
      </c>
      <c r="O29" s="858">
        <f>IF([2]DIG!Q28="","",[2]DIG!Q28)</f>
        <v>7.2</v>
      </c>
      <c r="P29" s="858">
        <f>IF([2]DIG!T28="","",[2]DIG!T28)</f>
        <v>7.2</v>
      </c>
      <c r="Q29" s="874">
        <f>IF([2]DIG!W28="","",[2]DIG!W28)</f>
        <v>7.2</v>
      </c>
      <c r="R29" s="867"/>
      <c r="S29" s="857"/>
      <c r="T29" s="857"/>
      <c r="U29" s="857"/>
      <c r="V29" s="857"/>
      <c r="W29" s="857"/>
      <c r="X29" s="857">
        <f>IF([2]DIG!I28="","",[2]DIG!I28)</f>
        <v>3740</v>
      </c>
      <c r="Y29" s="857">
        <f>IF([2]DIG!L28="","",[2]DIG!L28)</f>
        <v>3250</v>
      </c>
      <c r="Z29" s="857">
        <f>IF([2]DIG!O28="","",[2]DIG!O28)</f>
        <v>5720</v>
      </c>
      <c r="AA29" s="857">
        <f>IF([2]DIG!R28="","",[2]DIG!R28)</f>
        <v>3550</v>
      </c>
      <c r="AB29" s="857">
        <f>IF([2]DIG!U28="","",[2]DIG!U28)</f>
        <v>3660</v>
      </c>
      <c r="AC29" s="876">
        <f>IF([2]DIG!X28="","",[2]DIG!X28)</f>
        <v>3630</v>
      </c>
      <c r="AD29" s="882">
        <f>IF([2]DIG!J28="","",[2]DIG!J28)</f>
        <v>50</v>
      </c>
      <c r="AE29" s="857">
        <f>IF([2]DIG!M28="","",[2]DIG!M28)</f>
        <v>45</v>
      </c>
      <c r="AF29" s="857">
        <f>IF([2]DIG!P28="","",[2]DIG!P28)</f>
        <v>68</v>
      </c>
      <c r="AG29" s="857">
        <f>IF([2]DIG!S28="","",[2]DIG!S28)</f>
        <v>58</v>
      </c>
      <c r="AH29" s="857">
        <f>IF([2]DIG!V28="","",[2]DIG!V28)</f>
        <v>48</v>
      </c>
      <c r="AI29" s="883">
        <f>IF([2]DIG!Y28="","",[2]DIG!Y28)</f>
        <v>48</v>
      </c>
      <c r="AJ29" s="879">
        <f>IF([1]Digesters!AD28="","",[1]Digesters!AD28*100/1000000*((('DIG-1'!$F$39+'DIG-1'!$H$39+'DIG-1'!$J$39)/3)*10000)*8.34/2000)</f>
        <v>39.705427839999999</v>
      </c>
      <c r="AK29" s="862">
        <f>IF([1]Digesters!AA28="","",[1]Digesters!AA28*100/1000000*('DIG-1'!$L$39*10000)*8.34/2000)</f>
        <v>10.395593160000001</v>
      </c>
    </row>
    <row r="30" spans="1:37" ht="20.25" x14ac:dyDescent="0.3">
      <c r="A30" s="736">
        <v>26</v>
      </c>
      <c r="B30" s="867">
        <f>IF([1]Digesters!R29="","",[1]Digesters!R29)</f>
        <v>100</v>
      </c>
      <c r="C30" s="857">
        <f>IF([1]Digesters!S29="","",[1]Digesters!S29)</f>
        <v>100</v>
      </c>
      <c r="D30" s="857">
        <f>IF([1]Digesters!T29="","",[1]Digesters!T29)</f>
        <v>99</v>
      </c>
      <c r="E30" s="857">
        <f>IF([1]Digesters!U29="","",[1]Digesters!U29)</f>
        <v>99</v>
      </c>
      <c r="F30" s="857">
        <f>IF([1]Digesters!V29="","",[1]Digesters!V29)</f>
        <v>99</v>
      </c>
      <c r="G30" s="857">
        <f>IF([1]Digesters!W29="","",[1]Digesters!W29)</f>
        <v>99</v>
      </c>
      <c r="H30" s="857">
        <f>IF([1]Digesters!X29="","",[1]Digesters!X29)</f>
        <v>99</v>
      </c>
      <c r="I30" s="857">
        <f>IF([1]Digesters!Y29="","",[1]Digesters!Y29)</f>
        <v>99</v>
      </c>
      <c r="J30" s="858"/>
      <c r="K30" s="870"/>
      <c r="L30" s="873">
        <f>IF([2]DIG!H29="","",[2]DIG!H29)</f>
        <v>7.2</v>
      </c>
      <c r="M30" s="858">
        <f>IF([2]DIG!K29="","",[2]DIG!K29)</f>
        <v>7.1</v>
      </c>
      <c r="N30" s="858">
        <f>IF([2]DIG!N29="","",[2]DIG!N29)</f>
        <v>7.3</v>
      </c>
      <c r="O30" s="858">
        <f>IF([2]DIG!Q29="","",[2]DIG!Q29)</f>
        <v>7.2</v>
      </c>
      <c r="P30" s="858">
        <f>IF([2]DIG!T29="","",[2]DIG!T29)</f>
        <v>7.1</v>
      </c>
      <c r="Q30" s="874">
        <f>IF([2]DIG!W29="","",[2]DIG!W29)</f>
        <v>7.1</v>
      </c>
      <c r="R30" s="867"/>
      <c r="S30" s="857"/>
      <c r="T30" s="857"/>
      <c r="U30" s="857"/>
      <c r="V30" s="857"/>
      <c r="W30" s="857"/>
      <c r="X30" s="857">
        <f>IF([2]DIG!I29="","",[2]DIG!I29)</f>
        <v>3620</v>
      </c>
      <c r="Y30" s="857">
        <f>IF([2]DIG!L29="","",[2]DIG!L29)</f>
        <v>3610</v>
      </c>
      <c r="Z30" s="857">
        <f>IF([2]DIG!O29="","",[2]DIG!O29)</f>
        <v>5740</v>
      </c>
      <c r="AA30" s="857">
        <f>IF([2]DIG!R29="","",[2]DIG!R29)</f>
        <v>3680</v>
      </c>
      <c r="AB30" s="857">
        <f>IF([2]DIG!U29="","",[2]DIG!U29)</f>
        <v>3790</v>
      </c>
      <c r="AC30" s="876">
        <f>IF([2]DIG!X29="","",[2]DIG!X29)</f>
        <v>3730</v>
      </c>
      <c r="AD30" s="882">
        <f>IF([2]DIG!J29="","",[2]DIG!J29)</f>
        <v>50</v>
      </c>
      <c r="AE30" s="857">
        <f>IF([2]DIG!M29="","",[2]DIG!M29)</f>
        <v>40</v>
      </c>
      <c r="AF30" s="857">
        <f>IF([2]DIG!P29="","",[2]DIG!P29)</f>
        <v>78</v>
      </c>
      <c r="AG30" s="857">
        <f>IF([2]DIG!S29="","",[2]DIG!S29)</f>
        <v>60</v>
      </c>
      <c r="AH30" s="857">
        <f>IF([2]DIG!V29="","",[2]DIG!V29)</f>
        <v>50</v>
      </c>
      <c r="AI30" s="883">
        <f>IF([2]DIG!Y29="","",[2]DIG!Y29)</f>
        <v>50</v>
      </c>
      <c r="AJ30" s="879">
        <f>IF([1]Digesters!AD29="","",[1]Digesters!AD29*100/1000000*((('DIG-1'!$F$39+'DIG-1'!$H$39+'DIG-1'!$J$39)/3)*10000)*8.34/2000)</f>
        <v>39.285878580000002</v>
      </c>
      <c r="AK30" s="862">
        <f>IF([1]Digesters!AA29="","",[1]Digesters!AA29*100/1000000*('DIG-1'!$L$39*10000)*8.34/2000)</f>
        <v>13.543676280000001</v>
      </c>
    </row>
    <row r="31" spans="1:37" ht="20.25" x14ac:dyDescent="0.3">
      <c r="A31" s="736">
        <v>27</v>
      </c>
      <c r="B31" s="867">
        <f>IF([1]Digesters!R30="","",[1]Digesters!R30)</f>
        <v>100</v>
      </c>
      <c r="C31" s="857">
        <f>IF([1]Digesters!S30="","",[1]Digesters!S30)</f>
        <v>100</v>
      </c>
      <c r="D31" s="857">
        <f>IF([1]Digesters!T30="","",[1]Digesters!T30)</f>
        <v>99</v>
      </c>
      <c r="E31" s="857">
        <f>IF([1]Digesters!U30="","",[1]Digesters!U30)</f>
        <v>99</v>
      </c>
      <c r="F31" s="857">
        <f>IF([1]Digesters!V30="","",[1]Digesters!V30)</f>
        <v>99</v>
      </c>
      <c r="G31" s="857">
        <f>IF([1]Digesters!W30="","",[1]Digesters!W30)</f>
        <v>99</v>
      </c>
      <c r="H31" s="857">
        <f>IF([1]Digesters!X30="","",[1]Digesters!X30)</f>
        <v>99</v>
      </c>
      <c r="I31" s="857">
        <f>IF([1]Digesters!Y30="","",[1]Digesters!Y30)</f>
        <v>99</v>
      </c>
      <c r="J31" s="858"/>
      <c r="K31" s="870"/>
      <c r="L31" s="873">
        <f>IF([2]DIG!H30="","",[2]DIG!H30)</f>
        <v>7.2</v>
      </c>
      <c r="M31" s="858">
        <f>IF([2]DIG!K30="","",[2]DIG!K30)</f>
        <v>7.2</v>
      </c>
      <c r="N31" s="858">
        <f>IF([2]DIG!N30="","",[2]DIG!N30)</f>
        <v>7.4</v>
      </c>
      <c r="O31" s="858">
        <f>IF([2]DIG!Q30="","",[2]DIG!Q30)</f>
        <v>7.2</v>
      </c>
      <c r="P31" s="858">
        <f>IF([2]DIG!T30="","",[2]DIG!T30)</f>
        <v>7.2</v>
      </c>
      <c r="Q31" s="874">
        <f>IF([2]DIG!W30="","",[2]DIG!W30)</f>
        <v>7.2</v>
      </c>
      <c r="R31" s="867"/>
      <c r="S31" s="857"/>
      <c r="T31" s="857"/>
      <c r="U31" s="857"/>
      <c r="V31" s="857"/>
      <c r="W31" s="857"/>
      <c r="X31" s="857">
        <f>IF([2]DIG!I30="","",[2]DIG!I30)</f>
        <v>4090</v>
      </c>
      <c r="Y31" s="857">
        <f>IF([2]DIG!L30="","",[2]DIG!L30)</f>
        <v>3750</v>
      </c>
      <c r="Z31" s="857">
        <f>IF([2]DIG!O30="","",[2]DIG!O30)</f>
        <v>5630</v>
      </c>
      <c r="AA31" s="857">
        <f>IF([2]DIG!R30="","",[2]DIG!R30)</f>
        <v>3740</v>
      </c>
      <c r="AB31" s="857">
        <f>IF([2]DIG!U30="","",[2]DIG!U30)</f>
        <v>3920</v>
      </c>
      <c r="AC31" s="876">
        <f>IF([2]DIG!X30="","",[2]DIG!X30)</f>
        <v>4030</v>
      </c>
      <c r="AD31" s="882">
        <f>IF([2]DIG!J30="","",[2]DIG!J30)</f>
        <v>45</v>
      </c>
      <c r="AE31" s="857">
        <f>IF([2]DIG!M30="","",[2]DIG!M30)</f>
        <v>42</v>
      </c>
      <c r="AF31" s="857">
        <f>IF([2]DIG!P30="","",[2]DIG!P30)</f>
        <v>70</v>
      </c>
      <c r="AG31" s="857">
        <f>IF([2]DIG!S30="","",[2]DIG!S30)</f>
        <v>45</v>
      </c>
      <c r="AH31" s="857">
        <f>IF([2]DIG!V30="","",[2]DIG!V30)</f>
        <v>45</v>
      </c>
      <c r="AI31" s="883">
        <f>IF([2]DIG!Y30="","",[2]DIG!Y30)</f>
        <v>50</v>
      </c>
      <c r="AJ31" s="879">
        <f>IF([1]Digesters!AD30="","",[1]Digesters!AD30*100/1000000*((('DIG-1'!$F$39+'DIG-1'!$H$39+'DIG-1'!$J$39)/3)*10000)*8.34/2000)</f>
        <v>51.292128680000005</v>
      </c>
      <c r="AK31" s="862">
        <f>IF([1]Digesters!AA30="","",[1]Digesters!AA30*100/1000000*('DIG-1'!$L$39*10000)*8.34/2000)</f>
        <v>9.9631641600000016</v>
      </c>
    </row>
    <row r="32" spans="1:37" ht="20.25" x14ac:dyDescent="0.3">
      <c r="A32" s="736">
        <v>28</v>
      </c>
      <c r="B32" s="867">
        <f>IF([1]Digesters!R31="","",[1]Digesters!R31)</f>
        <v>100</v>
      </c>
      <c r="C32" s="857">
        <f>IF([1]Digesters!S31="","",[1]Digesters!S31)</f>
        <v>99</v>
      </c>
      <c r="D32" s="857">
        <f>IF([1]Digesters!T31="","",[1]Digesters!T31)</f>
        <v>99</v>
      </c>
      <c r="E32" s="857">
        <f>IF([1]Digesters!U31="","",[1]Digesters!U31)</f>
        <v>99</v>
      </c>
      <c r="F32" s="857">
        <f>IF([1]Digesters!V31="","",[1]Digesters!V31)</f>
        <v>99</v>
      </c>
      <c r="G32" s="857">
        <f>IF([1]Digesters!W31="","",[1]Digesters!W31)</f>
        <v>99</v>
      </c>
      <c r="H32" s="857">
        <f>IF([1]Digesters!X31="","",[1]Digesters!X31)</f>
        <v>99</v>
      </c>
      <c r="I32" s="857">
        <f>IF([1]Digesters!Y31="","",[1]Digesters!Y31)</f>
        <v>99</v>
      </c>
      <c r="J32" s="858"/>
      <c r="K32" s="870"/>
      <c r="L32" s="873">
        <f>IF([2]DIG!H31="","",[2]DIG!H31)</f>
        <v>7.2</v>
      </c>
      <c r="M32" s="858">
        <f>IF([2]DIG!K31="","",[2]DIG!K31)</f>
        <v>7.2</v>
      </c>
      <c r="N32" s="858">
        <f>IF([2]DIG!N31="","",[2]DIG!N31)</f>
        <v>7.3</v>
      </c>
      <c r="O32" s="858">
        <f>IF([2]DIG!Q31="","",[2]DIG!Q31)</f>
        <v>7.2</v>
      </c>
      <c r="P32" s="858">
        <f>IF([2]DIG!T31="","",[2]DIG!T31)</f>
        <v>7.2</v>
      </c>
      <c r="Q32" s="874">
        <f>IF([2]DIG!W31="","",[2]DIG!W31)</f>
        <v>7.2</v>
      </c>
      <c r="R32" s="867"/>
      <c r="S32" s="857"/>
      <c r="T32" s="857"/>
      <c r="U32" s="857"/>
      <c r="V32" s="857"/>
      <c r="W32" s="857"/>
      <c r="X32" s="857">
        <f>IF([2]DIG!I31="","",[2]DIG!I31)</f>
        <v>3810</v>
      </c>
      <c r="Y32" s="857">
        <f>IF([2]DIG!L31="","",[2]DIG!L31)</f>
        <v>3520</v>
      </c>
      <c r="Z32" s="857">
        <f>IF([2]DIG!O31="","",[2]DIG!O31)</f>
        <v>5960</v>
      </c>
      <c r="AA32" s="857">
        <f>IF([2]DIG!R31="","",[2]DIG!R31)</f>
        <v>3620</v>
      </c>
      <c r="AB32" s="857">
        <f>IF([2]DIG!U31="","",[2]DIG!U31)</f>
        <v>3760</v>
      </c>
      <c r="AC32" s="876">
        <f>IF([2]DIG!X31="","",[2]DIG!X31)</f>
        <v>3720</v>
      </c>
      <c r="AD32" s="882">
        <f>IF([2]DIG!J31="","",[2]DIG!J31)</f>
        <v>50</v>
      </c>
      <c r="AE32" s="857">
        <f>IF([2]DIG!M31="","",[2]DIG!M31)</f>
        <v>50</v>
      </c>
      <c r="AF32" s="857">
        <f>IF([2]DIG!P31="","",[2]DIG!P31)</f>
        <v>55</v>
      </c>
      <c r="AG32" s="857">
        <f>IF([2]DIG!S31="","",[2]DIG!S31)</f>
        <v>42</v>
      </c>
      <c r="AH32" s="857">
        <f>IF([2]DIG!V31="","",[2]DIG!V31)</f>
        <v>42</v>
      </c>
      <c r="AI32" s="883">
        <f>IF([2]DIG!Y31="","",[2]DIG!Y31)</f>
        <v>42</v>
      </c>
      <c r="AJ32" s="879">
        <f>IF([1]Digesters!AD31="","",[1]Digesters!AD31*100/1000000*((('DIG-1'!$F$39+'DIG-1'!$H$39+'DIG-1'!$J$39)/3)*10000)*8.34/2000)</f>
        <v>28.823926820000001</v>
      </c>
      <c r="AK32" s="862">
        <f>IF([1]Digesters!AA31="","",[1]Digesters!AA31*100/1000000*('DIG-1'!$L$39*10000)*8.34/2000)</f>
        <v>9.8334354600000005</v>
      </c>
    </row>
    <row r="33" spans="1:37" ht="20.25" x14ac:dyDescent="0.3">
      <c r="A33" s="736">
        <v>29</v>
      </c>
      <c r="B33" s="867">
        <f>IF([1]Digesters!R32="","",[1]Digesters!R32)</f>
        <v>99</v>
      </c>
      <c r="C33" s="857">
        <f>IF([1]Digesters!S32="","",[1]Digesters!S32)</f>
        <v>100</v>
      </c>
      <c r="D33" s="857">
        <f>IF([1]Digesters!T32="","",[1]Digesters!T32)</f>
        <v>99</v>
      </c>
      <c r="E33" s="857">
        <f>IF([1]Digesters!U32="","",[1]Digesters!U32)</f>
        <v>99</v>
      </c>
      <c r="F33" s="857">
        <f>IF([1]Digesters!V32="","",[1]Digesters!V32)</f>
        <v>99</v>
      </c>
      <c r="G33" s="857">
        <f>IF([1]Digesters!W32="","",[1]Digesters!W32)</f>
        <v>99</v>
      </c>
      <c r="H33" s="857">
        <f>IF([1]Digesters!X32="","",[1]Digesters!X32)</f>
        <v>99</v>
      </c>
      <c r="I33" s="857">
        <f>IF([1]Digesters!Y32="","",[1]Digesters!Y32)</f>
        <v>99</v>
      </c>
      <c r="J33" s="858"/>
      <c r="K33" s="870"/>
      <c r="L33" s="873">
        <f>IF([2]DIG!H32="","",[2]DIG!H32)</f>
        <v>7.2</v>
      </c>
      <c r="M33" s="858">
        <f>IF([2]DIG!K32="","",[2]DIG!K32)</f>
        <v>7.2</v>
      </c>
      <c r="N33" s="858">
        <f>IF([2]DIG!N32="","",[2]DIG!N32)</f>
        <v>7.3</v>
      </c>
      <c r="O33" s="858">
        <f>IF([2]DIG!Q32="","",[2]DIG!Q32)</f>
        <v>7.2</v>
      </c>
      <c r="P33" s="858">
        <f>IF([2]DIG!T32="","",[2]DIG!T32)</f>
        <v>7.2</v>
      </c>
      <c r="Q33" s="874">
        <f>IF([2]DIG!W32="","",[2]DIG!W32)</f>
        <v>7.2</v>
      </c>
      <c r="R33" s="867"/>
      <c r="S33" s="857"/>
      <c r="T33" s="857"/>
      <c r="U33" s="857"/>
      <c r="V33" s="857"/>
      <c r="W33" s="857"/>
      <c r="X33" s="857">
        <f>IF([2]DIG!I32="","",[2]DIG!I32)</f>
        <v>3800</v>
      </c>
      <c r="Y33" s="857">
        <f>IF([2]DIG!L32="","",[2]DIG!L32)</f>
        <v>3870</v>
      </c>
      <c r="Z33" s="857">
        <f>IF([2]DIG!O32="","",[2]DIG!O32)</f>
        <v>5510</v>
      </c>
      <c r="AA33" s="857">
        <f>IF([2]DIG!R32="","",[2]DIG!R32)</f>
        <v>4130</v>
      </c>
      <c r="AB33" s="857">
        <f>IF([2]DIG!U32="","",[2]DIG!U32)</f>
        <v>3580</v>
      </c>
      <c r="AC33" s="876">
        <f>IF([2]DIG!X32="","",[2]DIG!X32)</f>
        <v>3830</v>
      </c>
      <c r="AD33" s="882">
        <f>IF([2]DIG!J32="","",[2]DIG!J32)</f>
        <v>58</v>
      </c>
      <c r="AE33" s="857">
        <f>IF([2]DIG!M32="","",[2]DIG!M32)</f>
        <v>50</v>
      </c>
      <c r="AF33" s="857">
        <f>IF([2]DIG!P32="","",[2]DIG!P32)</f>
        <v>98</v>
      </c>
      <c r="AG33" s="857">
        <f>IF([2]DIG!S32="","",[2]DIG!S32)</f>
        <v>45</v>
      </c>
      <c r="AH33" s="857">
        <f>IF([2]DIG!V32="","",[2]DIG!V32)</f>
        <v>48</v>
      </c>
      <c r="AI33" s="883">
        <f>IF([2]DIG!Y32="","",[2]DIG!Y32)</f>
        <v>48</v>
      </c>
      <c r="AJ33" s="879">
        <f>IF([1]Digesters!AD32="","",[1]Digesters!AD32*100/1000000*((('DIG-1'!$F$39+'DIG-1'!$H$39+'DIG-1'!$J$39)/3)*10000)*8.34/2000)</f>
        <v>48.042853560000005</v>
      </c>
      <c r="AK33" s="862">
        <f>IF([1]Digesters!AA32="","",[1]Digesters!AA32*100/1000000*('DIG-1'!$L$39*10000)*8.34/2000)</f>
        <v>10.127487180000001</v>
      </c>
    </row>
    <row r="34" spans="1:37" ht="20.25" x14ac:dyDescent="0.3">
      <c r="A34" s="736">
        <v>30</v>
      </c>
      <c r="B34" s="867">
        <f>IF([1]Digesters!R33="","",[1]Digesters!R33)</f>
        <v>100</v>
      </c>
      <c r="C34" s="857">
        <f>IF([1]Digesters!S33="","",[1]Digesters!S33)</f>
        <v>100</v>
      </c>
      <c r="D34" s="857">
        <f>IF([1]Digesters!T33="","",[1]Digesters!T33)</f>
        <v>99</v>
      </c>
      <c r="E34" s="857">
        <f>IF([1]Digesters!U33="","",[1]Digesters!U33)</f>
        <v>99</v>
      </c>
      <c r="F34" s="857">
        <f>IF([1]Digesters!V33="","",[1]Digesters!V33)</f>
        <v>99</v>
      </c>
      <c r="G34" s="857">
        <f>IF([1]Digesters!W33="","",[1]Digesters!W33)</f>
        <v>99</v>
      </c>
      <c r="H34" s="857">
        <f>IF([1]Digesters!X33="","",[1]Digesters!X33)</f>
        <v>99</v>
      </c>
      <c r="I34" s="857">
        <f>IF([1]Digesters!Y33="","",[1]Digesters!Y33)</f>
        <v>99</v>
      </c>
      <c r="J34" s="858"/>
      <c r="K34" s="870"/>
      <c r="L34" s="873">
        <f>IF([2]DIG!H33="","",[2]DIG!H33)</f>
        <v>7.2</v>
      </c>
      <c r="M34" s="858">
        <f>IF([2]DIG!K33="","",[2]DIG!K33)</f>
        <v>7.3</v>
      </c>
      <c r="N34" s="858">
        <f>IF([2]DIG!N33="","",[2]DIG!N33)</f>
        <v>7.3</v>
      </c>
      <c r="O34" s="858">
        <f>IF([2]DIG!Q33="","",[2]DIG!Q33)</f>
        <v>7.3</v>
      </c>
      <c r="P34" s="858">
        <f>IF([2]DIG!T33="","",[2]DIG!T33)</f>
        <v>7.3</v>
      </c>
      <c r="Q34" s="874">
        <f>IF([2]DIG!W33="","",[2]DIG!W33)</f>
        <v>7.3</v>
      </c>
      <c r="R34" s="867"/>
      <c r="S34" s="857"/>
      <c r="T34" s="857"/>
      <c r="U34" s="857"/>
      <c r="V34" s="857"/>
      <c r="W34" s="857"/>
      <c r="X34" s="857">
        <f>IF([2]DIG!I33="","",[2]DIG!I33)</f>
        <v>3710</v>
      </c>
      <c r="Y34" s="857">
        <f>IF([2]DIG!L33="","",[2]DIG!L33)</f>
        <v>3540</v>
      </c>
      <c r="Z34" s="857">
        <f>IF([2]DIG!O33="","",[2]DIG!O33)</f>
        <v>5390</v>
      </c>
      <c r="AA34" s="857">
        <f>IF([2]DIG!R33="","",[2]DIG!R33)</f>
        <v>3650</v>
      </c>
      <c r="AB34" s="857">
        <f>IF([2]DIG!U33="","",[2]DIG!U33)</f>
        <v>3500</v>
      </c>
      <c r="AC34" s="876">
        <f>IF([2]DIG!X33="","",[2]DIG!X33)</f>
        <v>3540</v>
      </c>
      <c r="AD34" s="882">
        <f>IF([2]DIG!J33="","",[2]DIG!J33)</f>
        <v>58</v>
      </c>
      <c r="AE34" s="857">
        <f>IF([2]DIG!M33="","",[2]DIG!M33)</f>
        <v>52</v>
      </c>
      <c r="AF34" s="857">
        <f>IF([2]DIG!P33="","",[2]DIG!P33)</f>
        <v>82</v>
      </c>
      <c r="AG34" s="857">
        <f>IF([2]DIG!S33="","",[2]DIG!S33)</f>
        <v>62</v>
      </c>
      <c r="AH34" s="857">
        <f>IF([2]DIG!V33="","",[2]DIG!V33)</f>
        <v>45</v>
      </c>
      <c r="AI34" s="883">
        <f>IF([2]DIG!Y33="","",[2]DIG!Y33)</f>
        <v>50</v>
      </c>
      <c r="AJ34" s="879">
        <f>IF([1]Digesters!AD33="","",[1]Digesters!AD33*100/1000000*((('DIG-1'!$F$39+'DIG-1'!$H$39+'DIG-1'!$J$39)/3)*10000)*8.34/2000)</f>
        <v>31.662579260000001</v>
      </c>
      <c r="AK34" s="862">
        <f>IF([1]Digesters!AA33="","",[1]Digesters!AA33*100/1000000*('DIG-1'!$L$39*10000)*8.34/2000)</f>
        <v>13.336110360000003</v>
      </c>
    </row>
    <row r="35" spans="1:37" ht="21" thickBot="1" x14ac:dyDescent="0.35">
      <c r="A35" s="736">
        <v>31</v>
      </c>
      <c r="B35" s="867">
        <f>IF([1]Digesters!R34="","",[1]Digesters!R34)</f>
        <v>100</v>
      </c>
      <c r="C35" s="857">
        <f>IF([1]Digesters!S34="","",[1]Digesters!S34)</f>
        <v>100</v>
      </c>
      <c r="D35" s="857">
        <f>IF([1]Digesters!T34="","",[1]Digesters!T34)</f>
        <v>99</v>
      </c>
      <c r="E35" s="857">
        <f>IF([1]Digesters!U34="","",[1]Digesters!U34)</f>
        <v>99</v>
      </c>
      <c r="F35" s="857">
        <f>IF([1]Digesters!V34="","",[1]Digesters!V34)</f>
        <v>99</v>
      </c>
      <c r="G35" s="857">
        <f>IF([1]Digesters!W34="","",[1]Digesters!W34)</f>
        <v>99</v>
      </c>
      <c r="H35" s="857">
        <f>IF([1]Digesters!X34="","",[1]Digesters!X34)</f>
        <v>99</v>
      </c>
      <c r="I35" s="857">
        <f>IF([1]Digesters!Y34="","",[1]Digesters!Y34)</f>
        <v>99</v>
      </c>
      <c r="J35" s="858"/>
      <c r="K35" s="870"/>
      <c r="L35" s="873">
        <f>IF([2]DIG!H34="","",[2]DIG!H34)</f>
        <v>7.2</v>
      </c>
      <c r="M35" s="858">
        <f>IF([2]DIG!K34="","",[2]DIG!K34)</f>
        <v>7.2</v>
      </c>
      <c r="N35" s="858">
        <f>IF([2]DIG!N34="","",[2]DIG!N34)</f>
        <v>7.5</v>
      </c>
      <c r="O35" s="858">
        <f>IF([2]DIG!Q34="","",[2]DIG!Q34)</f>
        <v>7.2</v>
      </c>
      <c r="P35" s="858">
        <f>IF([2]DIG!T34="","",[2]DIG!T34)</f>
        <v>7.2</v>
      </c>
      <c r="Q35" s="874">
        <f>IF([2]DIG!W34="","",[2]DIG!W34)</f>
        <v>7.2</v>
      </c>
      <c r="R35" s="867"/>
      <c r="S35" s="857"/>
      <c r="T35" s="857"/>
      <c r="U35" s="857"/>
      <c r="V35" s="857"/>
      <c r="W35" s="857"/>
      <c r="X35" s="857">
        <f>IF([2]DIG!I34="","",[2]DIG!I34)</f>
        <v>3690</v>
      </c>
      <c r="Y35" s="857">
        <f>IF([2]DIG!L34="","",[2]DIG!L34)</f>
        <v>3630</v>
      </c>
      <c r="Z35" s="857">
        <f>IF([2]DIG!O34="","",[2]DIG!O34)</f>
        <v>6200</v>
      </c>
      <c r="AA35" s="857">
        <f>IF([2]DIG!R34="","",[2]DIG!R34)</f>
        <v>3630</v>
      </c>
      <c r="AB35" s="857">
        <f>IF([2]DIG!U34="","",[2]DIG!U34)</f>
        <v>3750</v>
      </c>
      <c r="AC35" s="876">
        <f>IF([2]DIG!X34="","",[2]DIG!X34)</f>
        <v>3690</v>
      </c>
      <c r="AD35" s="882">
        <f>IF([2]DIG!J34="","",[2]DIG!J34)</f>
        <v>48</v>
      </c>
      <c r="AE35" s="857">
        <f>IF([2]DIG!M34="","",[2]DIG!M34)</f>
        <v>40</v>
      </c>
      <c r="AF35" s="857">
        <f>IF([2]DIG!P34="","",[2]DIG!P34)</f>
        <v>80</v>
      </c>
      <c r="AG35" s="857">
        <f>IF([2]DIG!S34="","",[2]DIG!S34)</f>
        <v>52</v>
      </c>
      <c r="AH35" s="857">
        <f>IF([2]DIG!V34="","",[2]DIG!V34)</f>
        <v>50</v>
      </c>
      <c r="AI35" s="883">
        <f>IF([2]DIG!Y34="","",[2]DIG!Y34)</f>
        <v>40</v>
      </c>
      <c r="AJ35" s="879">
        <f>IF([1]Digesters!AD34="","",[1]Digesters!AD34*100/1000000*((('DIG-1'!$F$39+'DIG-1'!$H$39+'DIG-1'!$J$39)/3)*10000)*8.34/2000)</f>
        <v>40.848030080000001</v>
      </c>
      <c r="AK35" s="862">
        <f>IF([1]Digesters!AA34="","",[1]Digesters!AA34*100/1000000*('DIG-1'!$L$39*10000)*8.34/2000)</f>
        <v>5.2496880600000004</v>
      </c>
    </row>
    <row r="36" spans="1:37" ht="20.25" x14ac:dyDescent="0.3">
      <c r="A36" s="735" t="s">
        <v>539</v>
      </c>
      <c r="B36" s="880">
        <f t="shared" ref="B36:I36" si="0">IF(MAX(B5:B35)=0,"",MAX(B5:B35))</f>
        <v>100</v>
      </c>
      <c r="C36" s="859">
        <f t="shared" si="0"/>
        <v>103</v>
      </c>
      <c r="D36" s="859">
        <f t="shared" si="0"/>
        <v>99</v>
      </c>
      <c r="E36" s="859">
        <f t="shared" si="0"/>
        <v>99</v>
      </c>
      <c r="F36" s="859">
        <f t="shared" si="0"/>
        <v>99</v>
      </c>
      <c r="G36" s="859">
        <f t="shared" si="0"/>
        <v>99</v>
      </c>
      <c r="H36" s="859">
        <f t="shared" si="0"/>
        <v>99</v>
      </c>
      <c r="I36" s="881">
        <f t="shared" si="0"/>
        <v>99</v>
      </c>
      <c r="J36" s="866">
        <f>MAX(J5:J35)</f>
        <v>0</v>
      </c>
      <c r="K36" s="859">
        <f>MAX(K5:K35)</f>
        <v>0</v>
      </c>
      <c r="L36" s="860">
        <f t="shared" ref="L36:Q36" si="1">IF(MAX(L5:L35)=0,"",MAX(L5:L35))</f>
        <v>7.3</v>
      </c>
      <c r="M36" s="860">
        <f t="shared" si="1"/>
        <v>7.3</v>
      </c>
      <c r="N36" s="860">
        <f t="shared" si="1"/>
        <v>8.3000000000000007</v>
      </c>
      <c r="O36" s="860">
        <f t="shared" si="1"/>
        <v>7.5</v>
      </c>
      <c r="P36" s="860">
        <f t="shared" si="1"/>
        <v>7.4</v>
      </c>
      <c r="Q36" s="860">
        <f t="shared" si="1"/>
        <v>7.4</v>
      </c>
      <c r="R36" s="860">
        <f t="shared" ref="R36:W36" si="2">MAX(R5:R35)</f>
        <v>0</v>
      </c>
      <c r="S36" s="860">
        <f t="shared" si="2"/>
        <v>0</v>
      </c>
      <c r="T36" s="860">
        <f t="shared" si="2"/>
        <v>0</v>
      </c>
      <c r="U36" s="860">
        <f t="shared" si="2"/>
        <v>0</v>
      </c>
      <c r="V36" s="860">
        <f t="shared" si="2"/>
        <v>0</v>
      </c>
      <c r="W36" s="869">
        <f t="shared" si="2"/>
        <v>0</v>
      </c>
      <c r="X36" s="880">
        <f t="shared" ref="X36:AI36" si="3">IF(MAX(X5:X35)=0,"",MAX(X5:X35))</f>
        <v>4090</v>
      </c>
      <c r="Y36" s="859">
        <f t="shared" si="3"/>
        <v>3870</v>
      </c>
      <c r="Z36" s="859">
        <f t="shared" si="3"/>
        <v>6310</v>
      </c>
      <c r="AA36" s="859">
        <f t="shared" si="3"/>
        <v>4130</v>
      </c>
      <c r="AB36" s="859">
        <f t="shared" si="3"/>
        <v>3990</v>
      </c>
      <c r="AC36" s="881">
        <f t="shared" si="3"/>
        <v>4030</v>
      </c>
      <c r="AD36" s="866">
        <f t="shared" si="3"/>
        <v>92</v>
      </c>
      <c r="AE36" s="859">
        <f t="shared" si="3"/>
        <v>62</v>
      </c>
      <c r="AF36" s="859">
        <f t="shared" si="3"/>
        <v>98</v>
      </c>
      <c r="AG36" s="859">
        <f t="shared" si="3"/>
        <v>75</v>
      </c>
      <c r="AH36" s="859">
        <f t="shared" si="3"/>
        <v>68</v>
      </c>
      <c r="AI36" s="875">
        <f t="shared" si="3"/>
        <v>88</v>
      </c>
      <c r="AJ36" s="892">
        <f>MAX(AJ5:AJ35)</f>
        <v>67.752742200000014</v>
      </c>
      <c r="AK36" s="861">
        <f>MAX(AK5:AK35)</f>
        <v>41.936964420000002</v>
      </c>
    </row>
    <row r="37" spans="1:37" ht="20.25" hidden="1" customHeight="1" x14ac:dyDescent="0.3">
      <c r="A37" s="736" t="s">
        <v>591</v>
      </c>
      <c r="B37" s="882">
        <f t="shared" ref="B37:Q37" si="4">STDEV(B5:B35)</f>
        <v>0.76481777997058853</v>
      </c>
      <c r="C37" s="857">
        <f t="shared" si="4"/>
        <v>1.0776318121606494</v>
      </c>
      <c r="D37" s="857">
        <f t="shared" si="4"/>
        <v>0</v>
      </c>
      <c r="E37" s="857">
        <f t="shared" si="4"/>
        <v>0</v>
      </c>
      <c r="F37" s="857">
        <f t="shared" si="4"/>
        <v>0.63075309144354674</v>
      </c>
      <c r="G37" s="857">
        <f t="shared" si="4"/>
        <v>0</v>
      </c>
      <c r="H37" s="857">
        <f t="shared" si="4"/>
        <v>0</v>
      </c>
      <c r="I37" s="883">
        <f t="shared" si="4"/>
        <v>0</v>
      </c>
      <c r="J37" s="887" t="e">
        <f t="shared" si="4"/>
        <v>#DIV/0!</v>
      </c>
      <c r="K37" s="858" t="e">
        <f t="shared" si="4"/>
        <v>#DIV/0!</v>
      </c>
      <c r="L37" s="858">
        <f t="shared" si="4"/>
        <v>4.7744841527364079E-2</v>
      </c>
      <c r="M37" s="858">
        <f t="shared" si="4"/>
        <v>5.6796183424706354E-2</v>
      </c>
      <c r="N37" s="858">
        <f t="shared" si="4"/>
        <v>0.17906567546303323</v>
      </c>
      <c r="O37" s="858">
        <f t="shared" si="4"/>
        <v>7.9243737244485857E-2</v>
      </c>
      <c r="P37" s="858">
        <f t="shared" si="4"/>
        <v>6.081878600549985E-2</v>
      </c>
      <c r="Q37" s="858">
        <f t="shared" si="4"/>
        <v>6.6881374683613506E-2</v>
      </c>
      <c r="R37" s="857"/>
      <c r="S37" s="857"/>
      <c r="T37" s="857"/>
      <c r="U37" s="857"/>
      <c r="V37" s="857"/>
      <c r="W37" s="876"/>
      <c r="X37" s="882">
        <f t="shared" ref="X37:AI37" si="5">STDEV(X5:X35)</f>
        <v>143.2330231641125</v>
      </c>
      <c r="Y37" s="857">
        <f t="shared" si="5"/>
        <v>120.90518812742914</v>
      </c>
      <c r="Z37" s="857">
        <f t="shared" si="5"/>
        <v>253.97485270485265</v>
      </c>
      <c r="AA37" s="857">
        <f t="shared" si="5"/>
        <v>157.43303748045574</v>
      </c>
      <c r="AB37" s="857">
        <f t="shared" si="5"/>
        <v>142.1448602318163</v>
      </c>
      <c r="AC37" s="883">
        <f t="shared" si="5"/>
        <v>139.62853946188102</v>
      </c>
      <c r="AD37" s="867">
        <f t="shared" si="5"/>
        <v>10.171010882188231</v>
      </c>
      <c r="AE37" s="857">
        <f t="shared" si="5"/>
        <v>6.2957572332313489</v>
      </c>
      <c r="AF37" s="857">
        <f t="shared" si="5"/>
        <v>11.098193207595468</v>
      </c>
      <c r="AG37" s="857">
        <f t="shared" si="5"/>
        <v>7.5740076180216169</v>
      </c>
      <c r="AH37" s="857">
        <f t="shared" si="5"/>
        <v>5.5342530651613204</v>
      </c>
      <c r="AI37" s="876">
        <f t="shared" si="5"/>
        <v>9.1211676294612243</v>
      </c>
      <c r="AJ37" s="893">
        <f>MIN(AJ5:AJ35)</f>
        <v>28.823926820000001</v>
      </c>
      <c r="AK37" s="862">
        <f>MIN(AK5:AK35)</f>
        <v>5.2496880600000004</v>
      </c>
    </row>
    <row r="38" spans="1:37" ht="20.25" x14ac:dyDescent="0.3">
      <c r="A38" s="736" t="s">
        <v>590</v>
      </c>
      <c r="B38" s="882">
        <f t="shared" ref="B38:I38" si="6">IF(MIN(B5:B35)=0,"",MIN(B5:B35))</f>
        <v>97</v>
      </c>
      <c r="C38" s="857">
        <f t="shared" si="6"/>
        <v>99</v>
      </c>
      <c r="D38" s="857">
        <f t="shared" si="6"/>
        <v>99</v>
      </c>
      <c r="E38" s="857">
        <f t="shared" si="6"/>
        <v>99</v>
      </c>
      <c r="F38" s="857">
        <f t="shared" si="6"/>
        <v>97</v>
      </c>
      <c r="G38" s="857">
        <f t="shared" si="6"/>
        <v>99</v>
      </c>
      <c r="H38" s="857">
        <f t="shared" si="6"/>
        <v>99</v>
      </c>
      <c r="I38" s="883">
        <f t="shared" si="6"/>
        <v>99</v>
      </c>
      <c r="J38" s="867">
        <f>MIN(J5:J35)</f>
        <v>0</v>
      </c>
      <c r="K38" s="857">
        <f>MIN(K5:K35)</f>
        <v>0</v>
      </c>
      <c r="L38" s="858">
        <f t="shared" ref="L38:Q38" si="7">IF(MIN(L5:L35)=0,"",MIN(L5:L35))</f>
        <v>7.1</v>
      </c>
      <c r="M38" s="858">
        <f t="shared" si="7"/>
        <v>7.1</v>
      </c>
      <c r="N38" s="858">
        <f t="shared" si="7"/>
        <v>7.3</v>
      </c>
      <c r="O38" s="858">
        <f t="shared" si="7"/>
        <v>7.2</v>
      </c>
      <c r="P38" s="858">
        <f t="shared" si="7"/>
        <v>7.1</v>
      </c>
      <c r="Q38" s="858">
        <f t="shared" si="7"/>
        <v>7.1</v>
      </c>
      <c r="R38" s="858">
        <f t="shared" ref="R38:W38" si="8">MIN(R5:R35)</f>
        <v>0</v>
      </c>
      <c r="S38" s="858">
        <f t="shared" si="8"/>
        <v>0</v>
      </c>
      <c r="T38" s="858">
        <f t="shared" si="8"/>
        <v>0</v>
      </c>
      <c r="U38" s="858">
        <f t="shared" si="8"/>
        <v>0</v>
      </c>
      <c r="V38" s="858">
        <f t="shared" si="8"/>
        <v>0</v>
      </c>
      <c r="W38" s="870">
        <f t="shared" si="8"/>
        <v>0</v>
      </c>
      <c r="X38" s="882">
        <f t="shared" ref="X38:AI38" si="9">IF(MIN(X5:X35)=0,"",MIN(X5:X35))</f>
        <v>3570</v>
      </c>
      <c r="Y38" s="857">
        <f t="shared" si="9"/>
        <v>3250</v>
      </c>
      <c r="Z38" s="857">
        <f t="shared" si="9"/>
        <v>5390</v>
      </c>
      <c r="AA38" s="857">
        <f t="shared" si="9"/>
        <v>3270</v>
      </c>
      <c r="AB38" s="857">
        <f t="shared" si="9"/>
        <v>3450</v>
      </c>
      <c r="AC38" s="883">
        <f t="shared" si="9"/>
        <v>3540</v>
      </c>
      <c r="AD38" s="867">
        <f t="shared" si="9"/>
        <v>42</v>
      </c>
      <c r="AE38" s="857">
        <f t="shared" si="9"/>
        <v>40</v>
      </c>
      <c r="AF38" s="857">
        <f t="shared" si="9"/>
        <v>55</v>
      </c>
      <c r="AG38" s="857">
        <f t="shared" si="9"/>
        <v>42</v>
      </c>
      <c r="AH38" s="857">
        <f t="shared" si="9"/>
        <v>42</v>
      </c>
      <c r="AI38" s="876">
        <f t="shared" si="9"/>
        <v>40</v>
      </c>
      <c r="AJ38" s="893">
        <f>STDEV(AJ5:AJ35)</f>
        <v>9.3255012876806624</v>
      </c>
      <c r="AK38" s="862">
        <f>STDEV(AK5:AK35)</f>
        <v>7.1517042730627054</v>
      </c>
    </row>
    <row r="39" spans="1:37" ht="21" thickBot="1" x14ac:dyDescent="0.35">
      <c r="A39" s="737" t="s">
        <v>592</v>
      </c>
      <c r="B39" s="884"/>
      <c r="C39" s="863"/>
      <c r="D39" s="863"/>
      <c r="E39" s="863"/>
      <c r="F39" s="863"/>
      <c r="G39" s="863"/>
      <c r="H39" s="863"/>
      <c r="I39" s="885"/>
      <c r="J39" s="888"/>
      <c r="K39" s="864"/>
      <c r="L39" s="864"/>
      <c r="M39" s="864"/>
      <c r="N39" s="864"/>
      <c r="O39" s="864"/>
      <c r="P39" s="864"/>
      <c r="Q39" s="864"/>
      <c r="R39" s="863"/>
      <c r="S39" s="863"/>
      <c r="T39" s="863"/>
      <c r="U39" s="863"/>
      <c r="V39" s="863"/>
      <c r="W39" s="877"/>
      <c r="X39" s="884"/>
      <c r="Y39" s="863"/>
      <c r="Z39" s="863"/>
      <c r="AA39" s="863"/>
      <c r="AB39" s="863"/>
      <c r="AC39" s="885"/>
      <c r="AD39" s="868"/>
      <c r="AE39" s="863"/>
      <c r="AF39" s="863"/>
      <c r="AG39" s="863"/>
      <c r="AH39" s="863"/>
      <c r="AI39" s="877"/>
      <c r="AJ39" s="894">
        <f>SUM(AJ5:AJ35)</f>
        <v>1398.5362151800002</v>
      </c>
      <c r="AK39" s="865">
        <f>SUM(AK5:AK35)</f>
        <v>429.73064304000002</v>
      </c>
    </row>
    <row r="40" spans="1:37" ht="21" thickBot="1" x14ac:dyDescent="0.35">
      <c r="A40" s="886" t="s">
        <v>538</v>
      </c>
      <c r="B40" s="889">
        <f t="shared" ref="B40:I40" si="10">IF(B36="","",AVERAGE(B5:B35))</f>
        <v>99.41935483870968</v>
      </c>
      <c r="C40" s="890">
        <f t="shared" si="10"/>
        <v>100.19354838709677</v>
      </c>
      <c r="D40" s="890">
        <f t="shared" si="10"/>
        <v>99</v>
      </c>
      <c r="E40" s="890">
        <f t="shared" si="10"/>
        <v>99</v>
      </c>
      <c r="F40" s="890">
        <f t="shared" si="10"/>
        <v>98.741935483870961</v>
      </c>
      <c r="G40" s="890">
        <f t="shared" si="10"/>
        <v>99</v>
      </c>
      <c r="H40" s="890">
        <f t="shared" si="10"/>
        <v>99</v>
      </c>
      <c r="I40" s="891">
        <f t="shared" si="10"/>
        <v>99</v>
      </c>
      <c r="J40" s="899" t="e">
        <f>AVERAGE(J5:J35)</f>
        <v>#DIV/0!</v>
      </c>
      <c r="K40" s="900" t="e">
        <f>AVERAGE(K5:K35)</f>
        <v>#DIV/0!</v>
      </c>
      <c r="L40" s="901">
        <f t="shared" ref="L40:Q40" si="11">IF(L36="","",AVERAGE(L5:L35))</f>
        <v>7.2193548387096742</v>
      </c>
      <c r="M40" s="902">
        <f t="shared" si="11"/>
        <v>7.2548387096774167</v>
      </c>
      <c r="N40" s="902">
        <f t="shared" si="11"/>
        <v>7.383870967741939</v>
      </c>
      <c r="O40" s="902">
        <f t="shared" si="11"/>
        <v>7.2806451612903222</v>
      </c>
      <c r="P40" s="902">
        <f t="shared" si="11"/>
        <v>7.2354838709677392</v>
      </c>
      <c r="Q40" s="903">
        <f t="shared" si="11"/>
        <v>7.2225806451612868</v>
      </c>
      <c r="R40" s="899" t="e">
        <f t="shared" ref="R40:W40" si="12">AVERAGE(R5:R35)</f>
        <v>#DIV/0!</v>
      </c>
      <c r="S40" s="904" t="e">
        <f t="shared" si="12"/>
        <v>#DIV/0!</v>
      </c>
      <c r="T40" s="904" t="e">
        <f t="shared" si="12"/>
        <v>#DIV/0!</v>
      </c>
      <c r="U40" s="904" t="e">
        <f t="shared" si="12"/>
        <v>#DIV/0!</v>
      </c>
      <c r="V40" s="904" t="e">
        <f t="shared" si="12"/>
        <v>#DIV/0!</v>
      </c>
      <c r="W40" s="900" t="e">
        <f t="shared" si="12"/>
        <v>#DIV/0!</v>
      </c>
      <c r="X40" s="889">
        <f t="shared" ref="X40:AI40" si="13">IF(X36="","",AVERAGE(X5:X35))</f>
        <v>3740.9677419354839</v>
      </c>
      <c r="Y40" s="890">
        <f t="shared" si="13"/>
        <v>3522.2580645161293</v>
      </c>
      <c r="Z40" s="890">
        <f t="shared" si="13"/>
        <v>5729.677419354839</v>
      </c>
      <c r="AA40" s="890">
        <f t="shared" si="13"/>
        <v>3694.1935483870966</v>
      </c>
      <c r="AB40" s="890">
        <f t="shared" si="13"/>
        <v>3724.1935483870966</v>
      </c>
      <c r="AC40" s="891">
        <f t="shared" si="13"/>
        <v>3751.9354838709678</v>
      </c>
      <c r="AD40" s="890">
        <f t="shared" si="13"/>
        <v>53.87096774193548</v>
      </c>
      <c r="AE40" s="890">
        <f t="shared" si="13"/>
        <v>48.645161290322584</v>
      </c>
      <c r="AF40" s="890">
        <f t="shared" si="13"/>
        <v>73.354838709677423</v>
      </c>
      <c r="AG40" s="890">
        <f t="shared" si="13"/>
        <v>55.032258064516128</v>
      </c>
      <c r="AH40" s="890">
        <f t="shared" si="13"/>
        <v>50.193548387096776</v>
      </c>
      <c r="AI40" s="890">
        <f t="shared" si="13"/>
        <v>51.064516129032256</v>
      </c>
      <c r="AJ40" s="895">
        <f>AVERAGE(AJ5:AJ35)</f>
        <v>45.114071457419364</v>
      </c>
      <c r="AK40" s="895">
        <f>AVERAGE(AK5:AK35)</f>
        <v>13.862278807741935</v>
      </c>
    </row>
    <row r="41" spans="1:37" ht="15.95" customHeight="1" x14ac:dyDescent="0.2">
      <c r="A41" s="11"/>
      <c r="B41" s="664"/>
      <c r="C41" s="74"/>
      <c r="D41" s="664"/>
      <c r="E41" s="664" t="s">
        <v>736</v>
      </c>
      <c r="F41" s="664"/>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87"/>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87"/>
      <c r="Q43" s="1398"/>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85" zoomScaleNormal="85" workbookViewId="0">
      <selection activeCell="E29" sqref="E29"/>
    </sheetView>
  </sheetViews>
  <sheetFormatPr defaultColWidth="9.140625" defaultRowHeight="12.75" x14ac:dyDescent="0.2"/>
  <cols>
    <col min="1" max="1" width="10.42578125" style="552" customWidth="1"/>
    <col min="2" max="7" width="16.7109375" style="552" customWidth="1"/>
    <col min="8" max="9" width="0.85546875" style="552" customWidth="1"/>
    <col min="10" max="10" width="17.42578125" style="552" customWidth="1"/>
    <col min="11" max="11" width="13.7109375" style="552" customWidth="1"/>
    <col min="12" max="12" width="9.28515625" style="552" customWidth="1"/>
    <col min="13" max="13" width="25" style="552" customWidth="1"/>
    <col min="14" max="16384" width="9.140625" style="552"/>
  </cols>
  <sheetData>
    <row r="1" spans="1:14" ht="21" thickBot="1" x14ac:dyDescent="0.35">
      <c r="A1" s="548"/>
      <c r="B1" s="549" t="s">
        <v>722</v>
      </c>
      <c r="C1" s="550"/>
      <c r="D1" s="550"/>
      <c r="E1" s="550"/>
      <c r="F1" s="550"/>
      <c r="G1" s="550"/>
      <c r="H1" s="551"/>
    </row>
    <row r="2" spans="1:14" ht="13.5" thickBot="1" x14ac:dyDescent="0.25">
      <c r="A2" s="553" t="s">
        <v>550</v>
      </c>
      <c r="B2" s="554" t="s">
        <v>635</v>
      </c>
      <c r="C2" s="554" t="s">
        <v>636</v>
      </c>
      <c r="D2" s="554" t="s">
        <v>637</v>
      </c>
      <c r="E2" s="554" t="s">
        <v>638</v>
      </c>
      <c r="F2" s="554" t="s">
        <v>561</v>
      </c>
      <c r="G2" s="554" t="s">
        <v>562</v>
      </c>
      <c r="H2" s="555"/>
      <c r="J2" s="556">
        <f>date!B6</f>
        <v>43466</v>
      </c>
      <c r="K2" s="557" t="s">
        <v>527</v>
      </c>
      <c r="L2" s="558" t="s">
        <v>528</v>
      </c>
      <c r="N2" s="551" t="s">
        <v>723</v>
      </c>
    </row>
    <row r="3" spans="1:14" x14ac:dyDescent="0.2">
      <c r="A3" s="559">
        <f>IF(date!B6="","",date!B6)</f>
        <v>43466</v>
      </c>
      <c r="B3" s="560" t="s">
        <v>527</v>
      </c>
      <c r="C3" s="560" t="s">
        <v>527</v>
      </c>
      <c r="D3" s="560" t="s">
        <v>527</v>
      </c>
      <c r="E3" s="560" t="s">
        <v>527</v>
      </c>
      <c r="F3" s="560" t="s">
        <v>527</v>
      </c>
      <c r="G3" s="560" t="s">
        <v>527</v>
      </c>
      <c r="H3" s="555"/>
      <c r="J3" s="561"/>
      <c r="K3" s="561"/>
      <c r="L3" s="562"/>
    </row>
    <row r="4" spans="1:14" ht="13.5" thickBot="1" x14ac:dyDescent="0.25">
      <c r="A4" s="563">
        <f>IF(date!B6="","",date!B6)</f>
        <v>43466</v>
      </c>
      <c r="B4" s="564"/>
      <c r="C4" s="564"/>
      <c r="D4" s="564"/>
      <c r="E4" s="564"/>
      <c r="F4" s="564"/>
      <c r="G4" s="564"/>
      <c r="H4" s="555"/>
      <c r="J4" s="565"/>
      <c r="K4" s="565"/>
      <c r="L4" s="566"/>
    </row>
    <row r="5" spans="1:14" ht="13.7" customHeight="1" x14ac:dyDescent="0.3">
      <c r="A5" s="913">
        <v>1</v>
      </c>
      <c r="B5" s="911">
        <f>IF(('[1]D5-D10_gas'!C4)="","",'[1]D5-D10_gas'!C4)</f>
        <v>171</v>
      </c>
      <c r="C5" s="907">
        <f>IF(('[1]D5-D10_gas'!E4)="","",'[1]D5-D10_gas'!E4)</f>
        <v>171</v>
      </c>
      <c r="D5" s="907">
        <f>IF(('[1]D5-D10_gas'!G4)="","",'[1]D5-D10_gas'!G4)</f>
        <v>180</v>
      </c>
      <c r="E5" s="907">
        <f>IF(('[1]D5-D10_gas'!I4)="","",'[1]D5-D10_gas'!I4)</f>
        <v>171</v>
      </c>
      <c r="F5" s="908">
        <f>IF(('[1]D5-D10_gas'!K4)="","",'[1]D5-D10_gas'!K4)</f>
        <v>168</v>
      </c>
      <c r="G5" s="909">
        <f>IF(('[1]D5-D10_gas'!M4)="","",'[1]D5-D10_gas'!M4)</f>
        <v>170</v>
      </c>
      <c r="J5" s="567"/>
      <c r="K5" s="929"/>
      <c r="L5" s="568"/>
      <c r="M5" s="569"/>
    </row>
    <row r="6" spans="1:14" x14ac:dyDescent="0.2">
      <c r="A6" s="914">
        <v>2</v>
      </c>
      <c r="B6" s="912">
        <f>IF(('[1]D5-D10_gas'!C5)="","",'[1]D5-D10_gas'!C5)</f>
        <v>170</v>
      </c>
      <c r="C6" s="906">
        <f>IF(('[1]D5-D10_gas'!E5)="","",'[1]D5-D10_gas'!E5)</f>
        <v>171</v>
      </c>
      <c r="D6" s="906">
        <f>IF(('[1]D5-D10_gas'!G5)="","",'[1]D5-D10_gas'!G5)</f>
        <v>171</v>
      </c>
      <c r="E6" s="906">
        <f>IF(('[1]D5-D10_gas'!I5)="","",'[1]D5-D10_gas'!I5)</f>
        <v>171</v>
      </c>
      <c r="F6" s="906">
        <f>IF(('[1]D5-D10_gas'!K5)="","",'[1]D5-D10_gas'!K5)</f>
        <v>170</v>
      </c>
      <c r="G6" s="910">
        <f>IF(('[1]D5-D10_gas'!M5)="","",'[1]D5-D10_gas'!M5)</f>
        <v>166</v>
      </c>
      <c r="J6" s="927" t="s">
        <v>280</v>
      </c>
      <c r="K6" s="930">
        <f>Gas_Usage!O6</f>
        <v>50119006</v>
      </c>
      <c r="L6" s="934">
        <v>100</v>
      </c>
    </row>
    <row r="7" spans="1:14" x14ac:dyDescent="0.2">
      <c r="A7" s="914">
        <v>3</v>
      </c>
      <c r="B7" s="912">
        <f>IF(('[1]D5-D10_gas'!C6)="","",'[1]D5-D10_gas'!C6)</f>
        <v>180</v>
      </c>
      <c r="C7" s="906">
        <f>IF(('[1]D5-D10_gas'!E6)="","",'[1]D5-D10_gas'!E6)</f>
        <v>179</v>
      </c>
      <c r="D7" s="906">
        <f>IF(('[1]D5-D10_gas'!G6)="","",'[1]D5-D10_gas'!G6)</f>
        <v>184</v>
      </c>
      <c r="E7" s="906">
        <f>IF(('[1]D5-D10_gas'!I6)="","",'[1]D5-D10_gas'!I6)</f>
        <v>179</v>
      </c>
      <c r="F7" s="906">
        <f>IF(('[1]D5-D10_gas'!K6)="","",'[1]D5-D10_gas'!K6)</f>
        <v>176</v>
      </c>
      <c r="G7" s="910">
        <f>IF(('[1]D5-D10_gas'!M6)="","",'[1]D5-D10_gas'!M6)</f>
        <v>171</v>
      </c>
      <c r="J7" s="928" t="s">
        <v>724</v>
      </c>
      <c r="K7" s="930">
        <f>SUM(B39:G39)</f>
        <v>35528000</v>
      </c>
      <c r="L7" s="934">
        <f>K7/K6*100</f>
        <v>70.88727976767936</v>
      </c>
    </row>
    <row r="8" spans="1:14" x14ac:dyDescent="0.2">
      <c r="A8" s="914">
        <v>4</v>
      </c>
      <c r="B8" s="912">
        <f>IF(('[1]D5-D10_gas'!C7)="","",'[1]D5-D10_gas'!C7)</f>
        <v>183</v>
      </c>
      <c r="C8" s="906">
        <f>IF(('[1]D5-D10_gas'!E7)="","",'[1]D5-D10_gas'!E7)</f>
        <v>216</v>
      </c>
      <c r="D8" s="906">
        <f>IF(('[1]D5-D10_gas'!G7)="","",'[1]D5-D10_gas'!G7)</f>
        <v>208</v>
      </c>
      <c r="E8" s="906">
        <f>IF(('[1]D5-D10_gas'!I7)="","",'[1]D5-D10_gas'!I7)</f>
        <v>252</v>
      </c>
      <c r="F8" s="906">
        <f>IF(('[1]D5-D10_gas'!K7)="","",'[1]D5-D10_gas'!K7)</f>
        <v>202</v>
      </c>
      <c r="G8" s="910">
        <f>IF(('[1]D5-D10_gas'!M7)="","",'[1]D5-D10_gas'!M7)</f>
        <v>176</v>
      </c>
      <c r="J8" s="570"/>
      <c r="K8" s="931"/>
      <c r="L8" s="562"/>
    </row>
    <row r="9" spans="1:14" x14ac:dyDescent="0.2">
      <c r="A9" s="914">
        <v>5</v>
      </c>
      <c r="B9" s="912">
        <f>IF(('[1]D5-D10_gas'!C8)="","",'[1]D5-D10_gas'!C8)</f>
        <v>180</v>
      </c>
      <c r="C9" s="906">
        <f>IF(('[1]D5-D10_gas'!E8)="","",'[1]D5-D10_gas'!E8)</f>
        <v>195</v>
      </c>
      <c r="D9" s="906">
        <f>IF(('[1]D5-D10_gas'!G8)="","",'[1]D5-D10_gas'!G8)</f>
        <v>230</v>
      </c>
      <c r="E9" s="906">
        <f>IF(('[1]D5-D10_gas'!I8)="","",'[1]D5-D10_gas'!I8)</f>
        <v>204</v>
      </c>
      <c r="F9" s="906">
        <f>IF(('[1]D5-D10_gas'!K8)="","",'[1]D5-D10_gas'!K8)</f>
        <v>192</v>
      </c>
      <c r="G9" s="910">
        <f>IF(('[1]D5-D10_gas'!M8)="","",'[1]D5-D10_gas'!M8)</f>
        <v>179</v>
      </c>
      <c r="J9" s="561"/>
      <c r="K9" s="932"/>
      <c r="L9" s="562"/>
    </row>
    <row r="10" spans="1:14" x14ac:dyDescent="0.2">
      <c r="A10" s="914">
        <v>6</v>
      </c>
      <c r="B10" s="912">
        <f>IF(('[1]D5-D10_gas'!C9)="","",'[1]D5-D10_gas'!C9)</f>
        <v>173</v>
      </c>
      <c r="C10" s="906">
        <f>IF(('[1]D5-D10_gas'!E9)="","",'[1]D5-D10_gas'!E9)</f>
        <v>195</v>
      </c>
      <c r="D10" s="906">
        <f>IF(('[1]D5-D10_gas'!G9)="","",'[1]D5-D10_gas'!G9)</f>
        <v>207</v>
      </c>
      <c r="E10" s="906">
        <f>IF(('[1]D5-D10_gas'!I9)="","",'[1]D5-D10_gas'!I9)</f>
        <v>238</v>
      </c>
      <c r="F10" s="906">
        <f>IF(('[1]D5-D10_gas'!K9)="","",'[1]D5-D10_gas'!K9)</f>
        <v>187</v>
      </c>
      <c r="G10" s="910">
        <f>IF(('[1]D5-D10_gas'!M9)="","",'[1]D5-D10_gas'!M9)</f>
        <v>162</v>
      </c>
      <c r="J10" s="571"/>
      <c r="K10" s="932"/>
      <c r="L10" s="562"/>
    </row>
    <row r="11" spans="1:14" x14ac:dyDescent="0.2">
      <c r="A11" s="914">
        <v>7</v>
      </c>
      <c r="B11" s="912">
        <f>IF(('[1]D5-D10_gas'!C10)="","",'[1]D5-D10_gas'!C10)</f>
        <v>244</v>
      </c>
      <c r="C11" s="906">
        <f>IF(('[1]D5-D10_gas'!E10)="","",'[1]D5-D10_gas'!E10)</f>
        <v>257</v>
      </c>
      <c r="D11" s="906">
        <f>IF(('[1]D5-D10_gas'!G10)="","",'[1]D5-D10_gas'!G10)</f>
        <v>258</v>
      </c>
      <c r="E11" s="906">
        <f>IF(('[1]D5-D10_gas'!I10)="","",'[1]D5-D10_gas'!I10)</f>
        <v>264</v>
      </c>
      <c r="F11" s="906">
        <f>IF(('[1]D5-D10_gas'!K10)="","",'[1]D5-D10_gas'!K10)</f>
        <v>234</v>
      </c>
      <c r="G11" s="910">
        <f>IF(('[1]D5-D10_gas'!M10)="","",'[1]D5-D10_gas'!M10)</f>
        <v>207</v>
      </c>
      <c r="J11" s="571"/>
      <c r="K11" s="932"/>
      <c r="L11" s="562"/>
    </row>
    <row r="12" spans="1:14" x14ac:dyDescent="0.2">
      <c r="A12" s="914">
        <v>8</v>
      </c>
      <c r="B12" s="912">
        <f>IF(('[1]D5-D10_gas'!C11)="","",'[1]D5-D10_gas'!C11)</f>
        <v>171</v>
      </c>
      <c r="C12" s="906">
        <f>IF(('[1]D5-D10_gas'!E11)="","",'[1]D5-D10_gas'!E11)</f>
        <v>171</v>
      </c>
      <c r="D12" s="906">
        <f>IF(('[1]D5-D10_gas'!G11)="","",'[1]D5-D10_gas'!G11)</f>
        <v>250</v>
      </c>
      <c r="E12" s="906">
        <f>IF(('[1]D5-D10_gas'!I11)="","",'[1]D5-D10_gas'!I11)</f>
        <v>171</v>
      </c>
      <c r="F12" s="906">
        <f>IF(('[1]D5-D10_gas'!K11)="","",'[1]D5-D10_gas'!K11)</f>
        <v>172</v>
      </c>
      <c r="G12" s="910">
        <f>IF(('[1]D5-D10_gas'!M11)="","",'[1]D5-D10_gas'!M11)</f>
        <v>170</v>
      </c>
      <c r="J12" s="571"/>
      <c r="K12" s="932"/>
      <c r="L12" s="562"/>
    </row>
    <row r="13" spans="1:14" ht="13.5" thickBot="1" x14ac:dyDescent="0.25">
      <c r="A13" s="914">
        <v>9</v>
      </c>
      <c r="B13" s="912">
        <f>IF(('[1]D5-D10_gas'!C12)="","",'[1]D5-D10_gas'!C12)</f>
        <v>157</v>
      </c>
      <c r="C13" s="906">
        <f>IF(('[1]D5-D10_gas'!E12)="","",'[1]D5-D10_gas'!E12)</f>
        <v>157</v>
      </c>
      <c r="D13" s="906">
        <f>IF(('[1]D5-D10_gas'!G12)="","",'[1]D5-D10_gas'!G12)</f>
        <v>235</v>
      </c>
      <c r="E13" s="906">
        <f>IF(('[1]D5-D10_gas'!I12)="","",'[1]D5-D10_gas'!I12)</f>
        <v>157</v>
      </c>
      <c r="F13" s="906">
        <f>IF(('[1]D5-D10_gas'!K12)="","",'[1]D5-D10_gas'!K12)</f>
        <v>158</v>
      </c>
      <c r="G13" s="910">
        <f>IF(('[1]D5-D10_gas'!M12)="","",'[1]D5-D10_gas'!M12)</f>
        <v>157</v>
      </c>
      <c r="J13" s="572"/>
      <c r="K13" s="933"/>
      <c r="L13" s="566"/>
    </row>
    <row r="14" spans="1:14" x14ac:dyDescent="0.2">
      <c r="A14" s="914">
        <v>10</v>
      </c>
      <c r="B14" s="912">
        <f>IF(('[1]D5-D10_gas'!C13)="","",'[1]D5-D10_gas'!C13)</f>
        <v>156</v>
      </c>
      <c r="C14" s="906">
        <f>IF(('[1]D5-D10_gas'!E13)="","",'[1]D5-D10_gas'!E13)</f>
        <v>152</v>
      </c>
      <c r="D14" s="906">
        <f>IF(('[1]D5-D10_gas'!G13)="","",'[1]D5-D10_gas'!G13)</f>
        <v>181</v>
      </c>
      <c r="E14" s="906">
        <f>IF(('[1]D5-D10_gas'!I13)="","",'[1]D5-D10_gas'!I13)</f>
        <v>157</v>
      </c>
      <c r="F14" s="906">
        <f>IF(('[1]D5-D10_gas'!K13)="","",'[1]D5-D10_gas'!K13)</f>
        <v>152</v>
      </c>
      <c r="G14" s="910">
        <f>IF(('[1]D5-D10_gas'!M13)="","",'[1]D5-D10_gas'!M13)</f>
        <v>149</v>
      </c>
      <c r="L14" s="573"/>
    </row>
    <row r="15" spans="1:14" x14ac:dyDescent="0.2">
      <c r="A15" s="914">
        <v>11</v>
      </c>
      <c r="B15" s="912">
        <f>IF(('[1]D5-D10_gas'!C14)="","",'[1]D5-D10_gas'!C14)</f>
        <v>197</v>
      </c>
      <c r="C15" s="906">
        <f>IF(('[1]D5-D10_gas'!E14)="","",'[1]D5-D10_gas'!E14)</f>
        <v>197</v>
      </c>
      <c r="D15" s="906">
        <f>IF(('[1]D5-D10_gas'!G14)="","",'[1]D5-D10_gas'!G14)</f>
        <v>210</v>
      </c>
      <c r="E15" s="906">
        <f>IF(('[1]D5-D10_gas'!I14)="","",'[1]D5-D10_gas'!I14)</f>
        <v>192</v>
      </c>
      <c r="F15" s="906">
        <f>IF(('[1]D5-D10_gas'!K14)="","",'[1]D5-D10_gas'!K14)</f>
        <v>198</v>
      </c>
      <c r="G15" s="910">
        <f>IF(('[1]D5-D10_gas'!M14)="","",'[1]D5-D10_gas'!M14)</f>
        <v>194</v>
      </c>
    </row>
    <row r="16" spans="1:14" x14ac:dyDescent="0.2">
      <c r="A16" s="914">
        <v>12</v>
      </c>
      <c r="B16" s="912">
        <f>IF(('[1]D5-D10_gas'!C15)="","",'[1]D5-D10_gas'!C15)</f>
        <v>158</v>
      </c>
      <c r="C16" s="906">
        <f>IF(('[1]D5-D10_gas'!E15)="","",'[1]D5-D10_gas'!E15)</f>
        <v>158</v>
      </c>
      <c r="D16" s="906">
        <f>IF(('[1]D5-D10_gas'!G15)="","",'[1]D5-D10_gas'!G15)</f>
        <v>171</v>
      </c>
      <c r="E16" s="906">
        <f>IF(('[1]D5-D10_gas'!I15)="","",'[1]D5-D10_gas'!I15)</f>
        <v>158</v>
      </c>
      <c r="F16" s="906">
        <f>IF(('[1]D5-D10_gas'!K15)="","",'[1]D5-D10_gas'!K15)</f>
        <v>157</v>
      </c>
      <c r="G16" s="910">
        <f>IF(('[1]D5-D10_gas'!M15)="","",'[1]D5-D10_gas'!M15)</f>
        <v>154</v>
      </c>
    </row>
    <row r="17" spans="1:11" x14ac:dyDescent="0.2">
      <c r="A17" s="914">
        <v>13</v>
      </c>
      <c r="B17" s="912">
        <f>IF(('[1]D5-D10_gas'!C16)="","",'[1]D5-D10_gas'!C16)</f>
        <v>195</v>
      </c>
      <c r="C17" s="906">
        <f>IF(('[1]D5-D10_gas'!E16)="","",'[1]D5-D10_gas'!E16)</f>
        <v>202</v>
      </c>
      <c r="D17" s="906">
        <f>IF(('[1]D5-D10_gas'!G16)="","",'[1]D5-D10_gas'!G16)</f>
        <v>196</v>
      </c>
      <c r="E17" s="906">
        <f>IF(('[1]D5-D10_gas'!I16)="","",'[1]D5-D10_gas'!I16)</f>
        <v>196</v>
      </c>
      <c r="F17" s="906">
        <f>IF(('[1]D5-D10_gas'!K16)="","",'[1]D5-D10_gas'!K16)</f>
        <v>199</v>
      </c>
      <c r="G17" s="910">
        <f>IF(('[1]D5-D10_gas'!M16)="","",'[1]D5-D10_gas'!M16)</f>
        <v>195</v>
      </c>
    </row>
    <row r="18" spans="1:11" x14ac:dyDescent="0.2">
      <c r="A18" s="914">
        <v>14</v>
      </c>
      <c r="B18" s="912">
        <f>IF(('[1]D5-D10_gas'!C17)="","",'[1]D5-D10_gas'!C17)</f>
        <v>153</v>
      </c>
      <c r="C18" s="906">
        <f>IF(('[1]D5-D10_gas'!E17)="","",'[1]D5-D10_gas'!E17)</f>
        <v>153</v>
      </c>
      <c r="D18" s="906">
        <f>IF(('[1]D5-D10_gas'!G17)="","",'[1]D5-D10_gas'!G17)</f>
        <v>154</v>
      </c>
      <c r="E18" s="906">
        <f>IF(('[1]D5-D10_gas'!I17)="","",'[1]D5-D10_gas'!I17)</f>
        <v>153</v>
      </c>
      <c r="F18" s="906">
        <f>IF(('[1]D5-D10_gas'!K17)="","",'[1]D5-D10_gas'!K17)</f>
        <v>155</v>
      </c>
      <c r="G18" s="910">
        <f>IF(('[1]D5-D10_gas'!M17)="","",'[1]D5-D10_gas'!M17)</f>
        <v>153</v>
      </c>
    </row>
    <row r="19" spans="1:11" x14ac:dyDescent="0.2">
      <c r="A19" s="914">
        <v>15</v>
      </c>
      <c r="B19" s="912">
        <f>IF(('[1]D5-D10_gas'!C18)="","",'[1]D5-D10_gas'!C18)</f>
        <v>169</v>
      </c>
      <c r="C19" s="906">
        <f>IF(('[1]D5-D10_gas'!E18)="","",'[1]D5-D10_gas'!E18)</f>
        <v>169</v>
      </c>
      <c r="D19" s="906">
        <f>IF(('[1]D5-D10_gas'!G18)="","",'[1]D5-D10_gas'!G18)</f>
        <v>168</v>
      </c>
      <c r="E19" s="906">
        <f>IF(('[1]D5-D10_gas'!I18)="","",'[1]D5-D10_gas'!I18)</f>
        <v>170</v>
      </c>
      <c r="F19" s="906">
        <f>IF(('[1]D5-D10_gas'!K18)="","",'[1]D5-D10_gas'!K18)</f>
        <v>174</v>
      </c>
      <c r="G19" s="910">
        <f>IF(('[1]D5-D10_gas'!M18)="","",'[1]D5-D10_gas'!M18)</f>
        <v>168</v>
      </c>
    </row>
    <row r="20" spans="1:11" x14ac:dyDescent="0.2">
      <c r="A20" s="914">
        <v>16</v>
      </c>
      <c r="B20" s="912">
        <f>IF(('[1]D5-D10_gas'!C19)="","",'[1]D5-D10_gas'!C19)</f>
        <v>185</v>
      </c>
      <c r="C20" s="906">
        <f>IF(('[1]D5-D10_gas'!E19)="","",'[1]D5-D10_gas'!E19)</f>
        <v>187</v>
      </c>
      <c r="D20" s="906">
        <f>IF(('[1]D5-D10_gas'!G19)="","",'[1]D5-D10_gas'!G19)</f>
        <v>185</v>
      </c>
      <c r="E20" s="906">
        <f>IF(('[1]D5-D10_gas'!I19)="","",'[1]D5-D10_gas'!I19)</f>
        <v>186</v>
      </c>
      <c r="F20" s="906">
        <f>IF(('[1]D5-D10_gas'!K19)="","",'[1]D5-D10_gas'!K19)</f>
        <v>196</v>
      </c>
      <c r="G20" s="910">
        <f>IF(('[1]D5-D10_gas'!M19)="","",'[1]D5-D10_gas'!M19)</f>
        <v>183</v>
      </c>
    </row>
    <row r="21" spans="1:11" x14ac:dyDescent="0.2">
      <c r="A21" s="914">
        <v>17</v>
      </c>
      <c r="B21" s="912">
        <f>IF(('[1]D5-D10_gas'!C20)="","",'[1]D5-D10_gas'!C20)</f>
        <v>237</v>
      </c>
      <c r="C21" s="906">
        <f>IF(('[1]D5-D10_gas'!E20)="","",'[1]D5-D10_gas'!E20)</f>
        <v>237</v>
      </c>
      <c r="D21" s="906">
        <f>IF(('[1]D5-D10_gas'!G20)="","",'[1]D5-D10_gas'!G20)</f>
        <v>189</v>
      </c>
      <c r="E21" s="906">
        <f>IF(('[1]D5-D10_gas'!I20)="","",'[1]D5-D10_gas'!I20)</f>
        <v>247</v>
      </c>
      <c r="F21" s="906">
        <f>IF(('[1]D5-D10_gas'!K20)="","",'[1]D5-D10_gas'!K20)</f>
        <v>260</v>
      </c>
      <c r="G21" s="910">
        <f>IF(('[1]D5-D10_gas'!M20)="","",'[1]D5-D10_gas'!M20)</f>
        <v>193</v>
      </c>
    </row>
    <row r="22" spans="1:11" x14ac:dyDescent="0.2">
      <c r="A22" s="914">
        <v>18</v>
      </c>
      <c r="B22" s="912">
        <f>IF(('[1]D5-D10_gas'!C21)="","",'[1]D5-D10_gas'!C21)</f>
        <v>163</v>
      </c>
      <c r="C22" s="906">
        <f>IF(('[1]D5-D10_gas'!E21)="","",'[1]D5-D10_gas'!E21)</f>
        <v>163</v>
      </c>
      <c r="D22" s="906">
        <f>IF(('[1]D5-D10_gas'!G21)="","",'[1]D5-D10_gas'!G21)</f>
        <v>164</v>
      </c>
      <c r="E22" s="906">
        <f>IF(('[1]D5-D10_gas'!I21)="","",'[1]D5-D10_gas'!I21)</f>
        <v>165</v>
      </c>
      <c r="F22" s="906">
        <f>IF(('[1]D5-D10_gas'!K21)="","",'[1]D5-D10_gas'!K21)</f>
        <v>166</v>
      </c>
      <c r="G22" s="910">
        <f>IF(('[1]D5-D10_gas'!M21)="","",'[1]D5-D10_gas'!M21)</f>
        <v>159</v>
      </c>
    </row>
    <row r="23" spans="1:11" x14ac:dyDescent="0.2">
      <c r="A23" s="914">
        <v>19</v>
      </c>
      <c r="B23" s="912">
        <f>IF(('[1]D5-D10_gas'!C22)="","",'[1]D5-D10_gas'!C22)</f>
        <v>192</v>
      </c>
      <c r="C23" s="906">
        <f>IF(('[1]D5-D10_gas'!E22)="","",'[1]D5-D10_gas'!E22)</f>
        <v>190</v>
      </c>
      <c r="D23" s="906">
        <f>IF(('[1]D5-D10_gas'!G22)="","",'[1]D5-D10_gas'!G22)</f>
        <v>162</v>
      </c>
      <c r="E23" s="906">
        <f>IF(('[1]D5-D10_gas'!I22)="","",'[1]D5-D10_gas'!I22)</f>
        <v>166</v>
      </c>
      <c r="F23" s="906">
        <f>IF(('[1]D5-D10_gas'!K22)="","",'[1]D5-D10_gas'!K22)</f>
        <v>206</v>
      </c>
      <c r="G23" s="910">
        <f>IF(('[1]D5-D10_gas'!M22)="","",'[1]D5-D10_gas'!M22)</f>
        <v>168</v>
      </c>
      <c r="K23" s="574"/>
    </row>
    <row r="24" spans="1:11" x14ac:dyDescent="0.2">
      <c r="A24" s="914">
        <v>20</v>
      </c>
      <c r="B24" s="912">
        <f>IF(('[1]D5-D10_gas'!C23)="","",'[1]D5-D10_gas'!C23)</f>
        <v>186</v>
      </c>
      <c r="C24" s="906">
        <f>IF(('[1]D5-D10_gas'!E23)="","",'[1]D5-D10_gas'!E23)</f>
        <v>186</v>
      </c>
      <c r="D24" s="906">
        <f>IF(('[1]D5-D10_gas'!G23)="","",'[1]D5-D10_gas'!G23)</f>
        <v>186</v>
      </c>
      <c r="E24" s="906">
        <f>IF(('[1]D5-D10_gas'!I23)="","",'[1]D5-D10_gas'!I23)</f>
        <v>188</v>
      </c>
      <c r="F24" s="906">
        <f>IF(('[1]D5-D10_gas'!K23)="","",'[1]D5-D10_gas'!K23)</f>
        <v>187</v>
      </c>
      <c r="G24" s="910">
        <f>IF(('[1]D5-D10_gas'!M23)="","",'[1]D5-D10_gas'!M23)</f>
        <v>183</v>
      </c>
      <c r="K24" s="574"/>
    </row>
    <row r="25" spans="1:11" x14ac:dyDescent="0.2">
      <c r="A25" s="914">
        <v>21</v>
      </c>
      <c r="B25" s="912">
        <f>IF(('[1]D5-D10_gas'!C24)="","",'[1]D5-D10_gas'!C24)</f>
        <v>156</v>
      </c>
      <c r="C25" s="906">
        <f>IF(('[1]D5-D10_gas'!E24)="","",'[1]D5-D10_gas'!E24)</f>
        <v>157</v>
      </c>
      <c r="D25" s="906">
        <f>IF(('[1]D5-D10_gas'!G24)="","",'[1]D5-D10_gas'!G24)</f>
        <v>282</v>
      </c>
      <c r="E25" s="906">
        <f>IF(('[1]D5-D10_gas'!I24)="","",'[1]D5-D10_gas'!I24)</f>
        <v>165</v>
      </c>
      <c r="F25" s="906">
        <f>IF(('[1]D5-D10_gas'!K24)="","",'[1]D5-D10_gas'!K24)</f>
        <v>164</v>
      </c>
      <c r="G25" s="910">
        <f>IF(('[1]D5-D10_gas'!M24)="","",'[1]D5-D10_gas'!M24)</f>
        <v>154</v>
      </c>
      <c r="K25" s="574"/>
    </row>
    <row r="26" spans="1:11" x14ac:dyDescent="0.2">
      <c r="A26" s="914">
        <v>22</v>
      </c>
      <c r="B26" s="912">
        <f>IF(('[1]D5-D10_gas'!C25)="","",'[1]D5-D10_gas'!C25)</f>
        <v>176</v>
      </c>
      <c r="C26" s="906">
        <f>IF(('[1]D5-D10_gas'!E25)="","",'[1]D5-D10_gas'!E25)</f>
        <v>175</v>
      </c>
      <c r="D26" s="906">
        <f>IF(('[1]D5-D10_gas'!G25)="","",'[1]D5-D10_gas'!G25)</f>
        <v>351</v>
      </c>
      <c r="E26" s="906">
        <f>IF(('[1]D5-D10_gas'!I25)="","",'[1]D5-D10_gas'!I25)</f>
        <v>175</v>
      </c>
      <c r="F26" s="906">
        <f>IF(('[1]D5-D10_gas'!K25)="","",'[1]D5-D10_gas'!K25)</f>
        <v>175</v>
      </c>
      <c r="G26" s="910">
        <f>IF(('[1]D5-D10_gas'!M25)="","",'[1]D5-D10_gas'!M25)</f>
        <v>165</v>
      </c>
      <c r="K26" s="574"/>
    </row>
    <row r="27" spans="1:11" x14ac:dyDescent="0.2">
      <c r="A27" s="914">
        <v>23</v>
      </c>
      <c r="B27" s="912">
        <f>IF(('[1]D5-D10_gas'!C26)="","",'[1]D5-D10_gas'!C26)</f>
        <v>180</v>
      </c>
      <c r="C27" s="906">
        <f>IF(('[1]D5-D10_gas'!E26)="","",'[1]D5-D10_gas'!E26)</f>
        <v>182</v>
      </c>
      <c r="D27" s="906">
        <f>IF(('[1]D5-D10_gas'!G26)="","",'[1]D5-D10_gas'!G26)</f>
        <v>360</v>
      </c>
      <c r="E27" s="906">
        <f>IF(('[1]D5-D10_gas'!I26)="","",'[1]D5-D10_gas'!I26)</f>
        <v>185</v>
      </c>
      <c r="F27" s="906">
        <f>IF(('[1]D5-D10_gas'!K26)="","",'[1]D5-D10_gas'!K26)</f>
        <v>185</v>
      </c>
      <c r="G27" s="910">
        <f>IF(('[1]D5-D10_gas'!M26)="","",'[1]D5-D10_gas'!M26)</f>
        <v>180</v>
      </c>
    </row>
    <row r="28" spans="1:11" x14ac:dyDescent="0.2">
      <c r="A28" s="914">
        <v>24</v>
      </c>
      <c r="B28" s="912">
        <f>IF(('[1]D5-D10_gas'!C27)="","",'[1]D5-D10_gas'!C27)</f>
        <v>185</v>
      </c>
      <c r="C28" s="906">
        <f>IF(('[1]D5-D10_gas'!E27)="","",'[1]D5-D10_gas'!E27)</f>
        <v>184</v>
      </c>
      <c r="D28" s="906">
        <f>IF(('[1]D5-D10_gas'!G27)="","",'[1]D5-D10_gas'!G27)</f>
        <v>370</v>
      </c>
      <c r="E28" s="906">
        <f>IF(('[1]D5-D10_gas'!I27)="","",'[1]D5-D10_gas'!I27)</f>
        <v>185</v>
      </c>
      <c r="F28" s="906">
        <f>IF(('[1]D5-D10_gas'!K27)="","",'[1]D5-D10_gas'!K27)</f>
        <v>193</v>
      </c>
      <c r="G28" s="910">
        <f>IF(('[1]D5-D10_gas'!M27)="","",'[1]D5-D10_gas'!M27)</f>
        <v>183</v>
      </c>
    </row>
    <row r="29" spans="1:11" x14ac:dyDescent="0.2">
      <c r="A29" s="914">
        <v>25</v>
      </c>
      <c r="B29" s="912">
        <f>IF(('[1]D5-D10_gas'!C28)="","",'[1]D5-D10_gas'!C28)</f>
        <v>167</v>
      </c>
      <c r="C29" s="906">
        <f>IF(('[1]D5-D10_gas'!E28)="","",'[1]D5-D10_gas'!E28)</f>
        <v>167</v>
      </c>
      <c r="D29" s="906">
        <f>IF(('[1]D5-D10_gas'!G28)="","",'[1]D5-D10_gas'!G28)</f>
        <v>333</v>
      </c>
      <c r="E29" s="906">
        <f>IF(('[1]D5-D10_gas'!I28)="","",'[1]D5-D10_gas'!I28)</f>
        <v>166</v>
      </c>
      <c r="F29" s="906">
        <f>IF(('[1]D5-D10_gas'!K28)="","",'[1]D5-D10_gas'!K28)</f>
        <v>168</v>
      </c>
      <c r="G29" s="910">
        <f>IF(('[1]D5-D10_gas'!M28)="","",'[1]D5-D10_gas'!M28)</f>
        <v>166</v>
      </c>
    </row>
    <row r="30" spans="1:11" x14ac:dyDescent="0.2">
      <c r="A30" s="914">
        <v>26</v>
      </c>
      <c r="B30" s="912">
        <f>IF(('[1]D5-D10_gas'!C29)="","",'[1]D5-D10_gas'!C29)</f>
        <v>157</v>
      </c>
      <c r="C30" s="906">
        <f>IF(('[1]D5-D10_gas'!E29)="","",'[1]D5-D10_gas'!E29)</f>
        <v>157</v>
      </c>
      <c r="D30" s="906">
        <f>IF(('[1]D5-D10_gas'!G29)="","",'[1]D5-D10_gas'!G29)</f>
        <v>314</v>
      </c>
      <c r="E30" s="906">
        <f>IF(('[1]D5-D10_gas'!I29)="","",'[1]D5-D10_gas'!I29)</f>
        <v>157</v>
      </c>
      <c r="F30" s="906">
        <f>IF(('[1]D5-D10_gas'!K29)="","",'[1]D5-D10_gas'!K29)</f>
        <v>161</v>
      </c>
      <c r="G30" s="910">
        <f>IF(('[1]D5-D10_gas'!M29)="","",'[1]D5-D10_gas'!M29)</f>
        <v>156</v>
      </c>
    </row>
    <row r="31" spans="1:11" x14ac:dyDescent="0.2">
      <c r="A31" s="914">
        <v>27</v>
      </c>
      <c r="B31" s="912">
        <f>IF(('[1]D5-D10_gas'!C30)="","",'[1]D5-D10_gas'!C30)</f>
        <v>194</v>
      </c>
      <c r="C31" s="906">
        <f>IF(('[1]D5-D10_gas'!E30)="","",'[1]D5-D10_gas'!E30)</f>
        <v>201</v>
      </c>
      <c r="D31" s="906">
        <f>IF(('[1]D5-D10_gas'!G30)="","",'[1]D5-D10_gas'!G30)</f>
        <v>378</v>
      </c>
      <c r="E31" s="906">
        <f>IF(('[1]D5-D10_gas'!I30)="","",'[1]D5-D10_gas'!I30)</f>
        <v>207</v>
      </c>
      <c r="F31" s="906">
        <f>IF(('[1]D5-D10_gas'!K30)="","",'[1]D5-D10_gas'!K30)</f>
        <v>244</v>
      </c>
      <c r="G31" s="910">
        <f>IF(('[1]D5-D10_gas'!M30)="","",'[1]D5-D10_gas'!M30)</f>
        <v>190</v>
      </c>
    </row>
    <row r="32" spans="1:11" x14ac:dyDescent="0.2">
      <c r="A32" s="914">
        <v>28</v>
      </c>
      <c r="B32" s="912">
        <f>IF(('[1]D5-D10_gas'!C31)="","",'[1]D5-D10_gas'!C31)</f>
        <v>162</v>
      </c>
      <c r="C32" s="906">
        <f>IF(('[1]D5-D10_gas'!E31)="","",'[1]D5-D10_gas'!E31)</f>
        <v>162</v>
      </c>
      <c r="D32" s="906">
        <f>IF(('[1]D5-D10_gas'!G31)="","",'[1]D5-D10_gas'!G31)</f>
        <v>324</v>
      </c>
      <c r="E32" s="906">
        <f>IF(('[1]D5-D10_gas'!I31)="","",'[1]D5-D10_gas'!I31)</f>
        <v>162</v>
      </c>
      <c r="F32" s="906">
        <f>IF(('[1]D5-D10_gas'!K31)="","",'[1]D5-D10_gas'!K31)</f>
        <v>162</v>
      </c>
      <c r="G32" s="910">
        <f>IF(('[1]D5-D10_gas'!M31)="","",'[1]D5-D10_gas'!M31)</f>
        <v>155</v>
      </c>
    </row>
    <row r="33" spans="1:10" x14ac:dyDescent="0.2">
      <c r="A33" s="914">
        <v>29</v>
      </c>
      <c r="B33" s="912">
        <f>IF(('[1]D5-D10_gas'!C32)="","",'[1]D5-D10_gas'!C32)</f>
        <v>114</v>
      </c>
      <c r="C33" s="906">
        <f>IF(('[1]D5-D10_gas'!E32)="","",'[1]D5-D10_gas'!E32)</f>
        <v>164</v>
      </c>
      <c r="D33" s="906">
        <f>IF(('[1]D5-D10_gas'!G32)="","",'[1]D5-D10_gas'!G32)</f>
        <v>328</v>
      </c>
      <c r="E33" s="906">
        <f>IF(('[1]D5-D10_gas'!I32)="","",'[1]D5-D10_gas'!I32)</f>
        <v>164</v>
      </c>
      <c r="F33" s="906">
        <f>IF(('[1]D5-D10_gas'!K32)="","",'[1]D5-D10_gas'!K32)</f>
        <v>165</v>
      </c>
      <c r="G33" s="910">
        <f>IF(('[1]D5-D10_gas'!M32)="","",'[1]D5-D10_gas'!M32)</f>
        <v>163</v>
      </c>
    </row>
    <row r="34" spans="1:10" x14ac:dyDescent="0.2">
      <c r="A34" s="914">
        <v>30</v>
      </c>
      <c r="B34" s="912">
        <f>IF(('[1]D5-D10_gas'!C33)="","",'[1]D5-D10_gas'!C33)</f>
        <v>232</v>
      </c>
      <c r="C34" s="906">
        <f>IF(('[1]D5-D10_gas'!E33)="","",'[1]D5-D10_gas'!E33)</f>
        <v>185</v>
      </c>
      <c r="D34" s="906">
        <f>IF(('[1]D5-D10_gas'!G33)="","",'[1]D5-D10_gas'!G33)</f>
        <v>363</v>
      </c>
      <c r="E34" s="906">
        <f>IF(('[1]D5-D10_gas'!I33)="","",'[1]D5-D10_gas'!I33)</f>
        <v>182</v>
      </c>
      <c r="F34" s="906">
        <f>IF(('[1]D5-D10_gas'!K33)="","",'[1]D5-D10_gas'!K33)</f>
        <v>167</v>
      </c>
      <c r="G34" s="910">
        <f>IF(('[1]D5-D10_gas'!M33)="","",'[1]D5-D10_gas'!M33)</f>
        <v>148</v>
      </c>
    </row>
    <row r="35" spans="1:10" ht="13.5" thickBot="1" x14ac:dyDescent="0.25">
      <c r="A35" s="914">
        <v>31</v>
      </c>
      <c r="B35" s="912">
        <f>IF(('[1]D5-D10_gas'!C34)="","",'[1]D5-D10_gas'!C34)</f>
        <v>189</v>
      </c>
      <c r="C35" s="906">
        <f>IF(('[1]D5-D10_gas'!E34)="","",'[1]D5-D10_gas'!E34)</f>
        <v>186</v>
      </c>
      <c r="D35" s="906">
        <f>IF(('[1]D5-D10_gas'!G34)="","",'[1]D5-D10_gas'!G34)</f>
        <v>378</v>
      </c>
      <c r="E35" s="906">
        <f>IF(('[1]D5-D10_gas'!I34)="","",'[1]D5-D10_gas'!I34)</f>
        <v>189</v>
      </c>
      <c r="F35" s="906">
        <f>IF(('[1]D5-D10_gas'!K34)="","",'[1]D5-D10_gas'!K34)</f>
        <v>189</v>
      </c>
      <c r="G35" s="910">
        <f>IF(('[1]D5-D10_gas'!M34)="","",'[1]D5-D10_gas'!M34)</f>
        <v>179</v>
      </c>
    </row>
    <row r="36" spans="1:10" x14ac:dyDescent="0.2">
      <c r="A36" s="917" t="s">
        <v>539</v>
      </c>
      <c r="B36" s="919">
        <f t="shared" ref="B36:G36" si="0">MAX(B5:B35)</f>
        <v>244</v>
      </c>
      <c r="C36" s="920">
        <f t="shared" si="0"/>
        <v>257</v>
      </c>
      <c r="D36" s="920">
        <f t="shared" si="0"/>
        <v>378</v>
      </c>
      <c r="E36" s="920">
        <f t="shared" si="0"/>
        <v>264</v>
      </c>
      <c r="F36" s="920">
        <f t="shared" si="0"/>
        <v>260</v>
      </c>
      <c r="G36" s="921">
        <f t="shared" si="0"/>
        <v>207</v>
      </c>
      <c r="J36" s="552" t="s">
        <v>47</v>
      </c>
    </row>
    <row r="37" spans="1:10" hidden="1" x14ac:dyDescent="0.2">
      <c r="A37" s="914" t="s">
        <v>591</v>
      </c>
      <c r="B37" s="922"/>
      <c r="C37" s="916"/>
      <c r="D37" s="916"/>
      <c r="E37" s="916"/>
      <c r="F37" s="916"/>
      <c r="G37" s="923"/>
    </row>
    <row r="38" spans="1:10" x14ac:dyDescent="0.2">
      <c r="A38" s="914" t="s">
        <v>590</v>
      </c>
      <c r="B38" s="922">
        <f>MIN(B5:B35)</f>
        <v>114</v>
      </c>
      <c r="C38" s="916">
        <f t="shared" ref="C38:G38" si="1">MIN(C5:C35)</f>
        <v>152</v>
      </c>
      <c r="D38" s="916">
        <f t="shared" si="1"/>
        <v>154</v>
      </c>
      <c r="E38" s="916">
        <f t="shared" si="1"/>
        <v>153</v>
      </c>
      <c r="F38" s="916">
        <f t="shared" si="1"/>
        <v>152</v>
      </c>
      <c r="G38" s="923">
        <f t="shared" si="1"/>
        <v>148</v>
      </c>
    </row>
    <row r="39" spans="1:10" x14ac:dyDescent="0.2">
      <c r="A39" s="914" t="s">
        <v>592</v>
      </c>
      <c r="B39" s="922">
        <f>SUM(B5:B35)*1000</f>
        <v>5532000</v>
      </c>
      <c r="C39" s="916">
        <f t="shared" ref="C39:G39" si="2">SUM(C5:C35)*1000</f>
        <v>5626000</v>
      </c>
      <c r="D39" s="916">
        <f t="shared" si="2"/>
        <v>7670000</v>
      </c>
      <c r="E39" s="916">
        <f t="shared" si="2"/>
        <v>5722000</v>
      </c>
      <c r="F39" s="916">
        <f t="shared" si="2"/>
        <v>5682000</v>
      </c>
      <c r="G39" s="923">
        <f t="shared" si="2"/>
        <v>5296000</v>
      </c>
    </row>
    <row r="40" spans="1:10" ht="13.5" thickBot="1" x14ac:dyDescent="0.25">
      <c r="A40" s="918" t="s">
        <v>538</v>
      </c>
      <c r="B40" s="924">
        <f>AVERAGE(B5:B35)</f>
        <v>178.45161290322579</v>
      </c>
      <c r="C40" s="925">
        <f t="shared" ref="C40:G40" si="3">AVERAGE(C5:C35)</f>
        <v>181.48387096774192</v>
      </c>
      <c r="D40" s="925">
        <f t="shared" si="3"/>
        <v>247.41935483870967</v>
      </c>
      <c r="E40" s="925">
        <f t="shared" si="3"/>
        <v>184.58064516129033</v>
      </c>
      <c r="F40" s="925">
        <f t="shared" si="3"/>
        <v>183.29032258064515</v>
      </c>
      <c r="G40" s="926">
        <f t="shared" si="3"/>
        <v>170.83870967741936</v>
      </c>
    </row>
    <row r="41" spans="1:10" s="551" customFormat="1" x14ac:dyDescent="0.2">
      <c r="A41" s="915"/>
      <c r="B41" s="575"/>
    </row>
    <row r="42" spans="1:10" x14ac:dyDescent="0.2">
      <c r="A42" s="576"/>
      <c r="B42" s="577"/>
    </row>
    <row r="43" spans="1:10" x14ac:dyDescent="0.2">
      <c r="A43" s="578"/>
      <c r="B43" s="577"/>
    </row>
  </sheetData>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85" zoomScaleNormal="85" workbookViewId="0">
      <selection activeCell="E29" sqref="E29"/>
    </sheetView>
  </sheetViews>
  <sheetFormatPr defaultRowHeight="12.75" x14ac:dyDescent="0.2"/>
  <cols>
    <col min="1" max="1" width="10.42578125" customWidth="1"/>
    <col min="2" max="2" width="10.7109375" customWidth="1"/>
    <col min="3" max="3" width="10.28515625" customWidth="1"/>
    <col min="4" max="4" width="10.42578125"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59"/>
      <c r="N2" s="256">
        <f>date!B6</f>
        <v>43466</v>
      </c>
      <c r="O2" s="53" t="s">
        <v>527</v>
      </c>
      <c r="P2" s="257" t="s">
        <v>528</v>
      </c>
    </row>
    <row r="3" spans="1:17" x14ac:dyDescent="0.2">
      <c r="A3" s="143">
        <f>IF(date!B6="","",date!B6)</f>
        <v>43466</v>
      </c>
      <c r="B3" s="236"/>
      <c r="C3" s="236" t="s">
        <v>91</v>
      </c>
      <c r="D3" s="236" t="s">
        <v>92</v>
      </c>
      <c r="E3" s="236" t="s">
        <v>653</v>
      </c>
      <c r="F3" s="236" t="s">
        <v>652</v>
      </c>
      <c r="G3" s="236"/>
      <c r="H3" s="236" t="s">
        <v>76</v>
      </c>
      <c r="I3" s="236"/>
      <c r="J3" s="236" t="s">
        <v>75</v>
      </c>
      <c r="K3" s="236" t="s">
        <v>48</v>
      </c>
      <c r="L3" s="259"/>
      <c r="N3" s="122"/>
      <c r="O3" s="122"/>
      <c r="P3" s="258"/>
    </row>
    <row r="4" spans="1:17" ht="13.5" thickBot="1" x14ac:dyDescent="0.25">
      <c r="A4" s="935">
        <f>IF(date!B6="","",date!B6)</f>
        <v>43466</v>
      </c>
      <c r="B4" s="236" t="s">
        <v>654</v>
      </c>
      <c r="C4" s="236" t="s">
        <v>655</v>
      </c>
      <c r="D4" s="236" t="s">
        <v>656</v>
      </c>
      <c r="E4" s="236"/>
      <c r="F4" s="236"/>
      <c r="G4" s="236"/>
      <c r="H4" s="236"/>
      <c r="I4" s="236"/>
      <c r="J4" s="236"/>
      <c r="K4" s="236"/>
      <c r="L4" s="259"/>
      <c r="N4" s="122"/>
      <c r="O4" s="122"/>
      <c r="P4" s="258"/>
    </row>
    <row r="5" spans="1:17" ht="13.7" customHeight="1" x14ac:dyDescent="0.3">
      <c r="A5" s="940">
        <v>1</v>
      </c>
      <c r="B5" s="943">
        <f>IF([1]Gas!C4="","",[1]Gas!C4)</f>
        <v>396526</v>
      </c>
      <c r="C5" s="936">
        <f>IF([1]Gas!E4="","",[1]Gas!E4)</f>
        <v>6408</v>
      </c>
      <c r="D5" s="936">
        <f>IF([1]Gas!G4="","",[1]Gas!G4)</f>
        <v>109862</v>
      </c>
      <c r="E5" s="936">
        <f>IF([1]Gas!I4="","",[1]Gas!I4)</f>
        <v>206114</v>
      </c>
      <c r="F5" s="937">
        <f>IF([1]Gas!K4="","",[1]Gas!K4)</f>
        <v>0</v>
      </c>
      <c r="G5" s="1544">
        <f>IF([1]Gas!M4="","",[1]Gas!M4)</f>
        <v>0</v>
      </c>
      <c r="H5" s="936">
        <f>IF([1]Gas!Q4="","",[1]Gas!Q4)</f>
        <v>212200.00000001164</v>
      </c>
      <c r="I5" s="937">
        <f>IF([1]Gas!S4="","",[1]Gas!S4)</f>
        <v>861000</v>
      </c>
      <c r="J5" s="937" t="str">
        <f>IF([1]Gas!U4="","",[1]Gas!U4)</f>
        <v/>
      </c>
      <c r="K5" s="938">
        <f>IF([1]Digesters!AE4="","",[1]Digesters!AE4)</f>
        <v>119</v>
      </c>
      <c r="N5" s="963"/>
      <c r="O5" s="964"/>
      <c r="P5" s="965"/>
      <c r="Q5" s="255"/>
    </row>
    <row r="6" spans="1:17" x14ac:dyDescent="0.2">
      <c r="A6" s="941">
        <v>2</v>
      </c>
      <c r="B6" s="944">
        <f>IF([1]Gas!C5="","",[1]Gas!C5)</f>
        <v>550357</v>
      </c>
      <c r="C6" s="48">
        <f>IF([1]Gas!E5="","",[1]Gas!E5)</f>
        <v>88226</v>
      </c>
      <c r="D6" s="48">
        <f>IF([1]Gas!G5="","",[1]Gas!G5)</f>
        <v>0</v>
      </c>
      <c r="E6" s="48">
        <f>IF([1]Gas!I5="","",[1]Gas!I5)</f>
        <v>239647</v>
      </c>
      <c r="F6" s="48">
        <f>IF([1]Gas!K5="","",[1]Gas!K5)</f>
        <v>0</v>
      </c>
      <c r="G6" s="48">
        <f>IF([1]Gas!M5="","",[1]Gas!M5)</f>
        <v>0</v>
      </c>
      <c r="H6" s="48">
        <f>IF([1]Gas!Q5="","",[1]Gas!Q5)</f>
        <v>261699.99999995343</v>
      </c>
      <c r="I6" s="48">
        <f>IF([1]Gas!S5="","",[1]Gas!S5)</f>
        <v>892000</v>
      </c>
      <c r="J6" s="48" t="str">
        <f>IF([1]Gas!U5="","",[1]Gas!U5)</f>
        <v/>
      </c>
      <c r="K6" s="939">
        <f>IF([1]Digesters!AE5="","",[1]Digesters!AE5)</f>
        <v>136</v>
      </c>
      <c r="N6" s="944" t="s">
        <v>280</v>
      </c>
      <c r="O6" s="946">
        <f>B39+C39+D39+I39</f>
        <v>50119006</v>
      </c>
      <c r="P6" s="959">
        <v>100</v>
      </c>
    </row>
    <row r="7" spans="1:17" x14ac:dyDescent="0.2">
      <c r="A7" s="941">
        <v>3</v>
      </c>
      <c r="B7" s="944">
        <f>IF([1]Gas!C6="","",[1]Gas!C6)</f>
        <v>441145</v>
      </c>
      <c r="C7" s="48">
        <f>IF([1]Gas!E6="","",[1]Gas!E6)</f>
        <v>36526</v>
      </c>
      <c r="D7" s="48">
        <f>IF([1]Gas!G6="","",[1]Gas!G6)</f>
        <v>40749</v>
      </c>
      <c r="E7" s="48">
        <f>IF([1]Gas!I6="","",[1]Gas!I6)</f>
        <v>160372</v>
      </c>
      <c r="F7" s="48">
        <f>IF([1]Gas!K6="","",[1]Gas!K6)</f>
        <v>0</v>
      </c>
      <c r="G7" s="48">
        <f>IF([1]Gas!M6="","",[1]Gas!M6)</f>
        <v>0</v>
      </c>
      <c r="H7" s="48">
        <f>IF([1]Gas!Q6="","",[1]Gas!Q6)</f>
        <v>280500</v>
      </c>
      <c r="I7" s="48">
        <f>IF([1]Gas!S6="","",[1]Gas!S6)</f>
        <v>936000</v>
      </c>
      <c r="J7" s="48" t="str">
        <f>IF([1]Gas!U6="","",[1]Gas!U6)</f>
        <v/>
      </c>
      <c r="K7" s="939">
        <f>IF([1]Digesters!AE6="","",[1]Digesters!AE6)</f>
        <v>96</v>
      </c>
      <c r="N7" s="966"/>
      <c r="O7" s="1"/>
      <c r="P7" s="967"/>
    </row>
    <row r="8" spans="1:17" x14ac:dyDescent="0.2">
      <c r="A8" s="941">
        <v>4</v>
      </c>
      <c r="B8" s="944">
        <f>IF([1]Gas!C7="","",[1]Gas!C7)</f>
        <v>513839</v>
      </c>
      <c r="C8" s="48">
        <f>IF([1]Gas!E7="","",[1]Gas!E7)</f>
        <v>0</v>
      </c>
      <c r="D8" s="48">
        <f>IF([1]Gas!G7="","",[1]Gas!G7)</f>
        <v>226632</v>
      </c>
      <c r="E8" s="48">
        <f>IF([1]Gas!I7="","",[1]Gas!I7)</f>
        <v>161321</v>
      </c>
      <c r="F8" s="48">
        <f>IF([1]Gas!K7="","",[1]Gas!K7)</f>
        <v>0</v>
      </c>
      <c r="G8" s="48">
        <f>IF([1]Gas!M7="","",[1]Gas!M7)</f>
        <v>0</v>
      </c>
      <c r="H8" s="48">
        <f>IF([1]Gas!Q7="","",[1]Gas!Q7)</f>
        <v>518300.00000004657</v>
      </c>
      <c r="I8" s="48">
        <f>IF([1]Gas!S7="","",[1]Gas!S7)</f>
        <v>928000</v>
      </c>
      <c r="J8" s="48" t="str">
        <f>IF([1]Gas!U7="","",[1]Gas!U7)</f>
        <v/>
      </c>
      <c r="K8" s="939">
        <f>IF([1]Digesters!AE7="","",[1]Digesters!AE7)</f>
        <v>52</v>
      </c>
      <c r="N8" s="968"/>
      <c r="O8" s="962"/>
      <c r="P8" s="967"/>
    </row>
    <row r="9" spans="1:17" x14ac:dyDescent="0.2">
      <c r="A9" s="941">
        <v>5</v>
      </c>
      <c r="B9" s="944">
        <f>IF([1]Gas!C8="","",[1]Gas!C8)</f>
        <v>574767</v>
      </c>
      <c r="C9" s="48">
        <f>IF([1]Gas!E8="","",[1]Gas!E8)</f>
        <v>0</v>
      </c>
      <c r="D9" s="48">
        <f>IF([1]Gas!G8="","",[1]Gas!G8)</f>
        <v>219605</v>
      </c>
      <c r="E9" s="48">
        <f>IF([1]Gas!I8="","",[1]Gas!I8)</f>
        <v>163664</v>
      </c>
      <c r="F9" s="48">
        <f>IF([1]Gas!K8="","",[1]Gas!K8)</f>
        <v>0</v>
      </c>
      <c r="G9" s="48">
        <f>IF([1]Gas!M8="","",[1]Gas!M8)</f>
        <v>0</v>
      </c>
      <c r="H9" s="48">
        <f>IF([1]Gas!Q8="","",[1]Gas!Q8)</f>
        <v>445599.99999997672</v>
      </c>
      <c r="I9" s="48">
        <f>IF([1]Gas!S8="","",[1]Gas!S8)</f>
        <v>946000</v>
      </c>
      <c r="J9" s="48" t="str">
        <f>IF([1]Gas!U8="","",[1]Gas!U8)</f>
        <v/>
      </c>
      <c r="K9" s="939">
        <f>IF([1]Digesters!AE8="","",[1]Digesters!AE8)</f>
        <v>3</v>
      </c>
      <c r="N9" s="944" t="s">
        <v>572</v>
      </c>
      <c r="O9" s="946">
        <f>I39</f>
        <v>25249000</v>
      </c>
      <c r="P9" s="959">
        <f>(O9/O6)*100</f>
        <v>50.378094090692862</v>
      </c>
    </row>
    <row r="10" spans="1:17" x14ac:dyDescent="0.2">
      <c r="A10" s="941">
        <v>6</v>
      </c>
      <c r="B10" s="944">
        <f>IF([1]Gas!C9="","",[1]Gas!C9)</f>
        <v>421667</v>
      </c>
      <c r="C10" s="48">
        <f>IF([1]Gas!E9="","",[1]Gas!E9)</f>
        <v>41030</v>
      </c>
      <c r="D10" s="48">
        <f>IF([1]Gas!G9="","",[1]Gas!G9)</f>
        <v>189226</v>
      </c>
      <c r="E10" s="48">
        <f>IF([1]Gas!I9="","",[1]Gas!I9)</f>
        <v>189534</v>
      </c>
      <c r="F10" s="48">
        <f>IF([1]Gas!K9="","",[1]Gas!K9)</f>
        <v>0</v>
      </c>
      <c r="G10" s="48">
        <f>IF([1]Gas!M9="","",[1]Gas!M9)</f>
        <v>0</v>
      </c>
      <c r="H10" s="48">
        <f>IF([1]Gas!Q9="","",[1]Gas!Q9)</f>
        <v>411700.00000001164</v>
      </c>
      <c r="I10" s="48">
        <f>IF([1]Gas!S9="","",[1]Gas!S9)</f>
        <v>842000</v>
      </c>
      <c r="J10" s="48" t="str">
        <f>IF([1]Gas!U9="","",[1]Gas!U9)</f>
        <v/>
      </c>
      <c r="K10" s="939">
        <f>IF([1]Digesters!AE9="","",[1]Digesters!AE9)</f>
        <v>21</v>
      </c>
      <c r="N10" s="958" t="s">
        <v>529</v>
      </c>
      <c r="O10" s="946">
        <f>C39+D39</f>
        <v>7081917</v>
      </c>
      <c r="P10" s="959">
        <f>(O10/O6)*100</f>
        <v>14.130202422609898</v>
      </c>
    </row>
    <row r="11" spans="1:17" x14ac:dyDescent="0.2">
      <c r="A11" s="941">
        <v>7</v>
      </c>
      <c r="B11" s="944">
        <f>IF([1]Gas!C10="","",[1]Gas!C10)</f>
        <v>738239</v>
      </c>
      <c r="C11" s="48">
        <f>IF([1]Gas!E10="","",[1]Gas!E10)</f>
        <v>179022</v>
      </c>
      <c r="D11" s="48">
        <f>IF([1]Gas!G10="","",[1]Gas!G10)</f>
        <v>189306</v>
      </c>
      <c r="E11" s="48">
        <f>IF([1]Gas!I10="","",[1]Gas!I10)</f>
        <v>180851</v>
      </c>
      <c r="F11" s="48">
        <f>IF([1]Gas!K10="","",[1]Gas!K10)</f>
        <v>0</v>
      </c>
      <c r="G11" s="48">
        <f>IF([1]Gas!M10="","",[1]Gas!M10)</f>
        <v>30230.000000003201</v>
      </c>
      <c r="H11" s="48">
        <f>IF([1]Gas!Q10="","",[1]Gas!Q10)</f>
        <v>425200.00000001164</v>
      </c>
      <c r="I11" s="48">
        <f>IF([1]Gas!S10="","",[1]Gas!S10)</f>
        <v>831000</v>
      </c>
      <c r="J11" s="48" t="str">
        <f>IF([1]Gas!U10="","",[1]Gas!U10)</f>
        <v/>
      </c>
      <c r="K11" s="939">
        <f>IF([1]Digesters!AE10="","",[1]Digesters!AE10)</f>
        <v>33</v>
      </c>
      <c r="N11" s="958" t="s">
        <v>530</v>
      </c>
      <c r="O11" s="946">
        <f>E39+F39</f>
        <v>5763326</v>
      </c>
      <c r="P11" s="959">
        <f>(O11/O6)*100</f>
        <v>11.499282328145135</v>
      </c>
    </row>
    <row r="12" spans="1:17" x14ac:dyDescent="0.2">
      <c r="A12" s="941">
        <v>8</v>
      </c>
      <c r="B12" s="944">
        <f>IF([1]Gas!C11="","",[1]Gas!C11)</f>
        <v>632635</v>
      </c>
      <c r="C12" s="48">
        <f>IF([1]Gas!E11="","",[1]Gas!E11)</f>
        <v>202026</v>
      </c>
      <c r="D12" s="48">
        <f>IF([1]Gas!G11="","",[1]Gas!G11)</f>
        <v>235027</v>
      </c>
      <c r="E12" s="48">
        <f>IF([1]Gas!I11="","",[1]Gas!I11)</f>
        <v>181198</v>
      </c>
      <c r="F12" s="48">
        <f>IF([1]Gas!K11="","",[1]Gas!K11)</f>
        <v>0</v>
      </c>
      <c r="G12" s="48">
        <f>IF([1]Gas!M11="","",[1]Gas!M11)</f>
        <v>245089.99999999651</v>
      </c>
      <c r="H12" s="48">
        <f>IF([1]Gas!Q11="","",[1]Gas!Q11)</f>
        <v>167099.99999997672</v>
      </c>
      <c r="I12" s="48">
        <f>IF([1]Gas!S11="","",[1]Gas!S11)</f>
        <v>854000</v>
      </c>
      <c r="J12" s="48" t="str">
        <f>IF([1]Gas!U11="","",[1]Gas!U11)</f>
        <v/>
      </c>
      <c r="K12" s="939">
        <f>IF([1]Digesters!AE11="","",[1]Digesters!AE11)</f>
        <v>85</v>
      </c>
      <c r="N12" s="958" t="s">
        <v>650</v>
      </c>
      <c r="O12" s="946">
        <f>G39</f>
        <v>4855360.0000000075</v>
      </c>
      <c r="P12" s="959">
        <f>(O12/O6)*100</f>
        <v>9.6876622014411211</v>
      </c>
    </row>
    <row r="13" spans="1:17" ht="13.5" thickBot="1" x14ac:dyDescent="0.25">
      <c r="A13" s="941">
        <v>9</v>
      </c>
      <c r="B13" s="944">
        <f>IF([1]Gas!C12="","",[1]Gas!C12)</f>
        <v>604413</v>
      </c>
      <c r="C13" s="48">
        <f>IF([1]Gas!E12="","",[1]Gas!E12)</f>
        <v>180748</v>
      </c>
      <c r="D13" s="48">
        <f>IF([1]Gas!G12="","",[1]Gas!G12)</f>
        <v>203632</v>
      </c>
      <c r="E13" s="48">
        <f>IF([1]Gas!I12="","",[1]Gas!I12)</f>
        <v>183341</v>
      </c>
      <c r="F13" s="48">
        <f>IF([1]Gas!K12="","",[1]Gas!K12)</f>
        <v>0</v>
      </c>
      <c r="G13" s="48">
        <f>IF([1]Gas!M12="","",[1]Gas!M12)</f>
        <v>251540.00000000087</v>
      </c>
      <c r="H13" s="48">
        <f>IF([1]Gas!Q12="","",[1]Gas!Q12)</f>
        <v>222400.00000002328</v>
      </c>
      <c r="I13" s="48">
        <f>IF([1]Gas!S12="","",[1]Gas!S12)</f>
        <v>668000</v>
      </c>
      <c r="J13" s="48" t="str">
        <f>IF([1]Gas!U12="","",[1]Gas!U12)</f>
        <v/>
      </c>
      <c r="K13" s="939">
        <f>IF([1]Digesters!AE12="","",[1]Digesters!AE12)</f>
        <v>73</v>
      </c>
      <c r="N13" s="960" t="s">
        <v>531</v>
      </c>
      <c r="O13" s="951">
        <f>H39</f>
        <v>6926899.9999999646</v>
      </c>
      <c r="P13" s="961">
        <f>(O13/O6)*100</f>
        <v>13.820904588570581</v>
      </c>
    </row>
    <row r="14" spans="1:17" x14ac:dyDescent="0.2">
      <c r="A14" s="941">
        <v>10</v>
      </c>
      <c r="B14" s="944">
        <f>IF([1]Gas!C13="","",[1]Gas!C13)</f>
        <v>1301883</v>
      </c>
      <c r="C14" s="48">
        <f>IF([1]Gas!E13="","",[1]Gas!E13)</f>
        <v>211727</v>
      </c>
      <c r="D14" s="48">
        <f>IF([1]Gas!G13="","",[1]Gas!G13)</f>
        <v>99080</v>
      </c>
      <c r="E14" s="48">
        <f>IF([1]Gas!I13="","",[1]Gas!I13)</f>
        <v>165183</v>
      </c>
      <c r="F14" s="48">
        <f>IF([1]Gas!K13="","",[1]Gas!K13)</f>
        <v>0</v>
      </c>
      <c r="G14" s="48">
        <f>IF([1]Gas!M13="","",[1]Gas!M13)</f>
        <v>274000.00000000728</v>
      </c>
      <c r="H14" s="48">
        <f>IF([1]Gas!Q13="","",[1]Gas!Q13)</f>
        <v>230699.99999995343</v>
      </c>
      <c r="I14" s="48">
        <f>IF([1]Gas!S13="","",[1]Gas!S13)</f>
        <v>544000</v>
      </c>
      <c r="J14" s="48" t="str">
        <f>IF([1]Gas!U13="","",[1]Gas!U13)</f>
        <v/>
      </c>
      <c r="K14" s="939">
        <f>IF([1]Digesters!AE13="","",[1]Digesters!AE13)</f>
        <v>97</v>
      </c>
      <c r="P14" s="75"/>
    </row>
    <row r="15" spans="1:17" x14ac:dyDescent="0.2">
      <c r="A15" s="941">
        <v>11</v>
      </c>
      <c r="B15" s="944">
        <f>IF([1]Gas!C14="","",[1]Gas!C14)</f>
        <v>284523</v>
      </c>
      <c r="C15" s="48">
        <f>IF([1]Gas!E14="","",[1]Gas!E14)</f>
        <v>314399</v>
      </c>
      <c r="D15" s="48">
        <f>IF([1]Gas!G14="","",[1]Gas!G14)</f>
        <v>0</v>
      </c>
      <c r="E15" s="48">
        <f>IF([1]Gas!I14="","",[1]Gas!I14)</f>
        <v>173217</v>
      </c>
      <c r="F15" s="48">
        <f>IF([1]Gas!K14="","",[1]Gas!K14)</f>
        <v>0</v>
      </c>
      <c r="G15" s="48">
        <f>IF([1]Gas!M14="","",[1]Gas!M14)</f>
        <v>239639.99999999942</v>
      </c>
      <c r="H15" s="48">
        <f>IF([1]Gas!Q14="","",[1]Gas!Q14)</f>
        <v>380800.00000004657</v>
      </c>
      <c r="I15" s="48">
        <f>IF([1]Gas!S14="","",[1]Gas!S14)</f>
        <v>684000</v>
      </c>
      <c r="J15" s="48" t="str">
        <f>IF([1]Gas!U14="","",[1]Gas!U14)</f>
        <v/>
      </c>
      <c r="K15" s="939">
        <f>IF([1]Digesters!AE14="","",[1]Digesters!AE14)</f>
        <v>155</v>
      </c>
    </row>
    <row r="16" spans="1:17" x14ac:dyDescent="0.2">
      <c r="A16" s="941">
        <v>12</v>
      </c>
      <c r="B16" s="944">
        <f>IF([1]Gas!C15="","",[1]Gas!C15)</f>
        <v>284524</v>
      </c>
      <c r="C16" s="48">
        <f>IF([1]Gas!E15="","",[1]Gas!E15)</f>
        <v>251770</v>
      </c>
      <c r="D16" s="48">
        <f>IF([1]Gas!G15="","",[1]Gas!G15)</f>
        <v>0</v>
      </c>
      <c r="E16" s="48">
        <f>IF([1]Gas!I15="","",[1]Gas!I15)</f>
        <v>169619</v>
      </c>
      <c r="F16" s="48">
        <f>IF([1]Gas!K15="","",[1]Gas!K15)</f>
        <v>0</v>
      </c>
      <c r="G16" s="48">
        <f>IF([1]Gas!M15="","",[1]Gas!M15)</f>
        <v>215649.99999999418</v>
      </c>
      <c r="H16" s="48">
        <f>IF([1]Gas!Q15="","",[1]Gas!Q15)</f>
        <v>318599.99999997672</v>
      </c>
      <c r="I16" s="48">
        <f>IF([1]Gas!S15="","",[1]Gas!S15)</f>
        <v>549000</v>
      </c>
      <c r="J16" s="48" t="str">
        <f>IF([1]Gas!U15="","",[1]Gas!U15)</f>
        <v/>
      </c>
      <c r="K16" s="939">
        <f>IF([1]Digesters!AE15="","",[1]Digesters!AE15)</f>
        <v>136</v>
      </c>
    </row>
    <row r="17" spans="1:15" x14ac:dyDescent="0.2">
      <c r="A17" s="941">
        <v>13</v>
      </c>
      <c r="B17" s="944">
        <f>IF([1]Gas!C16="","",[1]Gas!C16)</f>
        <v>799212</v>
      </c>
      <c r="C17" s="48">
        <f>IF([1]Gas!E16="","",[1]Gas!E16)</f>
        <v>344312</v>
      </c>
      <c r="D17" s="48">
        <f>IF([1]Gas!G16="","",[1]Gas!G16)</f>
        <v>0</v>
      </c>
      <c r="E17" s="48">
        <f>IF([1]Gas!I16="","",[1]Gas!I16)</f>
        <v>148959</v>
      </c>
      <c r="F17" s="48">
        <f>IF([1]Gas!K16="","",[1]Gas!K16)</f>
        <v>0</v>
      </c>
      <c r="G17" s="48">
        <f>IF([1]Gas!M16="","",[1]Gas!M16)</f>
        <v>252860.00000000058</v>
      </c>
      <c r="H17" s="48">
        <f>IF([1]Gas!Q16="","",[1]Gas!Q16)</f>
        <v>503500</v>
      </c>
      <c r="I17" s="48">
        <f>IF([1]Gas!S16="","",[1]Gas!S16)</f>
        <v>688000</v>
      </c>
      <c r="J17" s="48" t="str">
        <f>IF([1]Gas!U16="","",[1]Gas!U16)</f>
        <v/>
      </c>
      <c r="K17" s="939">
        <f>IF([1]Digesters!AE16="","",[1]Digesters!AE16)</f>
        <v>126</v>
      </c>
    </row>
    <row r="18" spans="1:15" x14ac:dyDescent="0.2">
      <c r="A18" s="941">
        <v>14</v>
      </c>
      <c r="B18" s="944">
        <f>IF([1]Gas!C17="","",[1]Gas!C17)</f>
        <v>597194</v>
      </c>
      <c r="C18" s="48">
        <f>IF([1]Gas!E17="","",[1]Gas!E17)</f>
        <v>275864</v>
      </c>
      <c r="D18" s="48">
        <f>IF([1]Gas!G17="","",[1]Gas!G17)</f>
        <v>0</v>
      </c>
      <c r="E18" s="48">
        <f>IF([1]Gas!I17="","",[1]Gas!I17)</f>
        <v>205087</v>
      </c>
      <c r="F18" s="48">
        <f>IF([1]Gas!K17="","",[1]Gas!K17)</f>
        <v>0</v>
      </c>
      <c r="G18" s="48">
        <f>IF([1]Gas!M17="","",[1]Gas!M17)</f>
        <v>259800.00000000291</v>
      </c>
      <c r="H18" s="48">
        <f>IF([1]Gas!Q17="","",[1]Gas!Q17)</f>
        <v>339799.99999998836</v>
      </c>
      <c r="I18" s="48">
        <f>IF([1]Gas!S17="","",[1]Gas!S17)</f>
        <v>537000</v>
      </c>
      <c r="J18" s="48" t="str">
        <f>IF([1]Gas!U17="","",[1]Gas!U17)</f>
        <v/>
      </c>
      <c r="K18" s="939">
        <f>IF([1]Digesters!AE17="","",[1]Digesters!AE17)</f>
        <v>123</v>
      </c>
    </row>
    <row r="19" spans="1:15" x14ac:dyDescent="0.2">
      <c r="A19" s="941">
        <v>15</v>
      </c>
      <c r="B19" s="944">
        <f>IF([1]Gas!C18="","",[1]Gas!C18)</f>
        <v>686851</v>
      </c>
      <c r="C19" s="48">
        <f>IF([1]Gas!E18="","",[1]Gas!E18)</f>
        <v>337032</v>
      </c>
      <c r="D19" s="48">
        <f>IF([1]Gas!G18="","",[1]Gas!G18)</f>
        <v>0</v>
      </c>
      <c r="E19" s="48">
        <f>IF([1]Gas!I18="","",[1]Gas!I18)</f>
        <v>189719</v>
      </c>
      <c r="F19" s="48">
        <f>IF([1]Gas!K18="","",[1]Gas!K18)</f>
        <v>0</v>
      </c>
      <c r="G19" s="48">
        <f>IF([1]Gas!M18="","",[1]Gas!M18)</f>
        <v>269629.9999999901</v>
      </c>
      <c r="H19" s="48">
        <f>IF([1]Gas!Q18="","",[1]Gas!Q18)</f>
        <v>262400.00000002328</v>
      </c>
      <c r="I19" s="48">
        <f>IF([1]Gas!S18="","",[1]Gas!S18)</f>
        <v>595000</v>
      </c>
      <c r="J19" s="48" t="str">
        <f>IF([1]Gas!U18="","",[1]Gas!U18)</f>
        <v/>
      </c>
      <c r="K19" s="939">
        <f>IF([1]Digesters!AE18="","",[1]Digesters!AE18)</f>
        <v>183</v>
      </c>
    </row>
    <row r="20" spans="1:15" x14ac:dyDescent="0.2">
      <c r="A20" s="941">
        <v>16</v>
      </c>
      <c r="B20" s="944">
        <f>IF([1]Gas!C19="","",[1]Gas!C19)</f>
        <v>746538</v>
      </c>
      <c r="C20" s="48">
        <f>IF([1]Gas!E19="","",[1]Gas!E19)</f>
        <v>27724</v>
      </c>
      <c r="D20" s="48">
        <f>IF([1]Gas!G19="","",[1]Gas!G19)</f>
        <v>0</v>
      </c>
      <c r="E20" s="48">
        <f>IF([1]Gas!I19="","",[1]Gas!I19)</f>
        <v>175865</v>
      </c>
      <c r="F20" s="48">
        <f>IF([1]Gas!K19="","",[1]Gas!K19)</f>
        <v>0</v>
      </c>
      <c r="G20" s="48">
        <f>IF([1]Gas!M19="","",[1]Gas!M19)</f>
        <v>232980.00000001048</v>
      </c>
      <c r="H20" s="48">
        <f>IF([1]Gas!Q19="","",[1]Gas!Q19)</f>
        <v>311899.99999996508</v>
      </c>
      <c r="I20" s="48">
        <f>IF([1]Gas!S19="","",[1]Gas!S19)</f>
        <v>647000</v>
      </c>
      <c r="J20" s="48" t="str">
        <f>IF([1]Gas!U19="","",[1]Gas!U19)</f>
        <v/>
      </c>
      <c r="K20" s="939">
        <f>IF([1]Digesters!AE19="","",[1]Digesters!AE19)</f>
        <v>167</v>
      </c>
      <c r="N20" t="s">
        <v>532</v>
      </c>
    </row>
    <row r="21" spans="1:15" x14ac:dyDescent="0.2">
      <c r="A21" s="941">
        <v>17</v>
      </c>
      <c r="B21" s="944">
        <f>IF([1]Gas!C20="","",[1]Gas!C20)</f>
        <v>637780</v>
      </c>
      <c r="C21" s="48">
        <f>IF([1]Gas!E20="","",[1]Gas!E20)</f>
        <v>600110</v>
      </c>
      <c r="D21" s="48">
        <f>IF([1]Gas!G20="","",[1]Gas!G20)</f>
        <v>0</v>
      </c>
      <c r="E21" s="48">
        <f>IF([1]Gas!I20="","",[1]Gas!I20)</f>
        <v>191747</v>
      </c>
      <c r="F21" s="48">
        <f>IF([1]Gas!K20="","",[1]Gas!K20)</f>
        <v>0</v>
      </c>
      <c r="G21" s="48">
        <f>IF([1]Gas!M20="","",[1]Gas!M20)</f>
        <v>270929.99999999302</v>
      </c>
      <c r="H21" s="48">
        <f>IF([1]Gas!Q20="","",[1]Gas!Q20)</f>
        <v>347700.00000001164</v>
      </c>
      <c r="I21" s="48">
        <f>IF([1]Gas!S20="","",[1]Gas!S20)</f>
        <v>814000</v>
      </c>
      <c r="J21" s="48" t="str">
        <f>IF([1]Gas!U20="","",[1]Gas!U20)</f>
        <v/>
      </c>
      <c r="K21" s="939">
        <f>IF([1]Digesters!AE20="","",[1]Digesters!AE20)</f>
        <v>147</v>
      </c>
      <c r="N21" t="s">
        <v>533</v>
      </c>
    </row>
    <row r="22" spans="1:15" x14ac:dyDescent="0.2">
      <c r="A22" s="941">
        <v>18</v>
      </c>
      <c r="B22" s="944">
        <f>IF([1]Gas!C21="","",[1]Gas!C21)</f>
        <v>1111000</v>
      </c>
      <c r="C22" s="48">
        <f>IF([1]Gas!E21="","",[1]Gas!E21)</f>
        <v>155394</v>
      </c>
      <c r="D22" s="48">
        <f>IF([1]Gas!G21="","",[1]Gas!G21)</f>
        <v>0</v>
      </c>
      <c r="E22" s="48">
        <f>IF([1]Gas!I21="","",[1]Gas!I21)</f>
        <v>186033</v>
      </c>
      <c r="F22" s="48">
        <f>IF([1]Gas!K21="","",[1]Gas!K21)</f>
        <v>0</v>
      </c>
      <c r="G22" s="48">
        <f>IF([1]Gas!M21="","",[1]Gas!M21)</f>
        <v>190520.00000000407</v>
      </c>
      <c r="H22" s="48">
        <f>IF([1]Gas!Q21="","",[1]Gas!Q21)</f>
        <v>96600.000000034925</v>
      </c>
      <c r="I22" s="48">
        <f>IF([1]Gas!S21="","",[1]Gas!S21)</f>
        <v>857000</v>
      </c>
      <c r="J22" s="48" t="str">
        <f>IF([1]Gas!U21="","",[1]Gas!U21)</f>
        <v/>
      </c>
      <c r="K22" s="939">
        <f>IF([1]Digesters!AE21="","",[1]Digesters!AE21)</f>
        <v>198</v>
      </c>
      <c r="N22" t="s">
        <v>534</v>
      </c>
    </row>
    <row r="23" spans="1:15" x14ac:dyDescent="0.2">
      <c r="A23" s="941">
        <v>19</v>
      </c>
      <c r="B23" s="944">
        <f>IF([1]Gas!C22="","",[1]Gas!C22)</f>
        <v>-22810</v>
      </c>
      <c r="C23" s="48">
        <f>IF([1]Gas!E22="","",[1]Gas!E22)</f>
        <v>312000</v>
      </c>
      <c r="D23" s="48">
        <f>IF([1]Gas!G22="","",[1]Gas!G22)</f>
        <v>0</v>
      </c>
      <c r="E23" s="48">
        <f>IF([1]Gas!I22="","",[1]Gas!I22)</f>
        <v>217262</v>
      </c>
      <c r="F23" s="48">
        <f>IF([1]Gas!K22="","",[1]Gas!K22)</f>
        <v>0</v>
      </c>
      <c r="G23" s="48">
        <f>IF([1]Gas!M22="","",[1]Gas!M22)</f>
        <v>126270.00000000407</v>
      </c>
      <c r="H23" s="48">
        <f>IF([1]Gas!Q22="","",[1]Gas!Q22)</f>
        <v>46599.999999976717</v>
      </c>
      <c r="I23" s="48">
        <f>IF([1]Gas!S22="","",[1]Gas!S22)</f>
        <v>845000</v>
      </c>
      <c r="J23" s="48" t="str">
        <f>IF([1]Gas!U22="","",[1]Gas!U22)</f>
        <v/>
      </c>
      <c r="K23" s="939">
        <f>IF([1]Digesters!AE22="","",[1]Digesters!AE22)</f>
        <v>99</v>
      </c>
      <c r="O23" s="282"/>
    </row>
    <row r="24" spans="1:15" x14ac:dyDescent="0.2">
      <c r="A24" s="941">
        <v>20</v>
      </c>
      <c r="B24" s="944">
        <f>IF([1]Gas!C23="","",[1]Gas!C23)</f>
        <v>506110</v>
      </c>
      <c r="C24" s="48">
        <f>IF([1]Gas!E23="","",[1]Gas!E23)</f>
        <v>145992</v>
      </c>
      <c r="D24" s="48">
        <f>IF([1]Gas!G23="","",[1]Gas!G23)</f>
        <v>0</v>
      </c>
      <c r="E24" s="48">
        <f>IF([1]Gas!I23="","",[1]Gas!I23)</f>
        <v>181570</v>
      </c>
      <c r="F24" s="48">
        <f>IF([1]Gas!K23="","",[1]Gas!K23)</f>
        <v>0</v>
      </c>
      <c r="G24" s="48">
        <f>IF([1]Gas!M23="","",[1]Gas!M23)</f>
        <v>143360.00000000058</v>
      </c>
      <c r="H24" s="48">
        <f>IF([1]Gas!Q23="","",[1]Gas!Q23)</f>
        <v>103500</v>
      </c>
      <c r="I24" s="48">
        <f>IF([1]Gas!S23="","",[1]Gas!S23)</f>
        <v>976000</v>
      </c>
      <c r="J24" s="48" t="str">
        <f>IF([1]Gas!U23="","",[1]Gas!U23)</f>
        <v/>
      </c>
      <c r="K24" s="939">
        <f>IF([1]Digesters!AE23="","",[1]Digesters!AE23)</f>
        <v>117</v>
      </c>
      <c r="O24" s="282"/>
    </row>
    <row r="25" spans="1:15" x14ac:dyDescent="0.2">
      <c r="A25" s="941">
        <v>21</v>
      </c>
      <c r="B25" s="944">
        <f>IF([1]Gas!C24="","",[1]Gas!C24)</f>
        <v>530312</v>
      </c>
      <c r="C25" s="48">
        <f>IF([1]Gas!E24="","",[1]Gas!E24)</f>
        <v>178806</v>
      </c>
      <c r="D25" s="48">
        <f>IF([1]Gas!G24="","",[1]Gas!G24)</f>
        <v>0</v>
      </c>
      <c r="E25" s="48">
        <f>IF([1]Gas!I24="","",[1]Gas!I24)</f>
        <v>218809</v>
      </c>
      <c r="F25" s="48">
        <f>IF([1]Gas!K24="","",[1]Gas!K24)</f>
        <v>0</v>
      </c>
      <c r="G25" s="48">
        <f>IF([1]Gas!M24="","",[1]Gas!M24)</f>
        <v>187489.99999999069</v>
      </c>
      <c r="H25" s="48">
        <f>IF([1]Gas!Q24="","",[1]Gas!Q24)</f>
        <v>80299.999999988358</v>
      </c>
      <c r="I25" s="48">
        <f>IF([1]Gas!S24="","",[1]Gas!S24)</f>
        <v>755000</v>
      </c>
      <c r="J25" s="48" t="str">
        <f>IF([1]Gas!U24="","",[1]Gas!U24)</f>
        <v/>
      </c>
      <c r="K25" s="939">
        <f>IF([1]Digesters!AE24="","",[1]Digesters!AE24)</f>
        <v>112</v>
      </c>
      <c r="O25" s="282"/>
    </row>
    <row r="26" spans="1:15" x14ac:dyDescent="0.2">
      <c r="A26" s="941">
        <v>22</v>
      </c>
      <c r="B26" s="944">
        <f>IF([1]Gas!C25="","",[1]Gas!C25)</f>
        <v>496663</v>
      </c>
      <c r="C26" s="48">
        <f>IF([1]Gas!E25="","",[1]Gas!E25)</f>
        <v>67202</v>
      </c>
      <c r="D26" s="48">
        <f>IF([1]Gas!G25="","",[1]Gas!G25)</f>
        <v>0</v>
      </c>
      <c r="E26" s="48">
        <f>IF([1]Gas!I25="","",[1]Gas!I25)</f>
        <v>202503</v>
      </c>
      <c r="F26" s="48">
        <f>IF([1]Gas!K25="","",[1]Gas!K25)</f>
        <v>0</v>
      </c>
      <c r="G26" s="48">
        <f>IF([1]Gas!M25="","",[1]Gas!M25)</f>
        <v>141260.00000000931</v>
      </c>
      <c r="H26" s="48">
        <f>IF([1]Gas!Q25="","",[1]Gas!Q25)</f>
        <v>49799.999999988358</v>
      </c>
      <c r="I26" s="48">
        <f>IF([1]Gas!S25="","",[1]Gas!S25)</f>
        <v>923000</v>
      </c>
      <c r="J26" s="48" t="str">
        <f>IF([1]Gas!U25="","",[1]Gas!U25)</f>
        <v/>
      </c>
      <c r="K26" s="939">
        <f>IF([1]Digesters!AE25="","",[1]Digesters!AE25)</f>
        <v>123</v>
      </c>
      <c r="N26" t="s">
        <v>89</v>
      </c>
      <c r="O26" s="282"/>
    </row>
    <row r="27" spans="1:15" x14ac:dyDescent="0.2">
      <c r="A27" s="941">
        <v>23</v>
      </c>
      <c r="B27" s="944">
        <f>IF([1]Gas!C26="","",[1]Gas!C26)</f>
        <v>636478</v>
      </c>
      <c r="C27" s="48">
        <f>IF([1]Gas!E26="","",[1]Gas!E26)</f>
        <v>180820</v>
      </c>
      <c r="D27" s="48">
        <f>IF([1]Gas!G26="","",[1]Gas!G26)</f>
        <v>0</v>
      </c>
      <c r="E27" s="48">
        <f>IF([1]Gas!I26="","",[1]Gas!I26)</f>
        <v>186191</v>
      </c>
      <c r="F27" s="48">
        <f>IF([1]Gas!K26="","",[1]Gas!K26)</f>
        <v>0</v>
      </c>
      <c r="G27" s="48">
        <f>IF([1]Gas!M26="","",[1]Gas!M26)</f>
        <v>154839.99999999651</v>
      </c>
      <c r="H27" s="48">
        <f>IF([1]Gas!Q26="","",[1]Gas!Q26)</f>
        <v>99000</v>
      </c>
      <c r="I27" s="48">
        <f>IF([1]Gas!S26="","",[1]Gas!S26)</f>
        <v>945000</v>
      </c>
      <c r="J27" s="48" t="str">
        <f>IF([1]Gas!U26="","",[1]Gas!U26)</f>
        <v/>
      </c>
      <c r="K27" s="939">
        <f>IF([1]Digesters!AE26="","",[1]Digesters!AE26)</f>
        <v>122</v>
      </c>
      <c r="N27" t="s">
        <v>62</v>
      </c>
    </row>
    <row r="28" spans="1:15" x14ac:dyDescent="0.2">
      <c r="A28" s="941">
        <v>24</v>
      </c>
      <c r="B28" s="944">
        <f>IF([1]Gas!C27="","",[1]Gas!C27)</f>
        <v>477267</v>
      </c>
      <c r="C28" s="48">
        <f>IF([1]Gas!E27="","",[1]Gas!E27)</f>
        <v>194926</v>
      </c>
      <c r="D28" s="48">
        <f>IF([1]Gas!G27="","",[1]Gas!G27)</f>
        <v>0</v>
      </c>
      <c r="E28" s="48">
        <f>IF([1]Gas!I27="","",[1]Gas!I27)</f>
        <v>177780</v>
      </c>
      <c r="F28" s="48">
        <f>IF([1]Gas!K27="","",[1]Gas!K27)</f>
        <v>0</v>
      </c>
      <c r="G28" s="48">
        <f>IF([1]Gas!M27="","",[1]Gas!M27)</f>
        <v>182910.00000000349</v>
      </c>
      <c r="H28" s="48">
        <f>IF([1]Gas!Q27="","",[1]Gas!Q27)</f>
        <v>91500</v>
      </c>
      <c r="I28" s="48">
        <f>IF([1]Gas!S27="","",[1]Gas!S27)</f>
        <v>966000</v>
      </c>
      <c r="J28" s="48" t="str">
        <f>IF([1]Gas!U27="","",[1]Gas!U27)</f>
        <v/>
      </c>
      <c r="K28" s="939">
        <f>IF([1]Digesters!AE27="","",[1]Digesters!AE27)</f>
        <v>117</v>
      </c>
    </row>
    <row r="29" spans="1:15" x14ac:dyDescent="0.2">
      <c r="A29" s="941">
        <v>25</v>
      </c>
      <c r="B29" s="944">
        <f>IF([1]Gas!C28="","",[1]Gas!C28)</f>
        <v>621824</v>
      </c>
      <c r="C29" s="48">
        <f>IF([1]Gas!E28="","",[1]Gas!E28)</f>
        <v>194778</v>
      </c>
      <c r="D29" s="48">
        <f>IF([1]Gas!G28="","",[1]Gas!G28)</f>
        <v>0</v>
      </c>
      <c r="E29" s="48">
        <f>IF([1]Gas!I28="","",[1]Gas!I28)</f>
        <v>186462</v>
      </c>
      <c r="F29" s="48">
        <f>IF([1]Gas!K28="","",[1]Gas!K28)</f>
        <v>0</v>
      </c>
      <c r="G29" s="48">
        <f>IF([1]Gas!M28="","",[1]Gas!M28)</f>
        <v>210429.99999999302</v>
      </c>
      <c r="H29" s="48">
        <f>IF([1]Gas!Q28="","",[1]Gas!Q28)</f>
        <v>142300.00000004657</v>
      </c>
      <c r="I29" s="48">
        <f>IF([1]Gas!S28="","",[1]Gas!S28)</f>
        <v>863000</v>
      </c>
      <c r="J29" s="48" t="str">
        <f>IF([1]Gas!U28="","",[1]Gas!U28)</f>
        <v/>
      </c>
      <c r="K29" s="939">
        <f>IF([1]Digesters!AE28="","",[1]Digesters!AE28)</f>
        <v>127</v>
      </c>
    </row>
    <row r="30" spans="1:15" x14ac:dyDescent="0.2">
      <c r="A30" s="941">
        <v>26</v>
      </c>
      <c r="B30" s="944">
        <f>IF([1]Gas!C29="","",[1]Gas!C29)</f>
        <v>460314</v>
      </c>
      <c r="C30" s="48">
        <f>IF([1]Gas!E29="","",[1]Gas!E29)</f>
        <v>196852</v>
      </c>
      <c r="D30" s="48">
        <f>IF([1]Gas!G29="","",[1]Gas!G29)</f>
        <v>0</v>
      </c>
      <c r="E30" s="48">
        <f>IF([1]Gas!I29="","",[1]Gas!I29)</f>
        <v>156316</v>
      </c>
      <c r="F30" s="48">
        <f>IF([1]Gas!K29="","",[1]Gas!K29)</f>
        <v>0</v>
      </c>
      <c r="G30" s="48">
        <f>IF([1]Gas!M29="","",[1]Gas!M29)</f>
        <v>159729.99999999593</v>
      </c>
      <c r="H30" s="48">
        <f>IF([1]Gas!Q29="","",[1]Gas!Q29)</f>
        <v>97299.999999988358</v>
      </c>
      <c r="I30" s="48">
        <f>IF([1]Gas!S29="","",[1]Gas!S29)</f>
        <v>826000</v>
      </c>
      <c r="J30" s="48" t="str">
        <f>IF([1]Gas!U29="","",[1]Gas!U29)</f>
        <v/>
      </c>
      <c r="K30" s="939">
        <f>IF([1]Digesters!AE29="","",[1]Digesters!AE29)</f>
        <v>113</v>
      </c>
    </row>
    <row r="31" spans="1:15" x14ac:dyDescent="0.2">
      <c r="A31" s="941">
        <v>27</v>
      </c>
      <c r="B31" s="944">
        <f>IF([1]Gas!C30="","",[1]Gas!C30)</f>
        <v>706858</v>
      </c>
      <c r="C31" s="48">
        <f>IF([1]Gas!E30="","",[1]Gas!E30)</f>
        <v>233384</v>
      </c>
      <c r="D31" s="48">
        <f>IF([1]Gas!G30="","",[1]Gas!G30)</f>
        <v>0</v>
      </c>
      <c r="E31" s="48">
        <f>IF([1]Gas!I30="","",[1]Gas!I30)</f>
        <v>178542</v>
      </c>
      <c r="F31" s="48">
        <f>IF([1]Gas!K30="","",[1]Gas!K30)</f>
        <v>0</v>
      </c>
      <c r="G31" s="48">
        <f>IF([1]Gas!M30="","",[1]Gas!M30)</f>
        <v>252090.00000001106</v>
      </c>
      <c r="H31" s="48">
        <f>IF([1]Gas!Q30="","",[1]Gas!Q30)</f>
        <v>150799.99999998836</v>
      </c>
      <c r="I31" s="48">
        <f>IF([1]Gas!S30="","",[1]Gas!S30)</f>
        <v>997000</v>
      </c>
      <c r="J31" s="48" t="str">
        <f>IF([1]Gas!U30="","",[1]Gas!U30)</f>
        <v/>
      </c>
      <c r="K31" s="939">
        <f>IF([1]Digesters!AE30="","",[1]Digesters!AE30)</f>
        <v>116</v>
      </c>
    </row>
    <row r="32" spans="1:15" x14ac:dyDescent="0.2">
      <c r="A32" s="941">
        <v>28</v>
      </c>
      <c r="B32" s="944">
        <f>IF([1]Gas!C31="","",[1]Gas!C31)</f>
        <v>444783</v>
      </c>
      <c r="C32" s="48">
        <f>IF([1]Gas!E31="","",[1]Gas!E31)</f>
        <v>70000</v>
      </c>
      <c r="D32" s="48">
        <f>IF([1]Gas!G31="","",[1]Gas!G31)</f>
        <v>0</v>
      </c>
      <c r="E32" s="48">
        <f>IF([1]Gas!I31="","",[1]Gas!I31)</f>
        <v>233833</v>
      </c>
      <c r="F32" s="48">
        <f>IF([1]Gas!K31="","",[1]Gas!K31)</f>
        <v>0</v>
      </c>
      <c r="G32" s="48">
        <f>IF([1]Gas!M31="","",[1]Gas!M31)</f>
        <v>149110.00000000058</v>
      </c>
      <c r="H32" s="48">
        <f>IF([1]Gas!Q31="","",[1]Gas!Q31)</f>
        <v>73200.000000011642</v>
      </c>
      <c r="I32" s="48">
        <f>IF([1]Gas!S31="","",[1]Gas!S31)</f>
        <v>844000</v>
      </c>
      <c r="J32" s="48" t="str">
        <f>IF([1]Gas!U31="","",[1]Gas!U31)</f>
        <v/>
      </c>
      <c r="K32" s="939">
        <f>IF([1]Digesters!AE31="","",[1]Digesters!AE31)</f>
        <v>130</v>
      </c>
    </row>
    <row r="33" spans="1:21" x14ac:dyDescent="0.2">
      <c r="A33" s="941">
        <v>29</v>
      </c>
      <c r="B33" s="944">
        <f>IF([1]Gas!C32="","",[1]Gas!C32)</f>
        <v>552783</v>
      </c>
      <c r="C33" s="48">
        <f>IF([1]Gas!E32="","",[1]Gas!E32)</f>
        <v>158330</v>
      </c>
      <c r="D33" s="48">
        <f>IF([1]Gas!G32="","",[1]Gas!G32)</f>
        <v>0</v>
      </c>
      <c r="E33" s="48">
        <f>IF([1]Gas!I32="","",[1]Gas!I32)</f>
        <v>177581</v>
      </c>
      <c r="F33" s="48">
        <f>IF([1]Gas!K32="","",[1]Gas!K32)</f>
        <v>0</v>
      </c>
      <c r="G33" s="48">
        <f>IF([1]Gas!M32="","",[1]Gas!M32)</f>
        <v>212029.99999999884</v>
      </c>
      <c r="H33" s="48">
        <f>IF([1]Gas!Q32="","",[1]Gas!Q32)</f>
        <v>67200.000000011642</v>
      </c>
      <c r="I33" s="48">
        <f>IF([1]Gas!S32="","",[1]Gas!S32)</f>
        <v>860000</v>
      </c>
      <c r="J33" s="48" t="str">
        <f>IF([1]Gas!U32="","",[1]Gas!U32)</f>
        <v/>
      </c>
      <c r="K33" s="939">
        <f>IF([1]Digesters!AE32="","",[1]Digesters!AE32)</f>
        <v>186</v>
      </c>
    </row>
    <row r="34" spans="1:21" x14ac:dyDescent="0.2">
      <c r="A34" s="941">
        <v>30</v>
      </c>
      <c r="B34" s="944">
        <f>IF([1]Gas!C33="","",[1]Gas!C33)</f>
        <v>596588</v>
      </c>
      <c r="C34" s="48">
        <f>IF([1]Gas!E33="","",[1]Gas!E33)</f>
        <v>160630</v>
      </c>
      <c r="D34" s="48">
        <f>IF([1]Gas!G33="","",[1]Gas!G33)</f>
        <v>59459</v>
      </c>
      <c r="E34" s="48">
        <f>IF([1]Gas!I33="","",[1]Gas!I33)</f>
        <v>202924</v>
      </c>
      <c r="F34" s="48">
        <f>IF([1]Gas!K33="","",[1]Gas!K33)</f>
        <v>0</v>
      </c>
      <c r="G34" s="48">
        <f>IF([1]Gas!M33="","",[1]Gas!M33)</f>
        <v>129009.99999999476</v>
      </c>
      <c r="H34" s="48">
        <f>IF([1]Gas!Q33="","",[1]Gas!Q33)</f>
        <v>118699.99999995343</v>
      </c>
      <c r="I34" s="48">
        <f>IF([1]Gas!S33="","",[1]Gas!S33)</f>
        <v>791000</v>
      </c>
      <c r="J34" s="48" t="str">
        <f>IF([1]Gas!U33="","",[1]Gas!U33)</f>
        <v/>
      </c>
      <c r="K34" s="939">
        <f>IF([1]Digesters!AE33="","",[1]Digesters!AE33)</f>
        <v>223</v>
      </c>
    </row>
    <row r="35" spans="1:21" ht="13.5" thickBot="1" x14ac:dyDescent="0.25">
      <c r="A35" s="941">
        <v>31</v>
      </c>
      <c r="B35" s="944">
        <f>IF([1]Gas!C34="","",[1]Gas!C34)</f>
        <v>457826</v>
      </c>
      <c r="C35" s="48">
        <f>IF([1]Gas!E34="","",[1]Gas!E34)</f>
        <v>0</v>
      </c>
      <c r="D35" s="48">
        <f>IF([1]Gas!G34="","",[1]Gas!G34)</f>
        <v>163301</v>
      </c>
      <c r="E35" s="48">
        <f>IF([1]Gas!I34="","",[1]Gas!I34)</f>
        <v>172082</v>
      </c>
      <c r="F35" s="48">
        <f>IF([1]Gas!K34="","",[1]Gas!K34)</f>
        <v>0</v>
      </c>
      <c r="G35" s="48">
        <f>IF([1]Gas!M34="","",[1]Gas!M34)</f>
        <v>73960.000000006403</v>
      </c>
      <c r="H35" s="48">
        <f>IF([1]Gas!Q34="","",[1]Gas!Q34)</f>
        <v>70000</v>
      </c>
      <c r="I35" s="48">
        <f>IF([1]Gas!S34="","",[1]Gas!S34)</f>
        <v>985000</v>
      </c>
      <c r="J35" s="48" t="str">
        <f>IF([1]Gas!U34="","",[1]Gas!U34)</f>
        <v/>
      </c>
      <c r="K35" s="939">
        <f>IF([1]Digesters!AE34="","",[1]Digesters!AE34)</f>
        <v>154</v>
      </c>
    </row>
    <row r="36" spans="1:21" x14ac:dyDescent="0.2">
      <c r="A36" s="957" t="s">
        <v>539</v>
      </c>
      <c r="B36" s="954">
        <f t="shared" ref="B36:K36" si="0">MAX(B5:B35)</f>
        <v>1301883</v>
      </c>
      <c r="C36" s="937">
        <f t="shared" si="0"/>
        <v>600110</v>
      </c>
      <c r="D36" s="948">
        <f t="shared" si="0"/>
        <v>235027</v>
      </c>
      <c r="E36" s="948">
        <f t="shared" si="0"/>
        <v>239647</v>
      </c>
      <c r="F36" s="937">
        <f t="shared" si="0"/>
        <v>0</v>
      </c>
      <c r="G36" s="948">
        <f t="shared" si="0"/>
        <v>274000.00000000728</v>
      </c>
      <c r="H36" s="948">
        <f t="shared" si="0"/>
        <v>518300.00000004657</v>
      </c>
      <c r="I36" s="948">
        <f t="shared" si="0"/>
        <v>997000</v>
      </c>
      <c r="J36" s="937">
        <f t="shared" si="0"/>
        <v>0</v>
      </c>
      <c r="K36" s="949">
        <f t="shared" si="0"/>
        <v>223</v>
      </c>
      <c r="N36" t="s">
        <v>47</v>
      </c>
    </row>
    <row r="37" spans="1:21" hidden="1" x14ac:dyDescent="0.2">
      <c r="A37" s="941" t="s">
        <v>591</v>
      </c>
      <c r="B37" s="955"/>
      <c r="C37" s="48"/>
      <c r="D37" s="946"/>
      <c r="E37" s="946"/>
      <c r="F37" s="48"/>
      <c r="G37" s="946"/>
      <c r="H37" s="946"/>
      <c r="I37" s="946"/>
      <c r="J37" s="48"/>
      <c r="K37" s="939"/>
    </row>
    <row r="38" spans="1:21" x14ac:dyDescent="0.2">
      <c r="A38" s="941" t="s">
        <v>590</v>
      </c>
      <c r="B38" s="955">
        <f>MIN(B5:B35)</f>
        <v>-22810</v>
      </c>
      <c r="C38" s="48">
        <f t="shared" ref="C38:K38" si="1">MIN(C5:C35)</f>
        <v>0</v>
      </c>
      <c r="D38" s="946">
        <f t="shared" si="1"/>
        <v>0</v>
      </c>
      <c r="E38" s="946">
        <f t="shared" si="1"/>
        <v>148959</v>
      </c>
      <c r="F38" s="48">
        <f t="shared" si="1"/>
        <v>0</v>
      </c>
      <c r="G38" s="946">
        <f>MIN(G5:G35)</f>
        <v>0</v>
      </c>
      <c r="H38" s="946">
        <f t="shared" si="1"/>
        <v>46599.999999976717</v>
      </c>
      <c r="I38" s="946">
        <f>MIN(I5:I35)</f>
        <v>537000</v>
      </c>
      <c r="J38" s="48">
        <f t="shared" si="1"/>
        <v>0</v>
      </c>
      <c r="K38" s="939">
        <f t="shared" si="1"/>
        <v>3</v>
      </c>
    </row>
    <row r="39" spans="1:21" x14ac:dyDescent="0.2">
      <c r="A39" s="941" t="s">
        <v>592</v>
      </c>
      <c r="B39" s="955">
        <f>[1]Gas!B39</f>
        <v>17788089</v>
      </c>
      <c r="C39" s="946">
        <f>[1]Gas!D39</f>
        <v>5346038</v>
      </c>
      <c r="D39" s="946">
        <f>[1]Gas!F39</f>
        <v>1735879</v>
      </c>
      <c r="E39" s="946">
        <f>[1]Gas!H39</f>
        <v>5763326</v>
      </c>
      <c r="F39" s="946">
        <f>[1]Gas!J39</f>
        <v>0</v>
      </c>
      <c r="G39" s="946">
        <f>[1]Gas!L39</f>
        <v>4855360.0000000075</v>
      </c>
      <c r="H39" s="946">
        <f>[1]Gas!P39</f>
        <v>6926899.9999999646</v>
      </c>
      <c r="I39" s="946">
        <f>[1]Gas!R39</f>
        <v>25249000</v>
      </c>
      <c r="J39" s="946">
        <f>[1]Gas!$T$39</f>
        <v>0</v>
      </c>
      <c r="K39" s="950">
        <f>[1]Digesters!$AE$38</f>
        <v>3689</v>
      </c>
      <c r="Q39" s="1668" t="s">
        <v>730</v>
      </c>
      <c r="R39" s="1668"/>
      <c r="S39" s="1668"/>
      <c r="T39" s="1668"/>
      <c r="U39" s="1668"/>
    </row>
    <row r="40" spans="1:21" ht="13.5" thickBot="1" x14ac:dyDescent="0.25">
      <c r="A40" s="942" t="s">
        <v>538</v>
      </c>
      <c r="B40" s="956">
        <f>[1]Gas!$C$35</f>
        <v>0</v>
      </c>
      <c r="C40" s="952">
        <f>[1]Gas!$E$35</f>
        <v>0</v>
      </c>
      <c r="D40" s="951">
        <f>[1]Gas!$G$35</f>
        <v>0</v>
      </c>
      <c r="E40" s="951">
        <f>[1]Gas!$I$35</f>
        <v>0</v>
      </c>
      <c r="F40" s="952">
        <f>[1]Gas!$K$35</f>
        <v>0</v>
      </c>
      <c r="G40" s="951">
        <f>[1]Gas!$M$35</f>
        <v>0</v>
      </c>
      <c r="H40" s="951">
        <f>[1]Gas!$Q$35</f>
        <v>0</v>
      </c>
      <c r="I40" s="951">
        <f>[1]Gas!$S$35</f>
        <v>0</v>
      </c>
      <c r="J40" s="952">
        <f>[1]Gas!$U$35</f>
        <v>0</v>
      </c>
      <c r="K40" s="953">
        <f>[1]Digesters!$AE$43</f>
        <v>119</v>
      </c>
      <c r="Q40" s="1668"/>
      <c r="R40" s="1668"/>
      <c r="S40" s="1668"/>
      <c r="T40" s="1668"/>
      <c r="U40" s="1668"/>
    </row>
    <row r="41" spans="1:21" s="131" customFormat="1" x14ac:dyDescent="0.2">
      <c r="A41" s="945"/>
      <c r="B41" s="245"/>
      <c r="Q41" s="1668"/>
      <c r="R41" s="1668"/>
      <c r="S41" s="1668"/>
      <c r="T41" s="1668"/>
      <c r="U41" s="1668"/>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40" zoomScaleNormal="40" zoomScaleSheetLayoutView="25" workbookViewId="0">
      <selection activeCell="E29" sqref="E29"/>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6" t="s">
        <v>550</v>
      </c>
      <c r="B2" s="1670" t="s">
        <v>657</v>
      </c>
      <c r="C2" s="1670"/>
      <c r="D2" s="1670"/>
      <c r="E2" s="1670"/>
      <c r="F2" s="1671"/>
      <c r="G2" s="1669" t="s">
        <v>658</v>
      </c>
      <c r="H2" s="1669"/>
      <c r="I2" s="1669"/>
      <c r="J2" s="431" t="s">
        <v>659</v>
      </c>
      <c r="K2" s="432"/>
      <c r="L2" s="433"/>
      <c r="M2" s="434"/>
      <c r="N2" s="435"/>
      <c r="O2" s="434"/>
      <c r="P2" s="436" t="s">
        <v>660</v>
      </c>
      <c r="Q2" s="437"/>
      <c r="R2" s="437"/>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6">
        <f>IF(date!B6="","",date!B6)</f>
        <v>43466</v>
      </c>
      <c r="B3" s="438" t="s">
        <v>661</v>
      </c>
      <c r="C3" s="439" t="s">
        <v>619</v>
      </c>
      <c r="D3" s="440" t="s">
        <v>662</v>
      </c>
      <c r="E3" s="440" t="s">
        <v>506</v>
      </c>
      <c r="F3" s="439" t="s">
        <v>610</v>
      </c>
      <c r="G3" s="441" t="s">
        <v>663</v>
      </c>
      <c r="H3" s="439" t="s">
        <v>610</v>
      </c>
      <c r="I3" s="442" t="s">
        <v>506</v>
      </c>
      <c r="J3" s="443" t="s">
        <v>664</v>
      </c>
      <c r="K3" s="441" t="s">
        <v>506</v>
      </c>
      <c r="L3" s="441" t="s">
        <v>665</v>
      </c>
      <c r="M3" s="441" t="s">
        <v>666</v>
      </c>
      <c r="N3" s="439" t="s">
        <v>506</v>
      </c>
      <c r="O3" s="441" t="s">
        <v>666</v>
      </c>
      <c r="P3" s="442" t="s">
        <v>589</v>
      </c>
      <c r="Q3" s="442" t="s">
        <v>109</v>
      </c>
      <c r="R3" s="444" t="s">
        <v>109</v>
      </c>
      <c r="S3" s="28"/>
      <c r="T3" s="28"/>
      <c r="U3" s="1009" t="s">
        <v>667</v>
      </c>
      <c r="V3" s="1010"/>
      <c r="W3" s="1010"/>
      <c r="X3" s="1011"/>
      <c r="Y3" s="99" t="s">
        <v>668</v>
      </c>
      <c r="Z3" s="99"/>
      <c r="AA3" s="99"/>
      <c r="AB3" s="99"/>
    </row>
    <row r="4" spans="1:99" ht="27.75" thickBot="1" x14ac:dyDescent="0.4">
      <c r="A4" s="795">
        <f>IF(date!B6="","",date!B6)</f>
        <v>43466</v>
      </c>
      <c r="B4" s="322" t="s">
        <v>616</v>
      </c>
      <c r="C4" s="969" t="s">
        <v>669</v>
      </c>
      <c r="D4" s="322" t="s">
        <v>628</v>
      </c>
      <c r="E4" s="322" t="s">
        <v>615</v>
      </c>
      <c r="F4" s="969" t="s">
        <v>614</v>
      </c>
      <c r="G4" s="970" t="s">
        <v>670</v>
      </c>
      <c r="H4" s="969" t="s">
        <v>614</v>
      </c>
      <c r="I4" s="971" t="s">
        <v>671</v>
      </c>
      <c r="J4" s="970" t="s">
        <v>672</v>
      </c>
      <c r="K4" s="970" t="s">
        <v>615</v>
      </c>
      <c r="L4" s="970" t="s">
        <v>672</v>
      </c>
      <c r="M4" s="970" t="s">
        <v>664</v>
      </c>
      <c r="N4" s="969" t="s">
        <v>615</v>
      </c>
      <c r="O4" s="970" t="s">
        <v>665</v>
      </c>
      <c r="P4" s="971" t="s">
        <v>673</v>
      </c>
      <c r="Q4" s="971" t="s">
        <v>110</v>
      </c>
      <c r="R4" s="972" t="s">
        <v>111</v>
      </c>
      <c r="S4" s="28"/>
      <c r="T4" s="28"/>
      <c r="U4" s="1008" t="s">
        <v>554</v>
      </c>
      <c r="V4" s="1008" t="s">
        <v>555</v>
      </c>
      <c r="W4" s="1008" t="s">
        <v>556</v>
      </c>
      <c r="X4" s="1008" t="s">
        <v>557</v>
      </c>
      <c r="Y4" s="1008" t="s">
        <v>554</v>
      </c>
      <c r="Z4" s="1008" t="s">
        <v>555</v>
      </c>
      <c r="AA4" s="1008" t="s">
        <v>556</v>
      </c>
      <c r="AB4" s="1008" t="s">
        <v>557</v>
      </c>
    </row>
    <row r="5" spans="1:99" ht="27.75" x14ac:dyDescent="0.4">
      <c r="A5" s="988">
        <v>1</v>
      </c>
      <c r="B5" s="986">
        <f t="shared" ref="B5:B6" si="0">IF(SUM(Y5:AB5)=0,"",SUM(Y5:AB5))</f>
        <v>3</v>
      </c>
      <c r="C5" s="977">
        <f>IF(SUM([1]SLPR!M4:P4)=0,"",SUM([1]SLPR!M4:P4))</f>
        <v>32.6</v>
      </c>
      <c r="D5" s="978">
        <f>IF(OR([1]SLPR!Q4="",[1]SLPR!R4="",[1]SLPR!F4=""),"",([1]SLPR!Q4*10-[1]SLPR!R4*1-[1]SLPR!F4*10)/1000)</f>
        <v>337.55079999999998</v>
      </c>
      <c r="E5" s="979">
        <f>IF([1]BP_Lab!B4="","",[1]BP_Lab!B4)</f>
        <v>2.11</v>
      </c>
      <c r="F5" s="991">
        <f t="shared" ref="F5:F6" si="1">IF(OR(D5="",E5=""),"",D5*10*E5*8.34/2000)</f>
        <v>29.700082239599997</v>
      </c>
      <c r="G5" s="997">
        <f>IF([2]BP_GB!D4,[2]BP_GB!D4,"")</f>
        <v>0.16</v>
      </c>
      <c r="H5" s="977">
        <f t="shared" ref="H5:H6" si="2">IF(OR(F5="",I5=""),"",F5-(F5*(I5/100)))</f>
        <v>2.2521389376000016</v>
      </c>
      <c r="I5" s="980">
        <f t="shared" ref="I5:I6" si="3">IF(OR(E5="",G5=""),"",((E5-G5)/E5)*(100))</f>
        <v>92.417061611374407</v>
      </c>
      <c r="J5" s="994">
        <f>IF([1]Sldg_Wgt!E4="","",[1]Sldg_Wgt!E4)</f>
        <v>136.29</v>
      </c>
      <c r="K5" s="979">
        <f>IF([1]BP_Lab!D4="","",[1]BP_Lab!D4)</f>
        <v>19.88</v>
      </c>
      <c r="L5" s="979">
        <f>IF(J5="","",IF([1]BP_Lab!D4,J5*K5/100,J5*$K$40/100))</f>
        <v>27.094451999999997</v>
      </c>
      <c r="M5" s="979">
        <f>[1]Sldg_Wgt!F4</f>
        <v>4</v>
      </c>
      <c r="N5" s="977"/>
      <c r="O5" s="1000">
        <f t="shared" ref="O5:O6" si="4">IF(N5,N5*M5/100,$N$40*M5/100)</f>
        <v>0</v>
      </c>
      <c r="P5" s="1003">
        <f>IF([1]SLPR!R4="","",[1]SLPR!R4*1*0.006*8.34)</f>
        <v>384.60744</v>
      </c>
      <c r="Q5" s="978">
        <f t="shared" ref="Q5:Q6" si="5">IF(OR(P5="",F5="",F5=0),"",P5/F5)</f>
        <v>12.949709596668777</v>
      </c>
      <c r="R5" s="980">
        <f t="shared" ref="R5:R6" si="6">IF(OR(P5="",L5="",L5=0),"",P5/L5)</f>
        <v>14.195062516857696</v>
      </c>
      <c r="U5" s="99">
        <f>IF([1]SLPR!G4="","",[1]SLPR!G4)</f>
        <v>24.3</v>
      </c>
      <c r="V5" s="99">
        <f>IF([1]SLPR!H4="","",[1]SLPR!H4)</f>
        <v>19.8</v>
      </c>
      <c r="W5" s="99">
        <f>IF([1]SLPR!I4="","",[1]SLPR!I4)</f>
        <v>19.8</v>
      </c>
      <c r="X5" s="99">
        <f>IF([1]SLPR!J4="","",[1]SLPR!J4)</f>
        <v>0</v>
      </c>
      <c r="Y5" s="99">
        <f t="shared" ref="Y5:Y6" si="7">IF(U5="","",IF(U5,1,0))</f>
        <v>1</v>
      </c>
      <c r="Z5" s="99">
        <f t="shared" ref="Z5:AB6" si="8">IF(V5="","",IF(V5,1,0))</f>
        <v>1</v>
      </c>
      <c r="AA5" s="99">
        <f t="shared" si="8"/>
        <v>1</v>
      </c>
      <c r="AB5" s="99">
        <f t="shared" si="8"/>
        <v>0</v>
      </c>
      <c r="AH5" s="185" t="s">
        <v>108</v>
      </c>
      <c r="AI5" s="185" t="s">
        <v>107</v>
      </c>
      <c r="AJ5" s="185" t="s">
        <v>114</v>
      </c>
      <c r="AK5" s="199" t="s">
        <v>106</v>
      </c>
    </row>
    <row r="6" spans="1:99" ht="27.75" x14ac:dyDescent="0.4">
      <c r="A6" s="989">
        <v>2</v>
      </c>
      <c r="B6" s="987">
        <f t="shared" si="0"/>
        <v>3</v>
      </c>
      <c r="C6" s="974">
        <f>IF(SUM([1]SLPR!M5:P5)=0,"",SUM([1]SLPR!M5:P5))</f>
        <v>68.099999999999994</v>
      </c>
      <c r="D6" s="975">
        <f>IF(OR([1]SLPR!Q5="",[1]SLPR!R5="",[1]SLPR!F5=""),"",([1]SLPR!Q5*10-[1]SLPR!R5*1-[1]SLPR!F5*10)/1000)</f>
        <v>671.59900000000005</v>
      </c>
      <c r="E6" s="976">
        <f>IF([1]BP_Lab!B5="","",[1]BP_Lab!B5)</f>
        <v>1.98</v>
      </c>
      <c r="F6" s="992">
        <f t="shared" si="1"/>
        <v>55.451243034000008</v>
      </c>
      <c r="G6" s="998" t="str">
        <f>IF([2]BP_GB!D5,[2]BP_GB!D5,"")</f>
        <v/>
      </c>
      <c r="H6" s="974" t="str">
        <f t="shared" si="2"/>
        <v/>
      </c>
      <c r="I6" s="981" t="str">
        <f t="shared" si="3"/>
        <v/>
      </c>
      <c r="J6" s="995">
        <f>IF([1]Sldg_Wgt!E5="","",[1]Sldg_Wgt!E5)</f>
        <v>273.09000000000003</v>
      </c>
      <c r="K6" s="976">
        <f>IF([1]BP_Lab!D5="","",[1]BP_Lab!D5)</f>
        <v>19.38</v>
      </c>
      <c r="L6" s="976">
        <f>IF(J6="","",IF([1]BP_Lab!D5,J6*K6/100,J6*$K$40/100))</f>
        <v>52.924842000000005</v>
      </c>
      <c r="M6" s="976">
        <f>[1]Sldg_Wgt!F5</f>
        <v>8</v>
      </c>
      <c r="N6" s="974"/>
      <c r="O6" s="1001">
        <f t="shared" si="4"/>
        <v>0</v>
      </c>
      <c r="P6" s="1004">
        <f>IF([1]SLPR!R5="","",[1]SLPR!R5*1*0.006*8.34)</f>
        <v>762.70967999999993</v>
      </c>
      <c r="Q6" s="975">
        <f t="shared" si="5"/>
        <v>13.754600226587227</v>
      </c>
      <c r="R6" s="981">
        <f t="shared" si="6"/>
        <v>14.41118482696651</v>
      </c>
      <c r="U6" s="99">
        <f>IF([1]SLPR!G5="","",[1]SLPR!G5)</f>
        <v>23.9</v>
      </c>
      <c r="V6" s="99">
        <f>IF([1]SLPR!H5="","",[1]SLPR!H5)</f>
        <v>23.9</v>
      </c>
      <c r="W6" s="99">
        <f>IF([1]SLPR!I5="","",[1]SLPR!I5)</f>
        <v>23.2</v>
      </c>
      <c r="X6" s="99">
        <f>IF([1]SLPR!J5="","",[1]SLPR!J5)</f>
        <v>0</v>
      </c>
      <c r="Y6" s="99">
        <f t="shared" si="7"/>
        <v>1</v>
      </c>
      <c r="Z6" s="99">
        <f t="shared" si="8"/>
        <v>1</v>
      </c>
      <c r="AA6" s="99">
        <f t="shared" si="8"/>
        <v>1</v>
      </c>
      <c r="AB6" s="99">
        <f t="shared" si="8"/>
        <v>0</v>
      </c>
    </row>
    <row r="7" spans="1:99" ht="27.75" x14ac:dyDescent="0.4">
      <c r="A7" s="989">
        <v>3</v>
      </c>
      <c r="B7" s="987">
        <f t="shared" ref="B7:B33" si="9">IF(SUM(Y7:AB7)=0,"",SUM(Y7:AB7))</f>
        <v>3</v>
      </c>
      <c r="C7" s="974">
        <f>IF(SUM([1]SLPR!M6:P6)=0,"",SUM([1]SLPR!M6:P6))</f>
        <v>63.300000000000004</v>
      </c>
      <c r="D7" s="975">
        <f>IF(OR([1]SLPR!Q6="",[1]SLPR!R6="",[1]SLPR!F6=""),"",([1]SLPR!Q6*10-[1]SLPR!R6*1-[1]SLPR!F6*10)/1000)</f>
        <v>698.24069999999995</v>
      </c>
      <c r="E7" s="976">
        <f>IF([1]BP_Lab!B6="","",[1]BP_Lab!B6)</f>
        <v>2.09</v>
      </c>
      <c r="F7" s="992">
        <f t="shared" ref="F7:F33" si="10">IF(OR(D7="",E7=""),"",D7*10*E7*8.34/2000)</f>
        <v>60.853771727099996</v>
      </c>
      <c r="G7" s="998" t="str">
        <f>IF([2]BP_GB!D6,[2]BP_GB!D6,"")</f>
        <v/>
      </c>
      <c r="H7" s="974" t="str">
        <f t="shared" ref="H7:H33" si="11">IF(OR(F7="",I7=""),"",F7-(F7*(I7/100)))</f>
        <v/>
      </c>
      <c r="I7" s="981" t="str">
        <f t="shared" ref="I7:I33" si="12">IF(OR(E7="",G7=""),"",((E7-G7)/E7)*(100))</f>
        <v/>
      </c>
      <c r="J7" s="995">
        <f>IF([1]Sldg_Wgt!E6="","",[1]Sldg_Wgt!E6)</f>
        <v>238.58</v>
      </c>
      <c r="K7" s="976">
        <f>IF([1]BP_Lab!D6="","",[1]BP_Lab!D6)</f>
        <v>19.37</v>
      </c>
      <c r="L7" s="976">
        <f>IF(J7="","",IF([1]BP_Lab!D6,J7*K7/100,J7*$K$40/100))</f>
        <v>46.212946000000002</v>
      </c>
      <c r="M7" s="976">
        <f>[1]Sldg_Wgt!F6</f>
        <v>7</v>
      </c>
      <c r="N7" s="974"/>
      <c r="O7" s="1001">
        <f t="shared" ref="O7:O33" si="13">IF(N7,N7*M7/100,$N$40*M7/100)</f>
        <v>0</v>
      </c>
      <c r="P7" s="1004">
        <f>IF([1]SLPR!R6="","",[1]SLPR!R6*1*0.006*8.34)</f>
        <v>719.82540000000006</v>
      </c>
      <c r="Q7" s="975">
        <f t="shared" ref="Q7:Q33" si="14">IF(OR(P7="",F7="",F7=0),"",P7/F7)</f>
        <v>11.828772146253678</v>
      </c>
      <c r="R7" s="981">
        <f t="shared" ref="R7:R33" si="15">IF(OR(P7="",L7="",L7=0),"",P7/L7)</f>
        <v>15.576271636090892</v>
      </c>
      <c r="U7" s="99">
        <f>IF([1]SLPR!G6="","",[1]SLPR!G6)</f>
        <v>23.9</v>
      </c>
      <c r="V7" s="99">
        <f>IF([1]SLPR!H6="","",[1]SLPR!H6)</f>
        <v>23.6</v>
      </c>
      <c r="W7" s="99">
        <f>IF([1]SLPR!I6="","",[1]SLPR!I6)</f>
        <v>23.6</v>
      </c>
      <c r="X7" s="99">
        <f>IF([1]SLPR!J6="","",[1]SLPR!J6)</f>
        <v>0</v>
      </c>
      <c r="Y7" s="99">
        <f t="shared" ref="Y7:Y34" si="16">IF(U7="","",IF(U7,1,0))</f>
        <v>1</v>
      </c>
      <c r="Z7" s="99">
        <f t="shared" ref="Z7:Z34" si="17">IF(V7="","",IF(V7,1,0))</f>
        <v>1</v>
      </c>
      <c r="AA7" s="99">
        <f t="shared" ref="AA7:AA34" si="18">IF(W7="","",IF(W7,1,0))</f>
        <v>1</v>
      </c>
      <c r="AB7" s="99">
        <f t="shared" ref="AB7:AB34" si="19">IF(X7="","",IF(X7,1,0))</f>
        <v>0</v>
      </c>
    </row>
    <row r="8" spans="1:99" ht="27.75" x14ac:dyDescent="0.4">
      <c r="A8" s="989">
        <v>4</v>
      </c>
      <c r="B8" s="987">
        <f t="shared" si="9"/>
        <v>4</v>
      </c>
      <c r="C8" s="974">
        <f>IF(SUM([1]SLPR!M7:P7)=0,"",SUM([1]SLPR!M7:P7))</f>
        <v>59.900000000000006</v>
      </c>
      <c r="D8" s="975">
        <f>IF(OR([1]SLPR!Q7="",[1]SLPR!R7="",[1]SLPR!F7=""),"",([1]SLPR!Q7*10-[1]SLPR!R7*1-[1]SLPR!F7*10)/1000)</f>
        <v>594.41700000000003</v>
      </c>
      <c r="E8" s="976">
        <f>IF([1]BP_Lab!B7="","",[1]BP_Lab!B7)</f>
        <v>2.0499999999999998</v>
      </c>
      <c r="F8" s="992">
        <f t="shared" si="10"/>
        <v>50.813737244999999</v>
      </c>
      <c r="G8" s="998" t="str">
        <f>IF([2]BP_GB!D7,[2]BP_GB!D7,"")</f>
        <v/>
      </c>
      <c r="H8" s="974" t="str">
        <f t="shared" si="11"/>
        <v/>
      </c>
      <c r="I8" s="981" t="str">
        <f t="shared" si="12"/>
        <v/>
      </c>
      <c r="J8" s="995">
        <f>IF([1]Sldg_Wgt!E7="","",[1]Sldg_Wgt!E7)</f>
        <v>236.81</v>
      </c>
      <c r="K8" s="976">
        <f>IF([1]BP_Lab!D7="","",[1]BP_Lab!D7)</f>
        <v>18.23</v>
      </c>
      <c r="L8" s="976">
        <f>IF(J8="","",IF([1]BP_Lab!D7,J8*K8/100,J8*$K$40/100))</f>
        <v>43.170462999999998</v>
      </c>
      <c r="M8" s="976">
        <f>[1]Sldg_Wgt!F7</f>
        <v>7</v>
      </c>
      <c r="N8" s="974"/>
      <c r="O8" s="1001">
        <f t="shared" si="13"/>
        <v>0</v>
      </c>
      <c r="P8" s="1004">
        <f>IF([1]SLPR!R7="","",[1]SLPR!R7*1*0.006*8.34)</f>
        <v>599.07888000000003</v>
      </c>
      <c r="Q8" s="975">
        <f t="shared" si="14"/>
        <v>11.789703188165884</v>
      </c>
      <c r="R8" s="981">
        <f t="shared" si="15"/>
        <v>13.877054781645498</v>
      </c>
      <c r="U8" s="99">
        <f>IF([1]SLPR!G7="","",[1]SLPR!G7)</f>
        <v>23.6</v>
      </c>
      <c r="V8" s="99">
        <f>IF([1]SLPR!H7="","",[1]SLPR!H7)</f>
        <v>22.8</v>
      </c>
      <c r="W8" s="99">
        <f>IF([1]SLPR!I7="","",[1]SLPR!I7)</f>
        <v>22.3</v>
      </c>
      <c r="X8" s="99">
        <f>IF([1]SLPR!J7="","",[1]SLPR!J7)</f>
        <v>8.5</v>
      </c>
      <c r="Y8" s="99">
        <f t="shared" si="16"/>
        <v>1</v>
      </c>
      <c r="Z8" s="99">
        <f t="shared" si="17"/>
        <v>1</v>
      </c>
      <c r="AA8" s="99">
        <f t="shared" si="18"/>
        <v>1</v>
      </c>
      <c r="AB8" s="99">
        <f t="shared" si="19"/>
        <v>1</v>
      </c>
    </row>
    <row r="9" spans="1:99" ht="27.75" x14ac:dyDescent="0.4">
      <c r="A9" s="989">
        <v>5</v>
      </c>
      <c r="B9" s="987">
        <f t="shared" si="9"/>
        <v>4</v>
      </c>
      <c r="C9" s="974">
        <f>IF(SUM([1]SLPR!M8:P8)=0,"",SUM([1]SLPR!M8:P8))</f>
        <v>69.400000000000006</v>
      </c>
      <c r="D9" s="975">
        <f>IF(OR([1]SLPR!Q8="",[1]SLPR!R8="",[1]SLPR!F8=""),"",([1]SLPR!Q8*10-[1]SLPR!R8*1-[1]SLPR!F8*10)/1000)</f>
        <v>651.9896</v>
      </c>
      <c r="E9" s="976">
        <f>IF([1]BP_Lab!B8="","",[1]BP_Lab!B8)</f>
        <v>2.04</v>
      </c>
      <c r="F9" s="992">
        <f t="shared" si="10"/>
        <v>55.463451292799995</v>
      </c>
      <c r="G9" s="998" t="str">
        <f>IF([2]BP_GB!D8,[2]BP_GB!D8,"")</f>
        <v/>
      </c>
      <c r="H9" s="974" t="str">
        <f t="shared" si="11"/>
        <v/>
      </c>
      <c r="I9" s="981" t="str">
        <f t="shared" si="12"/>
        <v/>
      </c>
      <c r="J9" s="995">
        <f>IF([1]Sldg_Wgt!E8="","",[1]Sldg_Wgt!E8)</f>
        <v>171.7</v>
      </c>
      <c r="K9" s="976">
        <f>IF([1]BP_Lab!D8="","",[1]BP_Lab!D8)</f>
        <v>20.09</v>
      </c>
      <c r="L9" s="976">
        <f>IF(J9="","",IF([1]BP_Lab!D8,J9*K9/100,J9*$K$40/100))</f>
        <v>34.494529999999997</v>
      </c>
      <c r="M9" s="976">
        <f>[1]Sldg_Wgt!F8</f>
        <v>5</v>
      </c>
      <c r="N9" s="974"/>
      <c r="O9" s="1001">
        <f t="shared" si="13"/>
        <v>0</v>
      </c>
      <c r="P9" s="1004">
        <f>IF([1]SLPR!R8="","",[1]SLPR!R8*1*0.006*8.34)</f>
        <v>680.64407999999992</v>
      </c>
      <c r="Q9" s="975">
        <f t="shared" si="14"/>
        <v>12.271938801766524</v>
      </c>
      <c r="R9" s="981">
        <f t="shared" si="15"/>
        <v>19.731942426813756</v>
      </c>
      <c r="U9" s="99">
        <f>IF([1]SLPR!G8="","",[1]SLPR!G8)</f>
        <v>23.6</v>
      </c>
      <c r="V9" s="99">
        <f>IF([1]SLPR!H8="","",[1]SLPR!H8)</f>
        <v>8.9</v>
      </c>
      <c r="W9" s="99">
        <f>IF([1]SLPR!I8="","",[1]SLPR!I8)</f>
        <v>23.4</v>
      </c>
      <c r="X9" s="99">
        <f>IF([1]SLPR!J8="","",[1]SLPR!J8)</f>
        <v>23.4</v>
      </c>
      <c r="Y9" s="99">
        <f t="shared" si="16"/>
        <v>1</v>
      </c>
      <c r="Z9" s="99">
        <f t="shared" si="17"/>
        <v>1</v>
      </c>
      <c r="AA9" s="99">
        <f t="shared" si="18"/>
        <v>1</v>
      </c>
      <c r="AB9" s="99">
        <f t="shared" si="19"/>
        <v>1</v>
      </c>
    </row>
    <row r="10" spans="1:99" ht="27.75" x14ac:dyDescent="0.4">
      <c r="A10" s="989">
        <v>6</v>
      </c>
      <c r="B10" s="987">
        <f t="shared" si="9"/>
        <v>3</v>
      </c>
      <c r="C10" s="974">
        <f>IF(SUM([1]SLPR!M9:P9)=0,"",SUM([1]SLPR!M9:P9))</f>
        <v>63.300000000000004</v>
      </c>
      <c r="D10" s="975">
        <f>IF(OR([1]SLPR!Q9="",[1]SLPR!R9="",[1]SLPR!F9=""),"",([1]SLPR!Q9*10-[1]SLPR!R9*1-[1]SLPR!F9*10)/1000)</f>
        <v>604.81269999999995</v>
      </c>
      <c r="E10" s="976">
        <f>IF([1]BP_Lab!B9="","",[1]BP_Lab!B9)</f>
        <v>1.96</v>
      </c>
      <c r="F10" s="992">
        <f t="shared" si="10"/>
        <v>49.432551596399996</v>
      </c>
      <c r="G10" s="998" t="str">
        <f>IF([2]BP_GB!D9,[2]BP_GB!D9,"")</f>
        <v/>
      </c>
      <c r="H10" s="974" t="str">
        <f t="shared" si="11"/>
        <v/>
      </c>
      <c r="I10" s="981" t="str">
        <f t="shared" si="12"/>
        <v/>
      </c>
      <c r="J10" s="995">
        <f>IF([1]Sldg_Wgt!E9="","",[1]Sldg_Wgt!E9)</f>
        <v>102.55000000000001</v>
      </c>
      <c r="K10" s="976">
        <f>IF([1]BP_Lab!D9="","",[1]BP_Lab!D9)</f>
        <v>18.440000000000001</v>
      </c>
      <c r="L10" s="976">
        <f>IF(J10="","",IF([1]BP_Lab!D9,J10*K10/100,J10*$K$40/100))</f>
        <v>18.910220000000002</v>
      </c>
      <c r="M10" s="976">
        <f>[1]Sldg_Wgt!F9</f>
        <v>3</v>
      </c>
      <c r="N10" s="974"/>
      <c r="O10" s="1001">
        <f t="shared" si="13"/>
        <v>0</v>
      </c>
      <c r="P10" s="1004">
        <f>IF([1]SLPR!R9="","",[1]SLPR!R9*1*0.006*8.34)</f>
        <v>631.15451999999993</v>
      </c>
      <c r="Q10" s="975">
        <f t="shared" si="14"/>
        <v>12.767993955747265</v>
      </c>
      <c r="R10" s="981">
        <f t="shared" si="15"/>
        <v>33.376371083995842</v>
      </c>
      <c r="U10" s="99">
        <f>IF([1]SLPR!G9="","",[1]SLPR!G9)</f>
        <v>22.2</v>
      </c>
      <c r="V10" s="99">
        <f>IF([1]SLPR!H9="","",[1]SLPR!H9)</f>
        <v>0</v>
      </c>
      <c r="W10" s="99">
        <f>IF([1]SLPR!I9="","",[1]SLPR!I9)</f>
        <v>22.4</v>
      </c>
      <c r="X10" s="99">
        <f>IF([1]SLPR!J9="","",[1]SLPR!J9)</f>
        <v>22.4</v>
      </c>
      <c r="Y10" s="99">
        <f t="shared" si="16"/>
        <v>1</v>
      </c>
      <c r="Z10" s="99">
        <f t="shared" si="17"/>
        <v>0</v>
      </c>
      <c r="AA10" s="99">
        <f t="shared" si="18"/>
        <v>1</v>
      </c>
      <c r="AB10" s="99">
        <f t="shared" si="19"/>
        <v>1</v>
      </c>
    </row>
    <row r="11" spans="1:99" ht="27.75" x14ac:dyDescent="0.4">
      <c r="A11" s="989">
        <v>7</v>
      </c>
      <c r="B11" s="987">
        <f t="shared" si="9"/>
        <v>3</v>
      </c>
      <c r="C11" s="974">
        <f>IF(SUM([1]SLPR!M10:P10)=0,"",SUM([1]SLPR!M10:P10))</f>
        <v>59.5</v>
      </c>
      <c r="D11" s="975">
        <f>IF(OR([1]SLPR!Q10="",[1]SLPR!R10="",[1]SLPR!F10=""),"",([1]SLPR!Q10*10-[1]SLPR!R10*1-[1]SLPR!F10*10)/1000)</f>
        <v>586.51690000000008</v>
      </c>
      <c r="E11" s="976">
        <f>IF([1]BP_Lab!B10="","",[1]BP_Lab!B10)</f>
        <v>1.81</v>
      </c>
      <c r="F11" s="992">
        <f t="shared" si="10"/>
        <v>44.268536061300004</v>
      </c>
      <c r="G11" s="998" t="str">
        <f>IF([2]BP_GB!D10,[2]BP_GB!D10,"")</f>
        <v/>
      </c>
      <c r="H11" s="974" t="str">
        <f t="shared" si="11"/>
        <v/>
      </c>
      <c r="I11" s="981" t="str">
        <f t="shared" si="12"/>
        <v/>
      </c>
      <c r="J11" s="995">
        <f>IF([1]Sldg_Wgt!E10="","",[1]Sldg_Wgt!E10)</f>
        <v>239.23000000000002</v>
      </c>
      <c r="K11" s="976">
        <f>IF([1]BP_Lab!D10="","",[1]BP_Lab!D10)</f>
        <v>19.21</v>
      </c>
      <c r="L11" s="976">
        <f>IF(J11="","",IF([1]BP_Lab!D10,J11*K11/100,J11*$K$40/100))</f>
        <v>45.956083000000007</v>
      </c>
      <c r="M11" s="976">
        <f>[1]Sldg_Wgt!F10</f>
        <v>7</v>
      </c>
      <c r="N11" s="974"/>
      <c r="O11" s="1001">
        <f t="shared" si="13"/>
        <v>0</v>
      </c>
      <c r="P11" s="1004">
        <f>IF([1]SLPR!R10="","",[1]SLPR!R10*1*0.006*8.34)</f>
        <v>678.69251999999994</v>
      </c>
      <c r="Q11" s="975">
        <f t="shared" si="14"/>
        <v>15.331261893553325</v>
      </c>
      <c r="R11" s="981">
        <f t="shared" si="15"/>
        <v>14.76828475568729</v>
      </c>
      <c r="U11" s="99">
        <f>IF([1]SLPR!G10="","",[1]SLPR!G10)</f>
        <v>19.899999999999999</v>
      </c>
      <c r="V11" s="99">
        <f>IF([1]SLPR!H10="","",[1]SLPR!H10)</f>
        <v>19.899999999999999</v>
      </c>
      <c r="W11" s="99">
        <f>IF([1]SLPR!I10="","",[1]SLPR!I10)</f>
        <v>19.899999999999999</v>
      </c>
      <c r="X11" s="99">
        <f>IF([1]SLPR!J10="","",[1]SLPR!J10)</f>
        <v>0</v>
      </c>
      <c r="Y11" s="99">
        <f t="shared" si="16"/>
        <v>1</v>
      </c>
      <c r="Z11" s="99">
        <f t="shared" si="17"/>
        <v>1</v>
      </c>
      <c r="AA11" s="99">
        <f t="shared" si="18"/>
        <v>1</v>
      </c>
      <c r="AB11" s="99">
        <f t="shared" si="19"/>
        <v>0</v>
      </c>
    </row>
    <row r="12" spans="1:99" ht="27.75" x14ac:dyDescent="0.4">
      <c r="A12" s="989">
        <v>8</v>
      </c>
      <c r="B12" s="987">
        <f t="shared" si="9"/>
        <v>3</v>
      </c>
      <c r="C12" s="974">
        <f>IF(SUM([1]SLPR!M11:P11)=0,"",SUM([1]SLPR!M11:P11))</f>
        <v>64.900000000000006</v>
      </c>
      <c r="D12" s="975">
        <f>IF(OR([1]SLPR!Q11="",[1]SLPR!R11="",[1]SLPR!F11=""),"",([1]SLPR!Q11*10-[1]SLPR!R11*1-[1]SLPR!F11*10)/1000)</f>
        <v>671.02980000000002</v>
      </c>
      <c r="E12" s="976">
        <f>IF([1]BP_Lab!B11="","",[1]BP_Lab!B11)</f>
        <v>1.83</v>
      </c>
      <c r="F12" s="992">
        <f t="shared" si="10"/>
        <v>51.20695506780001</v>
      </c>
      <c r="G12" s="998">
        <f>IF([2]BP_GB!D11,[2]BP_GB!D11,"")</f>
        <v>0.1</v>
      </c>
      <c r="H12" s="974">
        <f t="shared" si="11"/>
        <v>2.798194266000003</v>
      </c>
      <c r="I12" s="981">
        <f t="shared" si="12"/>
        <v>94.535519125683052</v>
      </c>
      <c r="J12" s="995">
        <f>IF([1]Sldg_Wgt!E11="","",[1]Sldg_Wgt!E11)</f>
        <v>239.27</v>
      </c>
      <c r="K12" s="976">
        <f>IF([1]BP_Lab!D11="","",[1]BP_Lab!D11)</f>
        <v>18.829999999999998</v>
      </c>
      <c r="L12" s="976">
        <f>IF(J12="","",IF([1]BP_Lab!D11,J12*K12/100,J12*$K$40/100))</f>
        <v>45.054541</v>
      </c>
      <c r="M12" s="976">
        <f>[1]Sldg_Wgt!F11</f>
        <v>7</v>
      </c>
      <c r="N12" s="974"/>
      <c r="O12" s="1001">
        <f t="shared" si="13"/>
        <v>0</v>
      </c>
      <c r="P12" s="1004">
        <f>IF([1]SLPR!R11="","",[1]SLPR!R11*1*0.006*8.34)</f>
        <v>849.17880000000002</v>
      </c>
      <c r="Q12" s="975">
        <f t="shared" si="14"/>
        <v>16.583270746633033</v>
      </c>
      <c r="R12" s="981">
        <f t="shared" si="15"/>
        <v>18.847796052344645</v>
      </c>
      <c r="U12" s="99">
        <f>IF([1]SLPR!G11="","",[1]SLPR!G11)</f>
        <v>23.4</v>
      </c>
      <c r="V12" s="99">
        <f>IF([1]SLPR!H11="","",[1]SLPR!H11)</f>
        <v>17.7</v>
      </c>
      <c r="W12" s="99">
        <f>IF([1]SLPR!I11="","",[1]SLPR!I11)</f>
        <v>25</v>
      </c>
      <c r="X12" s="99">
        <f>IF([1]SLPR!J11="","",[1]SLPR!J11)</f>
        <v>0</v>
      </c>
      <c r="Y12" s="99">
        <f t="shared" si="16"/>
        <v>1</v>
      </c>
      <c r="Z12" s="99">
        <f t="shared" si="17"/>
        <v>1</v>
      </c>
      <c r="AA12" s="99">
        <f t="shared" si="18"/>
        <v>1</v>
      </c>
      <c r="AB12" s="99">
        <f t="shared" si="19"/>
        <v>0</v>
      </c>
    </row>
    <row r="13" spans="1:99" ht="27.75" x14ac:dyDescent="0.4">
      <c r="A13" s="989">
        <v>9</v>
      </c>
      <c r="B13" s="987">
        <f t="shared" si="9"/>
        <v>4</v>
      </c>
      <c r="C13" s="974">
        <f>IF(SUM([1]SLPR!M12:P12)=0,"",SUM([1]SLPR!M12:P12))</f>
        <v>62.2</v>
      </c>
      <c r="D13" s="975">
        <f>IF(OR([1]SLPR!Q12="",[1]SLPR!R12="",[1]SLPR!F12=""),"",([1]SLPR!Q12*10-[1]SLPR!R12*1-[1]SLPR!F12*10)/1000)</f>
        <v>650.07080000000008</v>
      </c>
      <c r="E13" s="976">
        <f>IF([1]BP_Lab!B12="","",[1]BP_Lab!B12)</f>
        <v>2</v>
      </c>
      <c r="F13" s="992">
        <f t="shared" si="10"/>
        <v>54.215904720000005</v>
      </c>
      <c r="G13" s="998" t="str">
        <f>IF([2]BP_GB!D12,[2]BP_GB!D12,"")</f>
        <v/>
      </c>
      <c r="H13" s="974" t="str">
        <f t="shared" si="11"/>
        <v/>
      </c>
      <c r="I13" s="981" t="str">
        <f t="shared" si="12"/>
        <v/>
      </c>
      <c r="J13" s="995">
        <f>IF([1]Sldg_Wgt!E12="","",[1]Sldg_Wgt!E12)</f>
        <v>235.12</v>
      </c>
      <c r="K13" s="976">
        <f>IF([1]BP_Lab!D12="","",[1]BP_Lab!D12)</f>
        <v>19.13</v>
      </c>
      <c r="L13" s="976">
        <f>IF(J13="","",IF([1]BP_Lab!D12,J13*K13/100,J13*$K$40/100))</f>
        <v>44.978455999999994</v>
      </c>
      <c r="M13" s="976">
        <f>[1]Sldg_Wgt!F12</f>
        <v>7</v>
      </c>
      <c r="N13" s="974"/>
      <c r="O13" s="1001">
        <f t="shared" si="13"/>
        <v>0</v>
      </c>
      <c r="P13" s="1004">
        <f>IF([1]SLPR!R12="","",[1]SLPR!R12*1*0.006*8.34)</f>
        <v>712.21931999999993</v>
      </c>
      <c r="Q13" s="975">
        <f t="shared" si="14"/>
        <v>13.136722953869022</v>
      </c>
      <c r="R13" s="981">
        <f t="shared" si="15"/>
        <v>15.834676939555241</v>
      </c>
      <c r="U13" s="99">
        <f>IF([1]SLPR!G12="","",[1]SLPR!G12)</f>
        <v>23.4</v>
      </c>
      <c r="V13" s="99">
        <f>IF([1]SLPR!H12="","",[1]SLPR!H12)</f>
        <v>23.3</v>
      </c>
      <c r="W13" s="99">
        <f>IF([1]SLPR!I12="","",[1]SLPR!I12)</f>
        <v>23.4</v>
      </c>
      <c r="X13" s="99">
        <f>IF([1]SLPR!J12="","",[1]SLPR!J12)</f>
        <v>0.5</v>
      </c>
      <c r="Y13" s="99">
        <f t="shared" si="16"/>
        <v>1</v>
      </c>
      <c r="Z13" s="99">
        <f t="shared" si="17"/>
        <v>1</v>
      </c>
      <c r="AA13" s="99">
        <f t="shared" si="18"/>
        <v>1</v>
      </c>
      <c r="AB13" s="99">
        <f t="shared" si="19"/>
        <v>1</v>
      </c>
    </row>
    <row r="14" spans="1:99" ht="27.75" x14ac:dyDescent="0.4">
      <c r="A14" s="989">
        <v>10</v>
      </c>
      <c r="B14" s="987">
        <f t="shared" si="9"/>
        <v>4</v>
      </c>
      <c r="C14" s="974">
        <f>IF(SUM([1]SLPR!M13:P13)=0,"",SUM([1]SLPR!M13:P13))</f>
        <v>50.199999999999996</v>
      </c>
      <c r="D14" s="975">
        <f>IF(OR([1]SLPR!Q13="",[1]SLPR!R13="",[1]SLPR!F13=""),"",([1]SLPR!Q13*10-[1]SLPR!R13*1-[1]SLPR!F13*10)/1000)</f>
        <v>542.81280000000004</v>
      </c>
      <c r="E14" s="976">
        <f>IF([1]BP_Lab!B13="","",[1]BP_Lab!B13)</f>
        <v>1.99</v>
      </c>
      <c r="F14" s="992">
        <f t="shared" si="10"/>
        <v>45.044234582400009</v>
      </c>
      <c r="G14" s="998" t="str">
        <f>IF([2]BP_GB!D13,[2]BP_GB!D13,"")</f>
        <v/>
      </c>
      <c r="H14" s="974" t="str">
        <f t="shared" si="11"/>
        <v/>
      </c>
      <c r="I14" s="981" t="str">
        <f t="shared" si="12"/>
        <v/>
      </c>
      <c r="J14" s="995">
        <f>IF([1]Sldg_Wgt!E13="","",[1]Sldg_Wgt!E13)</f>
        <v>207.10999999999999</v>
      </c>
      <c r="K14" s="976">
        <f>IF([1]BP_Lab!D13="","",[1]BP_Lab!D13)</f>
        <v>18.04</v>
      </c>
      <c r="L14" s="976">
        <f>IF(J14="","",IF([1]BP_Lab!D13,J14*K14/100,J14*$K$40/100))</f>
        <v>37.362643999999996</v>
      </c>
      <c r="M14" s="976">
        <f>[1]Sldg_Wgt!F13</f>
        <v>6</v>
      </c>
      <c r="N14" s="974"/>
      <c r="O14" s="1001">
        <f t="shared" si="13"/>
        <v>0</v>
      </c>
      <c r="P14" s="1004">
        <f>IF([1]SLPR!R13="","",[1]SLPR!R13*1*0.006*8.34)</f>
        <v>539.48124000000007</v>
      </c>
      <c r="Q14" s="975">
        <f t="shared" si="14"/>
        <v>11.976699016011027</v>
      </c>
      <c r="R14" s="981">
        <f t="shared" si="15"/>
        <v>14.439054152591559</v>
      </c>
      <c r="U14" s="99">
        <f>IF([1]SLPR!G13="","",[1]SLPR!G13)</f>
        <v>18</v>
      </c>
      <c r="V14" s="99">
        <f>IF([1]SLPR!H13="","",[1]SLPR!H13)</f>
        <v>19.5</v>
      </c>
      <c r="W14" s="99">
        <f>IF([1]SLPR!I13="","",[1]SLPR!I13)</f>
        <v>19.899999999999999</v>
      </c>
      <c r="X14" s="99">
        <f>IF([1]SLPR!J13="","",[1]SLPR!J13)</f>
        <v>0.1</v>
      </c>
      <c r="Y14" s="99">
        <f t="shared" si="16"/>
        <v>1</v>
      </c>
      <c r="Z14" s="99">
        <f t="shared" si="17"/>
        <v>1</v>
      </c>
      <c r="AA14" s="99">
        <f t="shared" si="18"/>
        <v>1</v>
      </c>
      <c r="AB14" s="99">
        <f t="shared" si="19"/>
        <v>1</v>
      </c>
    </row>
    <row r="15" spans="1:99" ht="27.75" x14ac:dyDescent="0.4">
      <c r="A15" s="989">
        <v>11</v>
      </c>
      <c r="B15" s="987">
        <f t="shared" si="9"/>
        <v>4</v>
      </c>
      <c r="C15" s="974">
        <f>IF(SUM([1]SLPR!M14:P14)=0,"",SUM([1]SLPR!M14:P14))</f>
        <v>57.699999999999996</v>
      </c>
      <c r="D15" s="975">
        <f>IF(OR([1]SLPR!Q14="",[1]SLPR!R14="",[1]SLPR!F14=""),"",([1]SLPR!Q14*10-[1]SLPR!R14*1-[1]SLPR!F14*10)/1000)</f>
        <v>651.77419999999995</v>
      </c>
      <c r="E15" s="976">
        <f>IF([1]BP_Lab!B14="","",[1]BP_Lab!B14)</f>
        <v>1.8</v>
      </c>
      <c r="F15" s="992">
        <f t="shared" si="10"/>
        <v>48.922171451999994</v>
      </c>
      <c r="G15" s="998" t="str">
        <f>IF([2]BP_GB!D14,[2]BP_GB!D14,"")</f>
        <v/>
      </c>
      <c r="H15" s="974" t="str">
        <f t="shared" si="11"/>
        <v/>
      </c>
      <c r="I15" s="981" t="str">
        <f t="shared" si="12"/>
        <v/>
      </c>
      <c r="J15" s="995">
        <f>IF([1]Sldg_Wgt!E14="","",[1]Sldg_Wgt!E14)</f>
        <v>204.61</v>
      </c>
      <c r="K15" s="976">
        <f>IF([1]BP_Lab!D14="","",[1]BP_Lab!D14)</f>
        <v>18.43</v>
      </c>
      <c r="L15" s="976">
        <f>IF(J15="","",IF([1]BP_Lab!D14,J15*K15/100,J15*$K$40/100))</f>
        <v>37.709623000000001</v>
      </c>
      <c r="M15" s="976">
        <f>[1]Sldg_Wgt!F14</f>
        <v>6</v>
      </c>
      <c r="N15" s="974"/>
      <c r="O15" s="1001">
        <f t="shared" si="13"/>
        <v>0</v>
      </c>
      <c r="P15" s="1004">
        <f>IF([1]SLPR!R14="","",[1]SLPR!R14*1*0.006*8.34)</f>
        <v>615.64211999999998</v>
      </c>
      <c r="Q15" s="975">
        <f t="shared" si="14"/>
        <v>12.584112718791264</v>
      </c>
      <c r="R15" s="981">
        <f t="shared" si="15"/>
        <v>16.325862499341348</v>
      </c>
      <c r="U15" s="99">
        <f>IF([1]SLPR!G14="","",[1]SLPR!G14)</f>
        <v>16.3</v>
      </c>
      <c r="V15" s="99">
        <f>IF([1]SLPR!H14="","",[1]SLPR!H14)</f>
        <v>18.100000000000001</v>
      </c>
      <c r="W15" s="99">
        <f>IF([1]SLPR!I14="","",[1]SLPR!I14)</f>
        <v>23.3</v>
      </c>
      <c r="X15" s="99">
        <f>IF([1]SLPR!J14="","",[1]SLPR!J14)</f>
        <v>7.9</v>
      </c>
      <c r="Y15" s="99">
        <f t="shared" si="16"/>
        <v>1</v>
      </c>
      <c r="Z15" s="99">
        <f t="shared" si="17"/>
        <v>1</v>
      </c>
      <c r="AA15" s="99">
        <f t="shared" si="18"/>
        <v>1</v>
      </c>
      <c r="AB15" s="99">
        <f t="shared" si="19"/>
        <v>1</v>
      </c>
    </row>
    <row r="16" spans="1:99" ht="27.75" x14ac:dyDescent="0.4">
      <c r="A16" s="989">
        <v>12</v>
      </c>
      <c r="B16" s="987">
        <f t="shared" si="9"/>
        <v>2</v>
      </c>
      <c r="C16" s="974">
        <f>IF(SUM([1]SLPR!M15:P15)=0,"",SUM([1]SLPR!M15:P15))</f>
        <v>48.2</v>
      </c>
      <c r="D16" s="975">
        <f>IF(OR([1]SLPR!Q15="",[1]SLPR!R15="",[1]SLPR!F15=""),"",([1]SLPR!Q15*10-[1]SLPR!R15*1-[1]SLPR!F15*10)/1000)</f>
        <v>581.49490000000003</v>
      </c>
      <c r="E16" s="976">
        <f>IF([1]BP_Lab!B15="","",[1]BP_Lab!B15)</f>
        <v>1.85</v>
      </c>
      <c r="F16" s="992">
        <f t="shared" si="10"/>
        <v>44.859424060500004</v>
      </c>
      <c r="G16" s="998" t="str">
        <f>IF([2]BP_GB!D15,[2]BP_GB!D15,"")</f>
        <v/>
      </c>
      <c r="H16" s="974" t="str">
        <f t="shared" si="11"/>
        <v/>
      </c>
      <c r="I16" s="981" t="str">
        <f t="shared" si="12"/>
        <v/>
      </c>
      <c r="J16" s="995">
        <f>IF([1]Sldg_Wgt!E15="","",[1]Sldg_Wgt!E15)</f>
        <v>170.92000000000002</v>
      </c>
      <c r="K16" s="976">
        <f>IF([1]BP_Lab!D15="","",[1]BP_Lab!D15)</f>
        <v>18.72</v>
      </c>
      <c r="L16" s="976">
        <f>IF(J16="","",IF([1]BP_Lab!D15,J16*K16/100,J16*$K$40/100))</f>
        <v>31.996224000000002</v>
      </c>
      <c r="M16" s="976">
        <f>[1]Sldg_Wgt!F15</f>
        <v>5</v>
      </c>
      <c r="N16" s="974"/>
      <c r="O16" s="1001">
        <f t="shared" si="13"/>
        <v>0</v>
      </c>
      <c r="P16" s="1004">
        <f>IF([1]SLPR!R15="","",[1]SLPR!R15*1*0.006*8.34)</f>
        <v>610.23779999999999</v>
      </c>
      <c r="Q16" s="975">
        <f t="shared" si="14"/>
        <v>13.60333559291796</v>
      </c>
      <c r="R16" s="981">
        <f t="shared" si="15"/>
        <v>19.072181767448559</v>
      </c>
      <c r="U16" s="99">
        <f>IF([1]SLPR!G15="","",[1]SLPR!G15)</f>
        <v>0</v>
      </c>
      <c r="V16" s="99">
        <f>IF([1]SLPR!H15="","",[1]SLPR!H15)</f>
        <v>0</v>
      </c>
      <c r="W16" s="99">
        <f>IF([1]SLPR!I15="","",[1]SLPR!I15)</f>
        <v>24.5</v>
      </c>
      <c r="X16" s="99">
        <f>IF([1]SLPR!J15="","",[1]SLPR!J15)</f>
        <v>24.6</v>
      </c>
      <c r="Y16" s="99">
        <f t="shared" si="16"/>
        <v>0</v>
      </c>
      <c r="Z16" s="99">
        <f t="shared" si="17"/>
        <v>0</v>
      </c>
      <c r="AA16" s="99">
        <f t="shared" si="18"/>
        <v>1</v>
      </c>
      <c r="AB16" s="99">
        <f t="shared" si="19"/>
        <v>1</v>
      </c>
    </row>
    <row r="17" spans="1:28" ht="27.75" x14ac:dyDescent="0.4">
      <c r="A17" s="989">
        <v>13</v>
      </c>
      <c r="B17" s="987">
        <f t="shared" si="9"/>
        <v>2</v>
      </c>
      <c r="C17" s="974">
        <f>IF(SUM([1]SLPR!M16:P16)=0,"",SUM([1]SLPR!M16:P16))</f>
        <v>43.3</v>
      </c>
      <c r="D17" s="975">
        <f>IF(OR([1]SLPR!Q16="",[1]SLPR!R16="",[1]SLPR!F16=""),"",([1]SLPR!Q16*10-[1]SLPR!R16*1-[1]SLPR!F16*10)/1000)</f>
        <v>506.14459999999997</v>
      </c>
      <c r="E17" s="976">
        <f>IF([1]BP_Lab!B16="","",[1]BP_Lab!B16)</f>
        <v>1.83</v>
      </c>
      <c r="F17" s="992">
        <f t="shared" si="10"/>
        <v>38.624400570600002</v>
      </c>
      <c r="G17" s="998" t="str">
        <f>IF([2]BP_GB!D16,[2]BP_GB!D16,"")</f>
        <v/>
      </c>
      <c r="H17" s="974" t="str">
        <f t="shared" si="11"/>
        <v/>
      </c>
      <c r="I17" s="981" t="str">
        <f t="shared" si="12"/>
        <v/>
      </c>
      <c r="J17" s="995">
        <f>IF([1]Sldg_Wgt!E16="","",[1]Sldg_Wgt!E16)</f>
        <v>136.62</v>
      </c>
      <c r="K17" s="976">
        <f>IF([1]BP_Lab!D16="","",[1]BP_Lab!D16)</f>
        <v>17.309999999999999</v>
      </c>
      <c r="L17" s="976">
        <f>IF(J17="","",IF([1]BP_Lab!D16,J17*K17/100,J17*$K$40/100))</f>
        <v>23.648921999999999</v>
      </c>
      <c r="M17" s="976">
        <f>[1]Sldg_Wgt!F16</f>
        <v>4</v>
      </c>
      <c r="N17" s="974"/>
      <c r="O17" s="1001">
        <f t="shared" si="13"/>
        <v>0</v>
      </c>
      <c r="P17" s="1004">
        <f>IF([1]SLPR!R16="","",[1]SLPR!R16*1*0.006*8.34)</f>
        <v>550.38995999999997</v>
      </c>
      <c r="Q17" s="975">
        <f t="shared" si="14"/>
        <v>14.249799398024679</v>
      </c>
      <c r="R17" s="981">
        <f t="shared" si="15"/>
        <v>23.273363580800851</v>
      </c>
      <c r="U17" s="99">
        <f>IF([1]SLPR!G16="","",[1]SLPR!G16)</f>
        <v>0</v>
      </c>
      <c r="V17" s="99">
        <f>IF([1]SLPR!H16="","",[1]SLPR!H16)</f>
        <v>0</v>
      </c>
      <c r="W17" s="99">
        <f>IF([1]SLPR!I16="","",[1]SLPR!I16)</f>
        <v>23.1</v>
      </c>
      <c r="X17" s="99">
        <f>IF([1]SLPR!J16="","",[1]SLPR!J16)</f>
        <v>23.2</v>
      </c>
      <c r="Y17" s="99">
        <f t="shared" si="16"/>
        <v>0</v>
      </c>
      <c r="Z17" s="99">
        <f t="shared" si="17"/>
        <v>0</v>
      </c>
      <c r="AA17" s="99">
        <f t="shared" si="18"/>
        <v>1</v>
      </c>
      <c r="AB17" s="99">
        <f t="shared" si="19"/>
        <v>1</v>
      </c>
    </row>
    <row r="18" spans="1:28" ht="27.75" x14ac:dyDescent="0.4">
      <c r="A18" s="989">
        <v>14</v>
      </c>
      <c r="B18" s="987">
        <f t="shared" si="9"/>
        <v>2</v>
      </c>
      <c r="C18" s="974">
        <f>IF(SUM([1]SLPR!M17:P17)=0,"",SUM([1]SLPR!M17:P17))</f>
        <v>43.2</v>
      </c>
      <c r="D18" s="975">
        <f>IF(OR([1]SLPR!Q17="",[1]SLPR!R17="",[1]SLPR!F17=""),"",([1]SLPR!Q17*10-[1]SLPR!R17*1-[1]SLPR!F17*10)/1000)</f>
        <v>557.59069999999997</v>
      </c>
      <c r="E18" s="976">
        <f>IF([1]BP_Lab!B17="","",[1]BP_Lab!B17)</f>
        <v>1.8</v>
      </c>
      <c r="F18" s="992">
        <f t="shared" si="10"/>
        <v>41.852757941999997</v>
      </c>
      <c r="G18" s="998" t="str">
        <f>IF([2]BP_GB!D17,[2]BP_GB!D17,"")</f>
        <v/>
      </c>
      <c r="H18" s="974" t="str">
        <f t="shared" si="11"/>
        <v/>
      </c>
      <c r="I18" s="981" t="str">
        <f t="shared" si="12"/>
        <v/>
      </c>
      <c r="J18" s="995">
        <f>IF([1]Sldg_Wgt!E17="","",[1]Sldg_Wgt!E17)</f>
        <v>238.57000000000002</v>
      </c>
      <c r="K18" s="976">
        <f>IF([1]BP_Lab!D17="","",[1]BP_Lab!D17)</f>
        <v>18.34</v>
      </c>
      <c r="L18" s="976">
        <f>IF(J18="","",IF([1]BP_Lab!D17,J18*K18/100,J18*$K$40/100))</f>
        <v>43.753738000000006</v>
      </c>
      <c r="M18" s="976">
        <f>[1]Sldg_Wgt!F17</f>
        <v>7</v>
      </c>
      <c r="N18" s="974"/>
      <c r="O18" s="1001">
        <f t="shared" si="13"/>
        <v>0</v>
      </c>
      <c r="P18" s="1004">
        <f>IF([1]SLPR!R17="","",[1]SLPR!R17*1*0.006*8.34)</f>
        <v>648.71856000000002</v>
      </c>
      <c r="Q18" s="975">
        <f t="shared" si="14"/>
        <v>15.500019398936653</v>
      </c>
      <c r="R18" s="981">
        <f t="shared" si="15"/>
        <v>14.826586016490749</v>
      </c>
      <c r="U18" s="99">
        <f>IF([1]SLPR!G17="","",[1]SLPR!G17)</f>
        <v>0</v>
      </c>
      <c r="V18" s="99">
        <f>IF([1]SLPR!H17="","",[1]SLPR!H17)</f>
        <v>0</v>
      </c>
      <c r="W18" s="99">
        <f>IF([1]SLPR!I17="","",[1]SLPR!I17)</f>
        <v>24.6</v>
      </c>
      <c r="X18" s="99">
        <f>IF([1]SLPR!J17="","",[1]SLPR!J17)</f>
        <v>24.6</v>
      </c>
      <c r="Y18" s="99">
        <f t="shared" si="16"/>
        <v>0</v>
      </c>
      <c r="Z18" s="99">
        <f t="shared" si="17"/>
        <v>0</v>
      </c>
      <c r="AA18" s="99">
        <f t="shared" si="18"/>
        <v>1</v>
      </c>
      <c r="AB18" s="99">
        <f t="shared" si="19"/>
        <v>1</v>
      </c>
    </row>
    <row r="19" spans="1:28" ht="27.75" x14ac:dyDescent="0.4">
      <c r="A19" s="989">
        <v>15</v>
      </c>
      <c r="B19" s="987">
        <f t="shared" si="9"/>
        <v>2</v>
      </c>
      <c r="C19" s="974">
        <f>IF(SUM([1]SLPR!M18:P18)=0,"",SUM([1]SLPR!M18:P18))</f>
        <v>49.2</v>
      </c>
      <c r="D19" s="975">
        <f>IF(OR([1]SLPR!Q18="",[1]SLPR!R18="",[1]SLPR!F18=""),"",([1]SLPR!Q18*10-[1]SLPR!R18*1-[1]SLPR!F18*10)/1000)</f>
        <v>689.43040000000008</v>
      </c>
      <c r="E19" s="976">
        <f>IF([1]BP_Lab!B18="","",[1]BP_Lab!B18)</f>
        <v>1.79</v>
      </c>
      <c r="F19" s="992">
        <f t="shared" si="10"/>
        <v>51.46115334720001</v>
      </c>
      <c r="G19" s="998">
        <f>IF([2]BP_GB!D18,[2]BP_GB!D18,"")</f>
        <v>0.1</v>
      </c>
      <c r="H19" s="974">
        <f t="shared" si="11"/>
        <v>2.8749247680000067</v>
      </c>
      <c r="I19" s="981">
        <f t="shared" si="12"/>
        <v>94.413407821229043</v>
      </c>
      <c r="J19" s="995">
        <f>IF([1]Sldg_Wgt!E18="","",[1]Sldg_Wgt!E18)</f>
        <v>242.20000000000002</v>
      </c>
      <c r="K19" s="976">
        <f>IF([1]BP_Lab!D18="","",[1]BP_Lab!D18)</f>
        <v>17.41</v>
      </c>
      <c r="L19" s="976">
        <f>IF(J19="","",IF([1]BP_Lab!D18,J19*K19/100,J19*$K$40/100))</f>
        <v>42.167020000000001</v>
      </c>
      <c r="M19" s="976">
        <f>[1]Sldg_Wgt!F18</f>
        <v>7</v>
      </c>
      <c r="N19" s="974"/>
      <c r="O19" s="1001">
        <f t="shared" si="13"/>
        <v>0</v>
      </c>
      <c r="P19" s="1004">
        <f>IF([1]SLPR!R18="","",[1]SLPR!R18*1*0.006*8.34)</f>
        <v>836.66880000000003</v>
      </c>
      <c r="Q19" s="975">
        <f t="shared" si="14"/>
        <v>16.25825978588416</v>
      </c>
      <c r="R19" s="981">
        <f t="shared" si="15"/>
        <v>19.841781562937101</v>
      </c>
      <c r="U19" s="99">
        <f>IF([1]SLPR!G18="","",[1]SLPR!G18)</f>
        <v>0</v>
      </c>
      <c r="V19" s="99">
        <f>IF([1]SLPR!H18="","",[1]SLPR!H18)</f>
        <v>0</v>
      </c>
      <c r="W19" s="99">
        <f>IF([1]SLPR!I18="","",[1]SLPR!I18)</f>
        <v>24.5</v>
      </c>
      <c r="X19" s="99">
        <f>IF([1]SLPR!J18="","",[1]SLPR!J18)</f>
        <v>24.5</v>
      </c>
      <c r="Y19" s="99">
        <f t="shared" si="16"/>
        <v>0</v>
      </c>
      <c r="Z19" s="99">
        <f t="shared" si="17"/>
        <v>0</v>
      </c>
      <c r="AA19" s="99">
        <f t="shared" si="18"/>
        <v>1</v>
      </c>
      <c r="AB19" s="99">
        <f t="shared" si="19"/>
        <v>1</v>
      </c>
    </row>
    <row r="20" spans="1:28" ht="27.75" x14ac:dyDescent="0.4">
      <c r="A20" s="989">
        <v>16</v>
      </c>
      <c r="B20" s="987">
        <f t="shared" si="9"/>
        <v>2</v>
      </c>
      <c r="C20" s="974">
        <f>IF(SUM([1]SLPR!M19:P19)=0,"",SUM([1]SLPR!M19:P19))</f>
        <v>43.9</v>
      </c>
      <c r="D20" s="975">
        <f>IF(OR([1]SLPR!Q19="",[1]SLPR!R19="",[1]SLPR!F19=""),"",([1]SLPR!Q19*10-[1]SLPR!R19*1-[1]SLPR!F19*10)/1000)</f>
        <v>595.4796</v>
      </c>
      <c r="E20" s="976">
        <f>IF([1]BP_Lab!B19="","",[1]BP_Lab!B19)</f>
        <v>1.78</v>
      </c>
      <c r="F20" s="992">
        <f t="shared" si="10"/>
        <v>44.200068789600003</v>
      </c>
      <c r="G20" s="998" t="str">
        <f>IF([2]BP_GB!D19,[2]BP_GB!D19,"")</f>
        <v/>
      </c>
      <c r="H20" s="974" t="str">
        <f t="shared" si="11"/>
        <v/>
      </c>
      <c r="I20" s="981" t="str">
        <f t="shared" si="12"/>
        <v/>
      </c>
      <c r="J20" s="995">
        <f>IF([1]Sldg_Wgt!E19="","",[1]Sldg_Wgt!E19)</f>
        <v>206.69</v>
      </c>
      <c r="K20" s="976">
        <f>IF([1]BP_Lab!D19="","",[1]BP_Lab!D19)</f>
        <v>20.170000000000002</v>
      </c>
      <c r="L20" s="976">
        <f>IF(J20="","",IF([1]BP_Lab!D19,J20*K20/100,J20*$K$40/100))</f>
        <v>41.689373000000003</v>
      </c>
      <c r="M20" s="976">
        <f>[1]Sldg_Wgt!F19</f>
        <v>6</v>
      </c>
      <c r="N20" s="974"/>
      <c r="O20" s="1001">
        <f t="shared" si="13"/>
        <v>0</v>
      </c>
      <c r="P20" s="1004">
        <f>IF([1]SLPR!R19="","",[1]SLPR!R19*1*0.006*8.34)</f>
        <v>718.07400000000007</v>
      </c>
      <c r="Q20" s="975">
        <f t="shared" si="14"/>
        <v>16.245992815489878</v>
      </c>
      <c r="R20" s="981">
        <f t="shared" si="15"/>
        <v>17.224389534474408</v>
      </c>
      <c r="U20" s="99">
        <f>IF([1]SLPR!G19="","",[1]SLPR!G19)</f>
        <v>0</v>
      </c>
      <c r="V20" s="99">
        <f>IF([1]SLPR!H19="","",[1]SLPR!H19)</f>
        <v>0</v>
      </c>
      <c r="W20" s="99">
        <f>IF([1]SLPR!I19="","",[1]SLPR!I19)</f>
        <v>22.6</v>
      </c>
      <c r="X20" s="99">
        <f>IF([1]SLPR!J19="","",[1]SLPR!J19)</f>
        <v>23.5</v>
      </c>
      <c r="Y20" s="99">
        <f t="shared" si="16"/>
        <v>0</v>
      </c>
      <c r="Z20" s="99">
        <f t="shared" si="17"/>
        <v>0</v>
      </c>
      <c r="AA20" s="99">
        <f t="shared" si="18"/>
        <v>1</v>
      </c>
      <c r="AB20" s="99">
        <f t="shared" si="19"/>
        <v>1</v>
      </c>
    </row>
    <row r="21" spans="1:28" ht="27.75" x14ac:dyDescent="0.4">
      <c r="A21" s="989">
        <v>17</v>
      </c>
      <c r="B21" s="987">
        <f t="shared" si="9"/>
        <v>4</v>
      </c>
      <c r="C21" s="974">
        <f>IF(SUM([1]SLPR!M20:P20)=0,"",SUM([1]SLPR!M20:P20))</f>
        <v>51.8</v>
      </c>
      <c r="D21" s="975">
        <f>IF(OR([1]SLPR!Q20="",[1]SLPR!R20="",[1]SLPR!F20=""),"",([1]SLPR!Q20*10-[1]SLPR!R20*1-[1]SLPR!F20*10)/1000)</f>
        <v>600.95330000000001</v>
      </c>
      <c r="E21" s="976">
        <f>IF([1]BP_Lab!B20="","",[1]BP_Lab!B20)</f>
        <v>1.71</v>
      </c>
      <c r="F21" s="992">
        <f t="shared" si="10"/>
        <v>42.8521769631</v>
      </c>
      <c r="G21" s="998" t="str">
        <f>IF([2]BP_GB!D20,[2]BP_GB!D20,"")</f>
        <v/>
      </c>
      <c r="H21" s="974" t="str">
        <f t="shared" si="11"/>
        <v/>
      </c>
      <c r="I21" s="981" t="str">
        <f t="shared" si="12"/>
        <v/>
      </c>
      <c r="J21" s="995">
        <f>IF([1]Sldg_Wgt!E20="","",[1]Sldg_Wgt!E20)</f>
        <v>170.49</v>
      </c>
      <c r="K21" s="976">
        <f>IF([1]BP_Lab!D20="","",[1]BP_Lab!D20)</f>
        <v>18.27</v>
      </c>
      <c r="L21" s="976">
        <f>IF(J21="","",IF([1]BP_Lab!D20,J21*K21/100,J21*$K$40/100))</f>
        <v>31.148523000000001</v>
      </c>
      <c r="M21" s="976">
        <f>[1]Sldg_Wgt!F20</f>
        <v>5</v>
      </c>
      <c r="N21" s="974"/>
      <c r="O21" s="1001">
        <f t="shared" si="13"/>
        <v>0</v>
      </c>
      <c r="P21" s="1004">
        <f>IF([1]SLPR!R20="","",[1]SLPR!R20*1*0.006*8.34)</f>
        <v>649.71935999999994</v>
      </c>
      <c r="Q21" s="975">
        <f t="shared" si="14"/>
        <v>15.161875219536061</v>
      </c>
      <c r="R21" s="981">
        <f t="shared" si="15"/>
        <v>20.85875339899744</v>
      </c>
      <c r="U21" s="99">
        <f>IF([1]SLPR!G20="","",[1]SLPR!G20)</f>
        <v>5.6</v>
      </c>
      <c r="V21" s="99">
        <f>IF([1]SLPR!H20="","",[1]SLPR!H20)</f>
        <v>5</v>
      </c>
      <c r="W21" s="99">
        <f>IF([1]SLPR!I20="","",[1]SLPR!I20)</f>
        <v>24.4</v>
      </c>
      <c r="X21" s="99">
        <f>IF([1]SLPR!J20="","",[1]SLPR!J20)</f>
        <v>24.4</v>
      </c>
      <c r="Y21" s="99">
        <f t="shared" si="16"/>
        <v>1</v>
      </c>
      <c r="Z21" s="99">
        <f t="shared" si="17"/>
        <v>1</v>
      </c>
      <c r="AA21" s="99">
        <f t="shared" si="18"/>
        <v>1</v>
      </c>
      <c r="AB21" s="99">
        <f t="shared" si="19"/>
        <v>1</v>
      </c>
    </row>
    <row r="22" spans="1:28" ht="27.75" x14ac:dyDescent="0.4">
      <c r="A22" s="989">
        <v>18</v>
      </c>
      <c r="B22" s="987">
        <f t="shared" si="9"/>
        <v>4</v>
      </c>
      <c r="C22" s="974">
        <f>IF(SUM([1]SLPR!M21:P21)=0,"",SUM([1]SLPR!M21:P21))</f>
        <v>50.8</v>
      </c>
      <c r="D22" s="975">
        <f>IF(OR([1]SLPR!Q21="",[1]SLPR!R21="",[1]SLPR!F21=""),"",([1]SLPR!Q21*10-[1]SLPR!R21*1-[1]SLPR!F21*10)/1000)</f>
        <v>634.89319999999998</v>
      </c>
      <c r="E22" s="976">
        <f>IF([1]BP_Lab!B21="","",[1]BP_Lab!B21)</f>
        <v>1.75</v>
      </c>
      <c r="F22" s="992">
        <f t="shared" si="10"/>
        <v>46.331331269999993</v>
      </c>
      <c r="G22" s="998" t="str">
        <f>IF([2]BP_GB!D21,[2]BP_GB!D21,"")</f>
        <v/>
      </c>
      <c r="H22" s="974" t="str">
        <f t="shared" si="11"/>
        <v/>
      </c>
      <c r="I22" s="981" t="str">
        <f t="shared" si="12"/>
        <v/>
      </c>
      <c r="J22" s="995">
        <f>IF([1]Sldg_Wgt!E21="","",[1]Sldg_Wgt!E21)</f>
        <v>238.83</v>
      </c>
      <c r="K22" s="976">
        <f>IF([1]BP_Lab!D21="","",[1]BP_Lab!D21)</f>
        <v>16.75</v>
      </c>
      <c r="L22" s="976">
        <f>IF(J22="","",IF([1]BP_Lab!D21,J22*K22/100,J22*$K$40/100))</f>
        <v>40.004024999999999</v>
      </c>
      <c r="M22" s="976">
        <f>[1]Sldg_Wgt!F21</f>
        <v>7</v>
      </c>
      <c r="N22" s="974"/>
      <c r="O22" s="1001">
        <f t="shared" si="13"/>
        <v>0</v>
      </c>
      <c r="P22" s="1004">
        <f>IF([1]SLPR!R21="","",[1]SLPR!R21*1*0.006*8.34)</f>
        <v>690.45191999999997</v>
      </c>
      <c r="Q22" s="975">
        <f t="shared" si="14"/>
        <v>14.90248393633089</v>
      </c>
      <c r="R22" s="981">
        <f t="shared" si="15"/>
        <v>17.259561256648549</v>
      </c>
      <c r="U22" s="99">
        <f>IF([1]SLPR!G21="","",[1]SLPR!G21)</f>
        <v>4.5999999999999996</v>
      </c>
      <c r="V22" s="99">
        <f>IF([1]SLPR!H21="","",[1]SLPR!H21)</f>
        <v>0.1</v>
      </c>
      <c r="W22" s="99">
        <f>IF([1]SLPR!I21="","",[1]SLPR!I21)</f>
        <v>23.2</v>
      </c>
      <c r="X22" s="99">
        <f>IF([1]SLPR!J21="","",[1]SLPR!J21)</f>
        <v>23.3</v>
      </c>
      <c r="Y22" s="99">
        <f t="shared" si="16"/>
        <v>1</v>
      </c>
      <c r="Z22" s="99">
        <f t="shared" si="17"/>
        <v>1</v>
      </c>
      <c r="AA22" s="99">
        <f t="shared" si="18"/>
        <v>1</v>
      </c>
      <c r="AB22" s="99">
        <f t="shared" si="19"/>
        <v>1</v>
      </c>
    </row>
    <row r="23" spans="1:28" ht="27.75" x14ac:dyDescent="0.4">
      <c r="A23" s="989">
        <v>19</v>
      </c>
      <c r="B23" s="987">
        <f t="shared" si="9"/>
        <v>3</v>
      </c>
      <c r="C23" s="974">
        <f>IF(SUM([1]SLPR!M22:P22)=0,"",SUM([1]SLPR!M22:P22))</f>
        <v>69.099999999999994</v>
      </c>
      <c r="D23" s="975">
        <f>IF(OR([1]SLPR!Q22="",[1]SLPR!R22="",[1]SLPR!F22=""),"",([1]SLPR!Q22*10-[1]SLPR!R22*1-[1]SLPR!F22*10)/1000)</f>
        <v>835.41</v>
      </c>
      <c r="E23" s="976">
        <f>IF([1]BP_Lab!B22="","",[1]BP_Lab!B22)</f>
        <v>1.81</v>
      </c>
      <c r="F23" s="992">
        <f t="shared" si="10"/>
        <v>63.054240570000005</v>
      </c>
      <c r="G23" s="998" t="str">
        <f>IF([2]BP_GB!D22,[2]BP_GB!D22,"")</f>
        <v/>
      </c>
      <c r="H23" s="974" t="str">
        <f t="shared" si="11"/>
        <v/>
      </c>
      <c r="I23" s="981" t="str">
        <f t="shared" si="12"/>
        <v/>
      </c>
      <c r="J23" s="995">
        <f>IF([1]Sldg_Wgt!E22="","",[1]Sldg_Wgt!E22)</f>
        <v>200.86</v>
      </c>
      <c r="K23" s="976">
        <f>IF([1]BP_Lab!D22="","",[1]BP_Lab!D22)</f>
        <v>15.63</v>
      </c>
      <c r="L23" s="976">
        <f>IF(J23="","",IF([1]BP_Lab!D22,J23*K23/100,J23*$K$40/100))</f>
        <v>31.394418000000005</v>
      </c>
      <c r="M23" s="976">
        <f>[1]Sldg_Wgt!F22</f>
        <v>6</v>
      </c>
      <c r="N23" s="974"/>
      <c r="O23" s="1001">
        <f t="shared" si="13"/>
        <v>0</v>
      </c>
      <c r="P23" s="1004">
        <f>IF([1]SLPR!R22="","",[1]SLPR!R22*1*0.006*8.34)</f>
        <v>962.51939999999991</v>
      </c>
      <c r="Q23" s="975">
        <f t="shared" si="14"/>
        <v>15.264943186992378</v>
      </c>
      <c r="R23" s="981">
        <f t="shared" si="15"/>
        <v>30.658934336670924</v>
      </c>
      <c r="U23" s="99">
        <f>IF([1]SLPR!G22="","",[1]SLPR!G22)</f>
        <v>0</v>
      </c>
      <c r="V23" s="99">
        <f>IF([1]SLPR!H22="","",[1]SLPR!H22)</f>
        <v>24.6</v>
      </c>
      <c r="W23" s="99">
        <f>IF([1]SLPR!I22="","",[1]SLPR!I22)</f>
        <v>24.6</v>
      </c>
      <c r="X23" s="99">
        <f>IF([1]SLPR!J22="","",[1]SLPR!J22)</f>
        <v>29.5</v>
      </c>
      <c r="Y23" s="99">
        <f t="shared" si="16"/>
        <v>0</v>
      </c>
      <c r="Z23" s="99">
        <f t="shared" si="17"/>
        <v>1</v>
      </c>
      <c r="AA23" s="99">
        <f t="shared" si="18"/>
        <v>1</v>
      </c>
      <c r="AB23" s="99">
        <f t="shared" si="19"/>
        <v>1</v>
      </c>
    </row>
    <row r="24" spans="1:28" ht="27.75" x14ac:dyDescent="0.4">
      <c r="A24" s="989">
        <v>20</v>
      </c>
      <c r="B24" s="987">
        <f t="shared" si="9"/>
        <v>3</v>
      </c>
      <c r="C24" s="974">
        <f>IF(SUM([1]SLPR!M23:P23)=0,"",SUM([1]SLPR!M23:P23))</f>
        <v>24.200000000000003</v>
      </c>
      <c r="D24" s="975">
        <f>IF(OR([1]SLPR!Q23="",[1]SLPR!R23="",[1]SLPR!F23=""),"",([1]SLPR!Q23*10-[1]SLPR!R23*1-[1]SLPR!F23*10)/1000)</f>
        <v>288.7167</v>
      </c>
      <c r="E24" s="976">
        <f>IF([1]BP_Lab!B23="","",[1]BP_Lab!B23)</f>
        <v>1.89</v>
      </c>
      <c r="F24" s="992">
        <f t="shared" si="10"/>
        <v>22.754629277099998</v>
      </c>
      <c r="G24" s="998" t="str">
        <f>IF([2]BP_GB!D23,[2]BP_GB!D23,"")</f>
        <v/>
      </c>
      <c r="H24" s="974" t="str">
        <f t="shared" si="11"/>
        <v/>
      </c>
      <c r="I24" s="981" t="str">
        <f t="shared" si="12"/>
        <v/>
      </c>
      <c r="J24" s="995">
        <f>IF([1]Sldg_Wgt!E23="","",[1]Sldg_Wgt!E23)</f>
        <v>68.12</v>
      </c>
      <c r="K24" s="976">
        <f>IF([1]BP_Lab!D23="","",[1]BP_Lab!D23)</f>
        <v>17.5</v>
      </c>
      <c r="L24" s="976">
        <f>IF(J24="","",IF([1]BP_Lab!D23,J24*K24/100,J24*$K$40/100))</f>
        <v>11.921000000000001</v>
      </c>
      <c r="M24" s="976">
        <f>[1]Sldg_Wgt!F23</f>
        <v>2</v>
      </c>
      <c r="N24" s="974"/>
      <c r="O24" s="1001">
        <f t="shared" si="13"/>
        <v>0</v>
      </c>
      <c r="P24" s="1004">
        <f>IF([1]SLPR!R23="","",[1]SLPR!R23*1*0.006*8.34)</f>
        <v>353.63267999999999</v>
      </c>
      <c r="Q24" s="975">
        <f t="shared" si="14"/>
        <v>15.541131243825269</v>
      </c>
      <c r="R24" s="981">
        <f t="shared" si="15"/>
        <v>29.664682493079436</v>
      </c>
      <c r="U24" s="99">
        <f>IF([1]SLPR!G23="","",[1]SLPR!G23)</f>
        <v>0</v>
      </c>
      <c r="V24" s="99">
        <f>IF([1]SLPR!H23="","",[1]SLPR!H23)</f>
        <v>16.100000000000001</v>
      </c>
      <c r="W24" s="99">
        <f>IF([1]SLPR!I23="","",[1]SLPR!I23)</f>
        <v>23.1</v>
      </c>
      <c r="X24" s="99">
        <f>IF([1]SLPR!J23="","",[1]SLPR!J23)</f>
        <v>7.6</v>
      </c>
      <c r="Y24" s="99">
        <f t="shared" si="16"/>
        <v>0</v>
      </c>
      <c r="Z24" s="99">
        <f t="shared" si="17"/>
        <v>1</v>
      </c>
      <c r="AA24" s="99">
        <f t="shared" si="18"/>
        <v>1</v>
      </c>
      <c r="AB24" s="99">
        <f t="shared" si="19"/>
        <v>1</v>
      </c>
    </row>
    <row r="25" spans="1:28" ht="27.75" x14ac:dyDescent="0.4">
      <c r="A25" s="989">
        <v>21</v>
      </c>
      <c r="B25" s="987">
        <f t="shared" si="9"/>
        <v>3</v>
      </c>
      <c r="C25" s="974">
        <f>IF(SUM([1]SLPR!M24:P24)=0,"",SUM([1]SLPR!M24:P24))</f>
        <v>47.099999999999994</v>
      </c>
      <c r="D25" s="975">
        <f>IF(OR([1]SLPR!Q24="",[1]SLPR!R24="",[1]SLPR!F24=""),"",([1]SLPR!Q24*10-[1]SLPR!R24*1-[1]SLPR!F24*10)/1000)</f>
        <v>533.01769999999999</v>
      </c>
      <c r="E25" s="976">
        <f>IF([1]BP_Lab!B24="","",[1]BP_Lab!B24)</f>
        <v>1.77</v>
      </c>
      <c r="F25" s="992">
        <f t="shared" si="10"/>
        <v>39.341503419300004</v>
      </c>
      <c r="G25" s="998" t="str">
        <f>IF([2]BP_GB!D24,[2]BP_GB!D24,"")</f>
        <v/>
      </c>
      <c r="H25" s="974" t="str">
        <f t="shared" si="11"/>
        <v/>
      </c>
      <c r="I25" s="981" t="str">
        <f t="shared" si="12"/>
        <v/>
      </c>
      <c r="J25" s="995">
        <f>IF([1]Sldg_Wgt!E24="","",[1]Sldg_Wgt!E24)</f>
        <v>271.33</v>
      </c>
      <c r="K25" s="976">
        <f>IF([1]BP_Lab!D24="","",[1]BP_Lab!D24)</f>
        <v>18.149999999999999</v>
      </c>
      <c r="L25" s="976">
        <f>IF(J25="","",IF([1]BP_Lab!D24,J25*K25/100,J25*$K$40/100))</f>
        <v>49.246394999999993</v>
      </c>
      <c r="M25" s="976">
        <f>[1]Sldg_Wgt!F24</f>
        <v>8</v>
      </c>
      <c r="N25" s="974"/>
      <c r="O25" s="1001">
        <f t="shared" si="13"/>
        <v>0</v>
      </c>
      <c r="P25" s="1004">
        <f>IF([1]SLPR!R24="","",[1]SLPR!R24*1*0.006*8.34)</f>
        <v>699.65927999999997</v>
      </c>
      <c r="Q25" s="975">
        <f t="shared" si="14"/>
        <v>17.784253757236023</v>
      </c>
      <c r="R25" s="981">
        <f t="shared" si="15"/>
        <v>14.207319743912221</v>
      </c>
      <c r="U25" s="99">
        <f>IF([1]SLPR!G24="","",[1]SLPR!G24)</f>
        <v>14.6</v>
      </c>
      <c r="V25" s="99">
        <f>IF([1]SLPR!H24="","",[1]SLPR!H24)</f>
        <v>18.100000000000001</v>
      </c>
      <c r="W25" s="99">
        <f>IF([1]SLPR!I24="","",[1]SLPR!I24)</f>
        <v>18.100000000000001</v>
      </c>
      <c r="X25" s="99">
        <f>IF([1]SLPR!J24="","",[1]SLPR!J24)</f>
        <v>0</v>
      </c>
      <c r="Y25" s="99">
        <f t="shared" si="16"/>
        <v>1</v>
      </c>
      <c r="Z25" s="99">
        <f t="shared" si="17"/>
        <v>1</v>
      </c>
      <c r="AA25" s="99">
        <f t="shared" si="18"/>
        <v>1</v>
      </c>
      <c r="AB25" s="99">
        <f t="shared" si="19"/>
        <v>0</v>
      </c>
    </row>
    <row r="26" spans="1:28" ht="27.75" x14ac:dyDescent="0.4">
      <c r="A26" s="989">
        <v>22</v>
      </c>
      <c r="B26" s="987">
        <f t="shared" si="9"/>
        <v>4</v>
      </c>
      <c r="C26" s="974">
        <f>IF(SUM([1]SLPR!M25:P25)=0,"",SUM([1]SLPR!M25:P25))</f>
        <v>74.699999999999989</v>
      </c>
      <c r="D26" s="975">
        <f>IF(OR([1]SLPR!Q25="",[1]SLPR!R25="",[1]SLPR!F25=""),"",([1]SLPR!Q25*10-[1]SLPR!R25*1-[1]SLPR!F25*10)/1000)</f>
        <v>829.25009999999997</v>
      </c>
      <c r="E26" s="976">
        <f>IF([1]BP_Lab!B25="","",[1]BP_Lab!B25)</f>
        <v>1.76</v>
      </c>
      <c r="F26" s="992">
        <f t="shared" si="10"/>
        <v>60.860323339199994</v>
      </c>
      <c r="G26" s="998">
        <f>IF([2]BP_GB!D25,[2]BP_GB!D25,"")</f>
        <v>0.11</v>
      </c>
      <c r="H26" s="974">
        <f t="shared" si="11"/>
        <v>3.8037702087000014</v>
      </c>
      <c r="I26" s="981">
        <f t="shared" si="12"/>
        <v>93.75</v>
      </c>
      <c r="J26" s="995">
        <f>IF([1]Sldg_Wgt!E25="","",[1]Sldg_Wgt!E25)</f>
        <v>240.43</v>
      </c>
      <c r="K26" s="976">
        <f>IF([1]BP_Lab!D25="","",[1]BP_Lab!D25)</f>
        <v>18.3</v>
      </c>
      <c r="L26" s="976">
        <f>IF(J26="","",IF([1]BP_Lab!D25,J26*K26/100,J26*$K$40/100))</f>
        <v>43.998690000000003</v>
      </c>
      <c r="M26" s="976">
        <f>[1]Sldg_Wgt!F25</f>
        <v>7</v>
      </c>
      <c r="N26" s="974"/>
      <c r="O26" s="1001">
        <f t="shared" si="13"/>
        <v>0</v>
      </c>
      <c r="P26" s="1004">
        <f>IF([1]SLPR!R25="","",[1]SLPR!R25*1*0.006*8.34)</f>
        <v>1100.0293199999999</v>
      </c>
      <c r="Q26" s="975">
        <f t="shared" si="14"/>
        <v>18.074654547414696</v>
      </c>
      <c r="R26" s="981">
        <f t="shared" si="15"/>
        <v>25.001410723819273</v>
      </c>
      <c r="U26" s="99">
        <f>IF([1]SLPR!G25="","",[1]SLPR!G25)</f>
        <v>24.9</v>
      </c>
      <c r="V26" s="99">
        <f>IF([1]SLPR!H25="","",[1]SLPR!H25)</f>
        <v>24.9</v>
      </c>
      <c r="W26" s="99">
        <f>IF([1]SLPR!I25="","",[1]SLPR!I25)</f>
        <v>25</v>
      </c>
      <c r="X26" s="99">
        <f>IF([1]SLPR!J25="","",[1]SLPR!J25)</f>
        <v>0.2</v>
      </c>
      <c r="Y26" s="99">
        <f t="shared" si="16"/>
        <v>1</v>
      </c>
      <c r="Z26" s="99">
        <f t="shared" si="17"/>
        <v>1</v>
      </c>
      <c r="AA26" s="99">
        <f t="shared" si="18"/>
        <v>1</v>
      </c>
      <c r="AB26" s="99">
        <f t="shared" si="19"/>
        <v>1</v>
      </c>
    </row>
    <row r="27" spans="1:28" ht="27.75" x14ac:dyDescent="0.4">
      <c r="A27" s="989">
        <v>23</v>
      </c>
      <c r="B27" s="987">
        <f t="shared" si="9"/>
        <v>4</v>
      </c>
      <c r="C27" s="974">
        <f>IF(SUM([1]SLPR!M26:P26)=0,"",SUM([1]SLPR!M26:P26))</f>
        <v>48.4</v>
      </c>
      <c r="D27" s="975">
        <f>IF(OR([1]SLPR!Q26="",[1]SLPR!R26="",[1]SLPR!F26=""),"",([1]SLPR!Q26*10-[1]SLPR!R26*1-[1]SLPR!F26*10)/1000)</f>
        <v>812.23080000000004</v>
      </c>
      <c r="E27" s="976">
        <f>IF([1]BP_Lab!B26="","",[1]BP_Lab!B26)</f>
        <v>1.81</v>
      </c>
      <c r="F27" s="992">
        <f t="shared" si="10"/>
        <v>61.304744091600014</v>
      </c>
      <c r="G27" s="998" t="str">
        <f>IF([2]BP_GB!D26,[2]BP_GB!D26,"")</f>
        <v/>
      </c>
      <c r="H27" s="974" t="str">
        <f t="shared" si="11"/>
        <v/>
      </c>
      <c r="I27" s="981" t="str">
        <f t="shared" si="12"/>
        <v/>
      </c>
      <c r="J27" s="995">
        <f>IF([1]Sldg_Wgt!E26="","",[1]Sldg_Wgt!E26)</f>
        <v>241.9</v>
      </c>
      <c r="K27" s="976">
        <f>IF([1]BP_Lab!D26="","",[1]BP_Lab!D26)</f>
        <v>18.559999999999999</v>
      </c>
      <c r="L27" s="976">
        <f>IF(J27="","",IF([1]BP_Lab!D26,J27*K27/100,J27*$K$40/100))</f>
        <v>44.896639999999998</v>
      </c>
      <c r="M27" s="976">
        <f>[1]Sldg_Wgt!F26</f>
        <v>7</v>
      </c>
      <c r="N27" s="974"/>
      <c r="O27" s="1001">
        <f t="shared" si="13"/>
        <v>0</v>
      </c>
      <c r="P27" s="1004">
        <f>IF([1]SLPR!R26="","",[1]SLPR!R26*1*0.006*8.34)</f>
        <v>1025.71992</v>
      </c>
      <c r="Q27" s="975">
        <f t="shared" si="14"/>
        <v>16.731493381122267</v>
      </c>
      <c r="R27" s="981">
        <f t="shared" si="15"/>
        <v>22.846251300765491</v>
      </c>
      <c r="U27" s="99">
        <f>IF([1]SLPR!G26="","",[1]SLPR!G26)</f>
        <v>23.5</v>
      </c>
      <c r="V27" s="99">
        <f>IF([1]SLPR!H26="","",[1]SLPR!H26)</f>
        <v>23.5</v>
      </c>
      <c r="W27" s="99">
        <f>IF([1]SLPR!I26="","",[1]SLPR!I26)</f>
        <v>23.4</v>
      </c>
      <c r="X27" s="99">
        <f>IF([1]SLPR!J26="","",[1]SLPR!J26)</f>
        <v>3.7</v>
      </c>
      <c r="Y27" s="99">
        <f t="shared" si="16"/>
        <v>1</v>
      </c>
      <c r="Z27" s="99">
        <f t="shared" si="17"/>
        <v>1</v>
      </c>
      <c r="AA27" s="99">
        <f t="shared" si="18"/>
        <v>1</v>
      </c>
      <c r="AB27" s="99">
        <f t="shared" si="19"/>
        <v>1</v>
      </c>
    </row>
    <row r="28" spans="1:28" ht="27.75" x14ac:dyDescent="0.4">
      <c r="A28" s="989">
        <v>24</v>
      </c>
      <c r="B28" s="987">
        <f t="shared" si="9"/>
        <v>3</v>
      </c>
      <c r="C28" s="974">
        <f>IF(SUM([1]SLPR!M27:P27)=0,"",SUM([1]SLPR!M27:P27))</f>
        <v>48.2</v>
      </c>
      <c r="D28" s="975">
        <f>IF(OR([1]SLPR!Q27="",[1]SLPR!R27="",[1]SLPR!F27=""),"",([1]SLPR!Q27*10-[1]SLPR!R27*1-[1]SLPR!F27*10)/1000)</f>
        <v>561.40519999999992</v>
      </c>
      <c r="E28" s="976">
        <f>IF([1]BP_Lab!B27="","",[1]BP_Lab!B27)</f>
        <v>1.79</v>
      </c>
      <c r="F28" s="992">
        <f t="shared" si="10"/>
        <v>41.904968343599997</v>
      </c>
      <c r="G28" s="998" t="str">
        <f>IF([2]BP_GB!D27,[2]BP_GB!D27,"")</f>
        <v/>
      </c>
      <c r="H28" s="974" t="str">
        <f t="shared" si="11"/>
        <v/>
      </c>
      <c r="I28" s="981" t="str">
        <f t="shared" si="12"/>
        <v/>
      </c>
      <c r="J28" s="995">
        <f>IF([1]Sldg_Wgt!E27="","",[1]Sldg_Wgt!E27)</f>
        <v>206.76999999999998</v>
      </c>
      <c r="K28" s="976">
        <f>IF([1]BP_Lab!D27="","",[1]BP_Lab!D27)</f>
        <v>18.489999999999998</v>
      </c>
      <c r="L28" s="976">
        <f>IF(J28="","",IF([1]BP_Lab!D27,J28*K28/100,J28*$K$40/100))</f>
        <v>38.231772999999997</v>
      </c>
      <c r="M28" s="976">
        <f>[1]Sldg_Wgt!F27</f>
        <v>6</v>
      </c>
      <c r="N28" s="974"/>
      <c r="O28" s="1001">
        <f t="shared" si="13"/>
        <v>0</v>
      </c>
      <c r="P28" s="1004">
        <f>IF([1]SLPR!R27="","",[1]SLPR!R27*1*0.006*8.34)</f>
        <v>574.80948000000001</v>
      </c>
      <c r="Q28" s="975">
        <f t="shared" si="14"/>
        <v>13.71697683403187</v>
      </c>
      <c r="R28" s="981">
        <f t="shared" si="15"/>
        <v>15.034863279817026</v>
      </c>
      <c r="U28" s="99">
        <f>IF([1]SLPR!G27="","",[1]SLPR!G27)</f>
        <v>23.2</v>
      </c>
      <c r="V28" s="99">
        <f>IF([1]SLPR!H27="","",[1]SLPR!H27)</f>
        <v>20.399999999999999</v>
      </c>
      <c r="W28" s="99">
        <f>IF([1]SLPR!I27="","",[1]SLPR!I27)</f>
        <v>18.8</v>
      </c>
      <c r="X28" s="99">
        <f>IF([1]SLPR!J27="","",[1]SLPR!J27)</f>
        <v>0</v>
      </c>
      <c r="Y28" s="99">
        <f t="shared" si="16"/>
        <v>1</v>
      </c>
      <c r="Z28" s="99">
        <f t="shared" si="17"/>
        <v>1</v>
      </c>
      <c r="AA28" s="99">
        <f t="shared" si="18"/>
        <v>1</v>
      </c>
      <c r="AB28" s="99">
        <f t="shared" si="19"/>
        <v>0</v>
      </c>
    </row>
    <row r="29" spans="1:28" ht="27.75" x14ac:dyDescent="0.4">
      <c r="A29" s="989">
        <v>25</v>
      </c>
      <c r="B29" s="987">
        <f t="shared" si="9"/>
        <v>4</v>
      </c>
      <c r="C29" s="974">
        <f>IF(SUM([1]SLPR!M28:P28)=0,"",SUM([1]SLPR!M28:P28))</f>
        <v>66.900000000000006</v>
      </c>
      <c r="D29" s="975">
        <f>IF(OR([1]SLPR!Q28="",[1]SLPR!R28="",[1]SLPR!F28=""),"",([1]SLPR!Q28*10-[1]SLPR!R28*1-[1]SLPR!F28*10)/1000)</f>
        <v>755.74549999999999</v>
      </c>
      <c r="E29" s="976">
        <f>IF([1]BP_Lab!B28="","",[1]BP_Lab!B28)</f>
        <v>1.97</v>
      </c>
      <c r="F29" s="992">
        <f t="shared" si="10"/>
        <v>62.083737079499997</v>
      </c>
      <c r="G29" s="998" t="str">
        <f>IF([2]BP_GB!D28,[2]BP_GB!D28,"")</f>
        <v/>
      </c>
      <c r="H29" s="974" t="str">
        <f t="shared" si="11"/>
        <v/>
      </c>
      <c r="I29" s="981" t="str">
        <f t="shared" si="12"/>
        <v/>
      </c>
      <c r="J29" s="995">
        <f>IF([1]Sldg_Wgt!E28="","",[1]Sldg_Wgt!E28)</f>
        <v>271.79999999999995</v>
      </c>
      <c r="K29" s="976">
        <f>IF([1]BP_Lab!D28="","",[1]BP_Lab!D28)</f>
        <v>18.739999999999998</v>
      </c>
      <c r="L29" s="976">
        <f>IF(J29="","",IF([1]BP_Lab!D28,J29*K29/100,J29*$K$40/100))</f>
        <v>50.935319999999983</v>
      </c>
      <c r="M29" s="976">
        <f>[1]Sldg_Wgt!F28</f>
        <v>8</v>
      </c>
      <c r="N29" s="974"/>
      <c r="O29" s="1001">
        <f t="shared" si="13"/>
        <v>0</v>
      </c>
      <c r="P29" s="1004">
        <f>IF([1]SLPR!R28="","",[1]SLPR!R28*1*0.006*8.34)</f>
        <v>689.35104000000001</v>
      </c>
      <c r="Q29" s="975">
        <f t="shared" si="14"/>
        <v>11.1035687029804</v>
      </c>
      <c r="R29" s="981">
        <f t="shared" si="15"/>
        <v>13.533851166538273</v>
      </c>
      <c r="U29" s="99">
        <f>IF([1]SLPR!G28="","",[1]SLPR!G28)</f>
        <v>24.4</v>
      </c>
      <c r="V29" s="99">
        <f>IF([1]SLPR!H28="","",[1]SLPR!H28)</f>
        <v>24.3</v>
      </c>
      <c r="W29" s="99">
        <f>IF([1]SLPR!I28="","",[1]SLPR!I28)</f>
        <v>24.4</v>
      </c>
      <c r="X29" s="99">
        <f>IF([1]SLPR!J28="","",[1]SLPR!J28)</f>
        <v>0.8</v>
      </c>
      <c r="Y29" s="99">
        <f t="shared" si="16"/>
        <v>1</v>
      </c>
      <c r="Z29" s="99">
        <f t="shared" si="17"/>
        <v>1</v>
      </c>
      <c r="AA29" s="99">
        <f t="shared" si="18"/>
        <v>1</v>
      </c>
      <c r="AB29" s="99">
        <f t="shared" si="19"/>
        <v>1</v>
      </c>
    </row>
    <row r="30" spans="1:28" ht="27.75" x14ac:dyDescent="0.4">
      <c r="A30" s="989">
        <v>26</v>
      </c>
      <c r="B30" s="987">
        <f t="shared" si="9"/>
        <v>3</v>
      </c>
      <c r="C30" s="974">
        <f>IF(SUM([1]SLPR!M29:P29)=0,"",SUM([1]SLPR!M29:P29))</f>
        <v>61.699999999999996</v>
      </c>
      <c r="D30" s="975">
        <f>IF(OR([1]SLPR!Q29="",[1]SLPR!R29="",[1]SLPR!F29=""),"",([1]SLPR!Q29*10-[1]SLPR!R29*1-[1]SLPR!F29*10)/1000)</f>
        <v>750.10380000000009</v>
      </c>
      <c r="E30" s="976">
        <f>IF([1]BP_Lab!B29="","",[1]BP_Lab!B29)</f>
        <v>1.89</v>
      </c>
      <c r="F30" s="992">
        <f t="shared" si="10"/>
        <v>59.117930789399999</v>
      </c>
      <c r="G30" s="998" t="str">
        <f>IF([2]BP_GB!D29,[2]BP_GB!D29,"")</f>
        <v/>
      </c>
      <c r="H30" s="974" t="str">
        <f t="shared" si="11"/>
        <v/>
      </c>
      <c r="I30" s="981" t="str">
        <f t="shared" si="12"/>
        <v/>
      </c>
      <c r="J30" s="995">
        <f>IF([1]Sldg_Wgt!E29="","",[1]Sldg_Wgt!E29)</f>
        <v>170.38</v>
      </c>
      <c r="K30" s="976">
        <f>IF([1]BP_Lab!D29="","",[1]BP_Lab!D29)</f>
        <v>19.73</v>
      </c>
      <c r="L30" s="976">
        <f>IF(J30="","",IF([1]BP_Lab!D29,J30*K30/100,J30*$K$40/100))</f>
        <v>33.615974000000001</v>
      </c>
      <c r="M30" s="976">
        <f>[1]Sldg_Wgt!F29</f>
        <v>5</v>
      </c>
      <c r="N30" s="974"/>
      <c r="O30" s="1001">
        <f t="shared" si="13"/>
        <v>0</v>
      </c>
      <c r="P30" s="1004">
        <f>IF([1]SLPR!R29="","",[1]SLPR!R29*1*0.006*8.34)</f>
        <v>632.55564000000004</v>
      </c>
      <c r="Q30" s="975">
        <f t="shared" si="14"/>
        <v>10.699894795935904</v>
      </c>
      <c r="R30" s="981">
        <f t="shared" si="15"/>
        <v>18.817114744317688</v>
      </c>
      <c r="U30" s="99">
        <f>IF([1]SLPR!G29="","",[1]SLPR!G29)</f>
        <v>20.9</v>
      </c>
      <c r="V30" s="99">
        <f>IF([1]SLPR!H29="","",[1]SLPR!H29)</f>
        <v>20.9</v>
      </c>
      <c r="W30" s="99">
        <f>IF([1]SLPR!I29="","",[1]SLPR!I29)</f>
        <v>20.9</v>
      </c>
      <c r="X30" s="99">
        <f>IF([1]SLPR!J29="","",[1]SLPR!J29)</f>
        <v>0</v>
      </c>
      <c r="Y30" s="99">
        <f t="shared" si="16"/>
        <v>1</v>
      </c>
      <c r="Z30" s="99">
        <f t="shared" si="17"/>
        <v>1</v>
      </c>
      <c r="AA30" s="99">
        <f t="shared" si="18"/>
        <v>1</v>
      </c>
      <c r="AB30" s="99">
        <f t="shared" si="19"/>
        <v>0</v>
      </c>
    </row>
    <row r="31" spans="1:28" ht="27.75" x14ac:dyDescent="0.4">
      <c r="A31" s="989">
        <v>27</v>
      </c>
      <c r="B31" s="987">
        <f t="shared" si="9"/>
        <v>3</v>
      </c>
      <c r="C31" s="974">
        <f>IF(SUM([1]SLPR!M30:P30)=0,"",SUM([1]SLPR!M30:P30))</f>
        <v>46.3</v>
      </c>
      <c r="D31" s="975">
        <f>IF(OR([1]SLPR!Q30="",[1]SLPR!R30="",[1]SLPR!F30=""),"",([1]SLPR!Q30*10-[1]SLPR!R30*1-[1]SLPR!F30*10)/1000)</f>
        <v>436.62970000000001</v>
      </c>
      <c r="E31" s="976">
        <f>IF([1]BP_Lab!B30="","",[1]BP_Lab!B30)</f>
        <v>1.87</v>
      </c>
      <c r="F31" s="992">
        <f t="shared" si="10"/>
        <v>34.047947376300009</v>
      </c>
      <c r="G31" s="998" t="str">
        <f>IF([2]BP_GB!D30,[2]BP_GB!D30,"")</f>
        <v/>
      </c>
      <c r="H31" s="974" t="str">
        <f t="shared" si="11"/>
        <v/>
      </c>
      <c r="I31" s="981" t="str">
        <f t="shared" si="12"/>
        <v/>
      </c>
      <c r="J31" s="995">
        <f>IF([1]Sldg_Wgt!E30="","",[1]Sldg_Wgt!E30)</f>
        <v>67.800000000000011</v>
      </c>
      <c r="K31" s="976">
        <f>IF([1]BP_Lab!D30="","",[1]BP_Lab!D30)</f>
        <v>18.399999999999999</v>
      </c>
      <c r="L31" s="976">
        <f>IF(J31="","",IF([1]BP_Lab!D30,J31*K31/100,J31*$K$40/100))</f>
        <v>12.475200000000003</v>
      </c>
      <c r="M31" s="976">
        <f>[1]Sldg_Wgt!F30</f>
        <v>2</v>
      </c>
      <c r="N31" s="974"/>
      <c r="O31" s="1001">
        <f t="shared" si="13"/>
        <v>0</v>
      </c>
      <c r="P31" s="1004">
        <f>IF([1]SLPR!R30="","",[1]SLPR!R30*1*0.006*8.34)</f>
        <v>491.94324</v>
      </c>
      <c r="Q31" s="975">
        <f t="shared" si="14"/>
        <v>14.448543242945398</v>
      </c>
      <c r="R31" s="981">
        <f t="shared" si="15"/>
        <v>39.433695652173903</v>
      </c>
      <c r="U31" s="99">
        <f>IF([1]SLPR!G30="","",[1]SLPR!G30)</f>
        <v>22.4</v>
      </c>
      <c r="V31" s="99">
        <f>IF([1]SLPR!H30="","",[1]SLPR!H30)</f>
        <v>18.5</v>
      </c>
      <c r="W31" s="99">
        <f>IF([1]SLPR!I30="","",[1]SLPR!I30)</f>
        <v>24.9</v>
      </c>
      <c r="X31" s="99">
        <f>IF([1]SLPR!J30="","",[1]SLPR!J30)</f>
        <v>0</v>
      </c>
      <c r="Y31" s="99">
        <f t="shared" si="16"/>
        <v>1</v>
      </c>
      <c r="Z31" s="99">
        <f t="shared" si="17"/>
        <v>1</v>
      </c>
      <c r="AA31" s="99">
        <f t="shared" si="18"/>
        <v>1</v>
      </c>
      <c r="AB31" s="99">
        <f t="shared" si="19"/>
        <v>0</v>
      </c>
    </row>
    <row r="32" spans="1:28" ht="27.75" x14ac:dyDescent="0.4">
      <c r="A32" s="989">
        <v>28</v>
      </c>
      <c r="B32" s="987">
        <f t="shared" si="9"/>
        <v>3</v>
      </c>
      <c r="C32" s="974">
        <f>IF(SUM([1]SLPR!M31:P31)=0,"",SUM([1]SLPR!M31:P31))</f>
        <v>49.900000000000006</v>
      </c>
      <c r="D32" s="975">
        <f>IF(OR([1]SLPR!Q31="",[1]SLPR!R31="",[1]SLPR!F31=""),"",([1]SLPR!Q31*10-[1]SLPR!R31*1-[1]SLPR!F31*10)/1000)</f>
        <v>555.97530000000006</v>
      </c>
      <c r="E32" s="976">
        <f>IF([1]BP_Lab!B31="","",[1]BP_Lab!B31)</f>
        <v>1.91</v>
      </c>
      <c r="F32" s="992">
        <f t="shared" si="10"/>
        <v>44.281764719099996</v>
      </c>
      <c r="G32" s="998" t="str">
        <f>IF([2]BP_GB!D31,[2]BP_GB!D31,"")</f>
        <v/>
      </c>
      <c r="H32" s="974" t="str">
        <f t="shared" si="11"/>
        <v/>
      </c>
      <c r="I32" s="981" t="str">
        <f t="shared" si="12"/>
        <v/>
      </c>
      <c r="J32" s="995">
        <f>IF([1]Sldg_Wgt!E31="","",[1]Sldg_Wgt!E31)</f>
        <v>236.85999999999999</v>
      </c>
      <c r="K32" s="976">
        <f>IF([1]BP_Lab!D31="","",[1]BP_Lab!D31)</f>
        <v>19.37</v>
      </c>
      <c r="L32" s="976">
        <f>IF(J32="","",IF([1]BP_Lab!D31,J32*K32/100,J32*$K$40/100))</f>
        <v>45.879781999999999</v>
      </c>
      <c r="M32" s="976">
        <f>[1]Sldg_Wgt!F31</f>
        <v>7</v>
      </c>
      <c r="N32" s="974"/>
      <c r="O32" s="1001">
        <f t="shared" si="13"/>
        <v>0</v>
      </c>
      <c r="P32" s="1004">
        <f>IF([1]SLPR!R31="","",[1]SLPR!R31*1*0.006*8.34)</f>
        <v>616.79304000000002</v>
      </c>
      <c r="Q32" s="975">
        <f t="shared" si="14"/>
        <v>13.928826999389198</v>
      </c>
      <c r="R32" s="981">
        <f t="shared" si="15"/>
        <v>13.443678524889243</v>
      </c>
      <c r="U32" s="99">
        <f>IF([1]SLPR!G31="","",[1]SLPR!G31)</f>
        <v>19.399999999999999</v>
      </c>
      <c r="V32" s="99">
        <f>IF([1]SLPR!H31="","",[1]SLPR!H31)</f>
        <v>17.399999999999999</v>
      </c>
      <c r="W32" s="99">
        <f>IF([1]SLPR!I31="","",[1]SLPR!I31)</f>
        <v>19.899999999999999</v>
      </c>
      <c r="X32" s="99">
        <f>IF([1]SLPR!J31="","",[1]SLPR!J31)</f>
        <v>0</v>
      </c>
      <c r="Y32" s="99">
        <f t="shared" si="16"/>
        <v>1</v>
      </c>
      <c r="Z32" s="99">
        <f t="shared" si="17"/>
        <v>1</v>
      </c>
      <c r="AA32" s="99">
        <f t="shared" si="18"/>
        <v>1</v>
      </c>
      <c r="AB32" s="99">
        <f t="shared" si="19"/>
        <v>0</v>
      </c>
    </row>
    <row r="33" spans="1:29" ht="27.75" x14ac:dyDescent="0.4">
      <c r="A33" s="989">
        <v>29</v>
      </c>
      <c r="B33" s="987">
        <f t="shared" si="9"/>
        <v>4</v>
      </c>
      <c r="C33" s="974">
        <f>IF(SUM([1]SLPR!M32:P32)=0,"",SUM([1]SLPR!M32:P32))</f>
        <v>40.299999999999997</v>
      </c>
      <c r="D33" s="975">
        <f>IF(OR([1]SLPR!Q32="",[1]SLPR!R32="",[1]SLPR!F32=""),"",([1]SLPR!Q32*10-[1]SLPR!R32*1-[1]SLPR!F32*10)/1000)</f>
        <v>444.28980000000001</v>
      </c>
      <c r="E33" s="976">
        <f>IF([1]BP_Lab!B32="","",[1]BP_Lab!B32)</f>
        <v>1.8</v>
      </c>
      <c r="F33" s="992">
        <f t="shared" si="10"/>
        <v>33.348392388000001</v>
      </c>
      <c r="G33" s="998">
        <f>IF([2]BP_GB!D32,[2]BP_GB!D32,"")</f>
        <v>0.09</v>
      </c>
      <c r="H33" s="974">
        <f t="shared" si="11"/>
        <v>1.6674196194000004</v>
      </c>
      <c r="I33" s="981">
        <f t="shared" si="12"/>
        <v>95</v>
      </c>
      <c r="J33" s="995">
        <f>IF([1]Sldg_Wgt!E32="","",[1]Sldg_Wgt!E32)</f>
        <v>170.64</v>
      </c>
      <c r="K33" s="976">
        <f>IF([1]BP_Lab!D32="","",[1]BP_Lab!D32)</f>
        <v>18.91</v>
      </c>
      <c r="L33" s="976">
        <f>IF(J33="","",IF([1]BP_Lab!D32,J33*K33/100,J33*$K$40/100))</f>
        <v>32.268023999999997</v>
      </c>
      <c r="M33" s="976">
        <f>[1]Sldg_Wgt!F32</f>
        <v>5</v>
      </c>
      <c r="N33" s="974"/>
      <c r="O33" s="1001">
        <f t="shared" si="13"/>
        <v>0</v>
      </c>
      <c r="P33" s="1004">
        <f>IF([1]SLPR!R32="","",[1]SLPR!R32*1*0.006*8.34)</f>
        <v>517.31351999999993</v>
      </c>
      <c r="Q33" s="975">
        <f t="shared" si="14"/>
        <v>15.512397538723596</v>
      </c>
      <c r="R33" s="981">
        <f t="shared" si="15"/>
        <v>16.031769407386086</v>
      </c>
      <c r="U33" s="99">
        <f>IF([1]SLPR!G32="","",[1]SLPR!G32)</f>
        <v>14.5</v>
      </c>
      <c r="V33" s="99">
        <f>IF([1]SLPR!H32="","",[1]SLPR!H32)</f>
        <v>7.9</v>
      </c>
      <c r="W33" s="99">
        <f>IF([1]SLPR!I32="","",[1]SLPR!I32)</f>
        <v>14.7</v>
      </c>
      <c r="X33" s="99">
        <f>IF([1]SLPR!J32="","",[1]SLPR!J32)</f>
        <v>8.6</v>
      </c>
      <c r="Y33" s="99">
        <f t="shared" si="16"/>
        <v>1</v>
      </c>
      <c r="Z33" s="99">
        <f t="shared" si="17"/>
        <v>1</v>
      </c>
      <c r="AA33" s="99">
        <f t="shared" si="18"/>
        <v>1</v>
      </c>
      <c r="AB33" s="99">
        <f t="shared" si="19"/>
        <v>1</v>
      </c>
    </row>
    <row r="34" spans="1:29" ht="27.75" x14ac:dyDescent="0.4">
      <c r="A34" s="989">
        <v>30</v>
      </c>
      <c r="B34" s="987">
        <f t="shared" ref="B34" si="20">IF(SUM(Y34:AB34)=0,"",SUM(Y34:AB34))</f>
        <v>4</v>
      </c>
      <c r="C34" s="974">
        <f>IF(SUM([1]SLPR!M33:P33)=0,"",SUM([1]SLPR!M33:P33))</f>
        <v>67.2</v>
      </c>
      <c r="D34" s="975">
        <f>IF(OR([1]SLPR!Q33="",[1]SLPR!R33="",[1]SLPR!F33=""),"",([1]SLPR!Q33*10-[1]SLPR!R33*1-[1]SLPR!F33*10)/1000)</f>
        <v>748.24259999999992</v>
      </c>
      <c r="E34" s="976">
        <f>IF([1]BP_Lab!B33="","",[1]BP_Lab!B33)</f>
        <v>1.82</v>
      </c>
      <c r="F34" s="992">
        <f t="shared" ref="F34" si="21">IF(OR(D34="",E34=""),"",D34*10*E34*8.34/2000)</f>
        <v>56.787123884399996</v>
      </c>
      <c r="G34" s="998" t="str">
        <f>IF([2]BP_GB!D33,[2]BP_GB!D33,"")</f>
        <v/>
      </c>
      <c r="H34" s="974" t="str">
        <f t="shared" ref="H34" si="22">IF(OR(F34="",I34=""),"",F34-(F34*(I34/100)))</f>
        <v/>
      </c>
      <c r="I34" s="981" t="str">
        <f t="shared" ref="I34" si="23">IF(OR(E34="",G34=""),"",((E34-G34)/E34)*(100))</f>
        <v/>
      </c>
      <c r="J34" s="995">
        <f>IF([1]Sldg_Wgt!E33="","",[1]Sldg_Wgt!E33)</f>
        <v>238.97000000000003</v>
      </c>
      <c r="K34" s="976">
        <f>IF([1]BP_Lab!D33="","",[1]BP_Lab!D33)</f>
        <v>19.36</v>
      </c>
      <c r="L34" s="976">
        <f>IF(J34="","",IF([1]BP_Lab!D33,J34*K34/100,J34*$K$40/100))</f>
        <v>46.264592</v>
      </c>
      <c r="M34" s="976">
        <f>[1]Sldg_Wgt!F33</f>
        <v>7</v>
      </c>
      <c r="N34" s="974"/>
      <c r="O34" s="1001">
        <f t="shared" ref="O34" si="24">IF(N34,N34*M34/100,$N$40*M34/100)</f>
        <v>0</v>
      </c>
      <c r="P34" s="1004">
        <f>IF([1]SLPR!R33="","",[1]SLPR!R33*1*0.006*8.34)</f>
        <v>818.50427999999999</v>
      </c>
      <c r="Q34" s="975">
        <f t="shared" ref="Q34" si="25">IF(OR(P34="",F34="",F34=0),"",P34/F34)</f>
        <v>14.4135540596528</v>
      </c>
      <c r="R34" s="981">
        <f t="shared" ref="R34" si="26">IF(OR(P34="",L34="",L34=0),"",P34/L34)</f>
        <v>17.691808024590383</v>
      </c>
      <c r="U34" s="99">
        <f>IF([1]SLPR!G33="","",[1]SLPR!G33)</f>
        <v>24.4</v>
      </c>
      <c r="V34" s="99">
        <f>IF([1]SLPR!H33="","",[1]SLPR!H33)</f>
        <v>13.2</v>
      </c>
      <c r="W34" s="99">
        <f>IF([1]SLPR!I33="","",[1]SLPR!I33)</f>
        <v>24.3</v>
      </c>
      <c r="X34" s="99">
        <f>IF([1]SLPR!J33="","",[1]SLPR!J33)</f>
        <v>13.4</v>
      </c>
      <c r="Y34" s="99">
        <f t="shared" si="16"/>
        <v>1</v>
      </c>
      <c r="Z34" s="99">
        <f t="shared" si="17"/>
        <v>1</v>
      </c>
      <c r="AA34" s="99">
        <f t="shared" si="18"/>
        <v>1</v>
      </c>
      <c r="AB34" s="99">
        <f t="shared" si="19"/>
        <v>1</v>
      </c>
    </row>
    <row r="35" spans="1:29" ht="28.5" thickBot="1" x14ac:dyDescent="0.45">
      <c r="A35" s="989">
        <v>31</v>
      </c>
      <c r="B35" s="987">
        <f t="shared" ref="B35" si="27">IF(SUM(Y35:AB35)=0,"",SUM(Y35:AB35))</f>
        <v>3</v>
      </c>
      <c r="C35" s="974">
        <f>IF(SUM([1]SLPR!M34:P34)=0,"",SUM([1]SLPR!M34:P34))</f>
        <v>68.2</v>
      </c>
      <c r="D35" s="975">
        <f>IF(OR([1]SLPR!Q34="",[1]SLPR!R34="",[1]SLPR!F34=""),"",([1]SLPR!Q34*10-[1]SLPR!R34*1-[1]SLPR!F34*10)/1000)</f>
        <v>781.68209999999999</v>
      </c>
      <c r="E35" s="976">
        <f>IF([1]BP_Lab!B34="","",[1]BP_Lab!B34)</f>
        <v>1.87</v>
      </c>
      <c r="F35" s="992">
        <f t="shared" ref="F35" si="28">IF(OR(D35="",E35=""),"",D35*10*E35*8.34/2000)</f>
        <v>60.954788475900003</v>
      </c>
      <c r="G35" s="998" t="str">
        <f>IF([2]BP_GB!D34,[2]BP_GB!D34,"")</f>
        <v/>
      </c>
      <c r="H35" s="974" t="str">
        <f t="shared" ref="H35" si="29">IF(OR(F35="",I35=""),"",F35-(F35*(I35/100)))</f>
        <v/>
      </c>
      <c r="I35" s="981" t="str">
        <f t="shared" ref="I35" si="30">IF(OR(E35="",G35=""),"",((E35-G35)/E35)*(100))</f>
        <v/>
      </c>
      <c r="J35" s="995">
        <f>IF([1]Sldg_Wgt!E34="","",[1]Sldg_Wgt!E34)</f>
        <v>205.09999999999997</v>
      </c>
      <c r="K35" s="976">
        <f>IF([1]BP_Lab!D34="","",[1]BP_Lab!D34)</f>
        <v>18.440000000000001</v>
      </c>
      <c r="L35" s="976">
        <f>IF(J35="","",IF([1]BP_Lab!D34,J35*K35/100,J35*$K$40/100))</f>
        <v>37.820439999999991</v>
      </c>
      <c r="M35" s="976">
        <f>[1]Sldg_Wgt!F34</f>
        <v>6</v>
      </c>
      <c r="N35" s="974"/>
      <c r="O35" s="1001">
        <f t="shared" ref="O35" si="31">IF(N35,N35*M35/100,$N$40*M35/100)</f>
        <v>0</v>
      </c>
      <c r="P35" s="1004">
        <f>IF([1]SLPR!R34="","",[1]SLPR!R34*1*0.006*8.34)</f>
        <v>820.65600000000006</v>
      </c>
      <c r="Q35" s="975">
        <f t="shared" ref="Q35" si="32">IF(OR(P35="",F35="",F35=0),"",P35/F35)</f>
        <v>13.463355718549773</v>
      </c>
      <c r="R35" s="981">
        <f t="shared" ref="R35" si="33">IF(OR(P35="",L35="",L35=0),"",P35/L35)</f>
        <v>21.698742796223424</v>
      </c>
      <c r="U35" s="101">
        <f>IF([1]SLPR!G34="","",[1]SLPR!G34)</f>
        <v>23.4</v>
      </c>
      <c r="V35" s="101">
        <f>IF([1]SLPR!H34="","",[1]SLPR!H34)</f>
        <v>23.2</v>
      </c>
      <c r="W35" s="101">
        <f>IF([1]SLPR!I34="","",[1]SLPR!I34)</f>
        <v>23</v>
      </c>
      <c r="X35" s="101">
        <f>IF([1]SLPR!J34="","",[1]SLPR!J34)</f>
        <v>0</v>
      </c>
      <c r="Y35" s="190">
        <f t="shared" ref="Y35" si="34">IF(U35="","",IF(U35,1,0))</f>
        <v>1</v>
      </c>
      <c r="Z35" s="99">
        <f t="shared" ref="Z35:AB35" si="35">IF(V35="","",IF(V35,1,0))</f>
        <v>1</v>
      </c>
      <c r="AA35" s="99">
        <f t="shared" si="35"/>
        <v>1</v>
      </c>
      <c r="AB35" s="99">
        <f t="shared" si="35"/>
        <v>0</v>
      </c>
    </row>
    <row r="36" spans="1:29" ht="27.75" x14ac:dyDescent="0.4">
      <c r="A36" s="988" t="s">
        <v>539</v>
      </c>
      <c r="B36" s="986">
        <f t="shared" ref="B36:M36" si="36">MAX(B5:B35)</f>
        <v>4</v>
      </c>
      <c r="C36" s="977">
        <f t="shared" si="36"/>
        <v>74.699999999999989</v>
      </c>
      <c r="D36" s="978">
        <f t="shared" si="36"/>
        <v>835.41</v>
      </c>
      <c r="E36" s="979">
        <f t="shared" si="36"/>
        <v>2.11</v>
      </c>
      <c r="F36" s="991">
        <f t="shared" si="36"/>
        <v>63.054240570000005</v>
      </c>
      <c r="G36" s="997">
        <f t="shared" si="36"/>
        <v>0.16</v>
      </c>
      <c r="H36" s="977">
        <f t="shared" si="36"/>
        <v>3.8037702087000014</v>
      </c>
      <c r="I36" s="980">
        <f t="shared" si="36"/>
        <v>95</v>
      </c>
      <c r="J36" s="994">
        <f t="shared" si="36"/>
        <v>273.09000000000003</v>
      </c>
      <c r="K36" s="979">
        <f t="shared" si="36"/>
        <v>20.170000000000002</v>
      </c>
      <c r="L36" s="979">
        <f t="shared" si="36"/>
        <v>52.924842000000005</v>
      </c>
      <c r="M36" s="979">
        <f t="shared" si="36"/>
        <v>8</v>
      </c>
      <c r="N36" s="977"/>
      <c r="O36" s="1000">
        <f>MAX(O5:O35)</f>
        <v>0</v>
      </c>
      <c r="P36" s="1003">
        <f>MAX(P5:P35)</f>
        <v>1100.0293199999999</v>
      </c>
      <c r="Q36" s="978">
        <f>MAX(Q5:Q35)</f>
        <v>18.074654547414696</v>
      </c>
      <c r="R36" s="980">
        <f>MAX(R5:R35)</f>
        <v>39.433695652173903</v>
      </c>
      <c r="U36" s="101"/>
      <c r="V36" s="101"/>
      <c r="W36" s="101"/>
      <c r="X36" s="99"/>
      <c r="Y36" s="99"/>
      <c r="Z36" s="99"/>
      <c r="AA36" s="99"/>
      <c r="AB36" s="99"/>
      <c r="AC36" s="1"/>
    </row>
    <row r="37" spans="1:29" ht="27.75" x14ac:dyDescent="0.4">
      <c r="A37" s="989" t="s">
        <v>590</v>
      </c>
      <c r="B37" s="987">
        <f t="shared" ref="B37:M37" si="37">MIN(B5:B35)</f>
        <v>2</v>
      </c>
      <c r="C37" s="974">
        <f t="shared" si="37"/>
        <v>24.200000000000003</v>
      </c>
      <c r="D37" s="975">
        <f t="shared" si="37"/>
        <v>288.7167</v>
      </c>
      <c r="E37" s="976">
        <f t="shared" si="37"/>
        <v>1.71</v>
      </c>
      <c r="F37" s="992">
        <f t="shared" si="37"/>
        <v>22.754629277099998</v>
      </c>
      <c r="G37" s="998">
        <f t="shared" si="37"/>
        <v>0.09</v>
      </c>
      <c r="H37" s="974">
        <f t="shared" si="37"/>
        <v>1.6674196194000004</v>
      </c>
      <c r="I37" s="981">
        <f t="shared" si="37"/>
        <v>92.417061611374407</v>
      </c>
      <c r="J37" s="995">
        <f t="shared" si="37"/>
        <v>67.800000000000011</v>
      </c>
      <c r="K37" s="976">
        <f t="shared" si="37"/>
        <v>15.63</v>
      </c>
      <c r="L37" s="976">
        <f t="shared" si="37"/>
        <v>11.921000000000001</v>
      </c>
      <c r="M37" s="976">
        <f t="shared" si="37"/>
        <v>2</v>
      </c>
      <c r="N37" s="974"/>
      <c r="O37" s="1001">
        <f>MIN(O5:O35)</f>
        <v>0</v>
      </c>
      <c r="P37" s="1004">
        <f>MIN(P5:P35)</f>
        <v>353.63267999999999</v>
      </c>
      <c r="Q37" s="975">
        <f>MIN(Q5:Q35)</f>
        <v>10.699894795935904</v>
      </c>
      <c r="R37" s="981">
        <f>MIN(R5:R35)</f>
        <v>13.443678524889243</v>
      </c>
      <c r="U37" s="101"/>
      <c r="V37" s="101"/>
      <c r="W37" s="101"/>
      <c r="X37" s="99"/>
      <c r="Y37" s="99"/>
      <c r="Z37" s="99"/>
      <c r="AA37" s="99"/>
      <c r="AB37" s="99"/>
      <c r="AC37" s="1"/>
    </row>
    <row r="38" spans="1:29" ht="27.75" hidden="1" x14ac:dyDescent="0.4">
      <c r="A38" s="989" t="s">
        <v>591</v>
      </c>
      <c r="B38" s="1006">
        <f t="shared" ref="B38:M38" si="38">STDEV(B5:B35)</f>
        <v>0.71692293492652082</v>
      </c>
      <c r="C38" s="974">
        <f t="shared" si="38"/>
        <v>11.917845118059807</v>
      </c>
      <c r="D38" s="975">
        <f t="shared" si="38"/>
        <v>131.74755972006042</v>
      </c>
      <c r="E38" s="974">
        <f t="shared" si="38"/>
        <v>0.1072340420992617</v>
      </c>
      <c r="F38" s="992">
        <f t="shared" si="38"/>
        <v>10.314814873952113</v>
      </c>
      <c r="G38" s="998">
        <f t="shared" si="38"/>
        <v>2.7748873851023339E-2</v>
      </c>
      <c r="H38" s="974">
        <f t="shared" si="38"/>
        <v>0.79423022857441694</v>
      </c>
      <c r="I38" s="981">
        <f t="shared" si="38"/>
        <v>1.0028945649568051</v>
      </c>
      <c r="J38" s="995">
        <f t="shared" si="38"/>
        <v>54.915085926961552</v>
      </c>
      <c r="K38" s="976">
        <f t="shared" si="38"/>
        <v>0.97230719956327627</v>
      </c>
      <c r="L38" s="976">
        <f t="shared" si="38"/>
        <v>10.429598086769563</v>
      </c>
      <c r="M38" s="976">
        <f t="shared" si="38"/>
        <v>1.6111172908051044</v>
      </c>
      <c r="N38" s="974"/>
      <c r="O38" s="1001">
        <f>STDEV(O5:O35)</f>
        <v>0</v>
      </c>
      <c r="P38" s="1004">
        <f>STDEV(P5:P35)</f>
        <v>164.15110429301828</v>
      </c>
      <c r="Q38" s="975">
        <f>STDEV(Q5:Q35)</f>
        <v>1.8987151000713385</v>
      </c>
      <c r="R38" s="981">
        <f>STDEV(R5:R35)</f>
        <v>6.3803492772899002</v>
      </c>
      <c r="U38" s="101"/>
      <c r="V38" s="101"/>
      <c r="W38" s="101"/>
      <c r="X38" s="99"/>
      <c r="Y38" s="99"/>
      <c r="Z38" s="99"/>
      <c r="AA38" s="99"/>
      <c r="AB38" s="99"/>
      <c r="AC38" s="1"/>
    </row>
    <row r="39" spans="1:29" ht="27.75" x14ac:dyDescent="0.4">
      <c r="A39" s="989" t="s">
        <v>592</v>
      </c>
      <c r="B39" s="987"/>
      <c r="C39" s="974">
        <f>SUM(C5:C35)</f>
        <v>1693.7000000000005</v>
      </c>
      <c r="D39" s="975">
        <f>SUM(D5:D35)</f>
        <v>19159.5003</v>
      </c>
      <c r="E39" s="973"/>
      <c r="F39" s="992">
        <f>SUM(F5:F35)</f>
        <v>1495.3960457148</v>
      </c>
      <c r="G39" s="998"/>
      <c r="H39" s="974">
        <f>SUM(H5:H35)</f>
        <v>13.396447799700013</v>
      </c>
      <c r="I39" s="981"/>
      <c r="J39" s="995">
        <f>SUM(J5:J35)</f>
        <v>6279.6400000000012</v>
      </c>
      <c r="K39" s="976"/>
      <c r="L39" s="976">
        <f>SUM(L5:L35)</f>
        <v>1167.2248729999999</v>
      </c>
      <c r="M39" s="976">
        <f>SUM(M5:M35)</f>
        <v>184</v>
      </c>
      <c r="N39" s="974"/>
      <c r="O39" s="1001">
        <f>SUM(O5:O35)</f>
        <v>0</v>
      </c>
      <c r="P39" s="1004">
        <f>SUM(P5:P35)</f>
        <v>21180.981239999997</v>
      </c>
      <c r="Q39" s="975">
        <f>SUM(Q5:Q35)</f>
        <v>441.58014539996685</v>
      </c>
      <c r="R39" s="981"/>
      <c r="U39" s="101"/>
      <c r="V39" s="101"/>
      <c r="W39" s="101"/>
      <c r="X39" s="99"/>
      <c r="Y39" s="99"/>
      <c r="Z39" s="99"/>
      <c r="AA39" s="99"/>
      <c r="AB39" s="99"/>
      <c r="AC39" s="1"/>
    </row>
    <row r="40" spans="1:29" ht="28.5" thickBot="1" x14ac:dyDescent="0.45">
      <c r="A40" s="990" t="s">
        <v>538</v>
      </c>
      <c r="B40" s="1007">
        <f t="shared" ref="B40:M40" si="39">AVERAGE(B5:B35)</f>
        <v>3.225806451612903</v>
      </c>
      <c r="C40" s="982">
        <f t="shared" si="39"/>
        <v>54.635483870967761</v>
      </c>
      <c r="D40" s="983">
        <f t="shared" si="39"/>
        <v>618.04839677419352</v>
      </c>
      <c r="E40" s="984">
        <f t="shared" si="39"/>
        <v>1.8751612903225805</v>
      </c>
      <c r="F40" s="993">
        <f t="shared" si="39"/>
        <v>48.238582119832259</v>
      </c>
      <c r="G40" s="999">
        <f t="shared" si="39"/>
        <v>0.11199999999999999</v>
      </c>
      <c r="H40" s="982">
        <f t="shared" si="39"/>
        <v>2.6792895599400026</v>
      </c>
      <c r="I40" s="985">
        <f t="shared" si="39"/>
        <v>94.023197711657303</v>
      </c>
      <c r="J40" s="996">
        <f t="shared" si="39"/>
        <v>202.56903225806457</v>
      </c>
      <c r="K40" s="984">
        <f t="shared" si="39"/>
        <v>18.567096774193551</v>
      </c>
      <c r="L40" s="984">
        <f t="shared" si="39"/>
        <v>37.652415258064515</v>
      </c>
      <c r="M40" s="984">
        <f t="shared" si="39"/>
        <v>5.935483870967742</v>
      </c>
      <c r="N40" s="982"/>
      <c r="O40" s="1002">
        <f>AVERAGE(O5:O35)</f>
        <v>0</v>
      </c>
      <c r="P40" s="1005">
        <f>AVERAGE(P5:P35)</f>
        <v>683.2574593548386</v>
      </c>
      <c r="Q40" s="983">
        <f>AVERAGE(Q5:Q35)</f>
        <v>14.24452081935377</v>
      </c>
      <c r="R40" s="985">
        <f>AVERAGE(R5:R35)</f>
        <v>19.413041967221655</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3"/>
      <c r="Q41" s="102"/>
      <c r="R41" s="102"/>
      <c r="X41" s="1"/>
      <c r="Y41" s="1"/>
      <c r="Z41" s="1"/>
      <c r="AA41" s="1"/>
      <c r="AB41" s="1"/>
      <c r="AC41" s="1"/>
    </row>
    <row r="42" spans="1:29" ht="27" x14ac:dyDescent="0.35">
      <c r="A42" s="321"/>
      <c r="B42" s="101"/>
      <c r="C42" s="104"/>
      <c r="D42" s="102"/>
      <c r="E42" s="102"/>
      <c r="F42" s="123" t="s">
        <v>169</v>
      </c>
      <c r="G42" s="104"/>
      <c r="H42" s="254" t="s">
        <v>710</v>
      </c>
      <c r="I42" s="102"/>
      <c r="J42" s="104"/>
      <c r="K42" s="104"/>
      <c r="L42" s="104"/>
      <c r="M42" s="104"/>
      <c r="N42" s="103"/>
      <c r="O42" s="104"/>
      <c r="P42" s="102"/>
      <c r="Q42" s="102"/>
      <c r="R42" s="102"/>
      <c r="X42" s="1"/>
      <c r="Y42" s="1"/>
      <c r="Z42" s="1"/>
      <c r="AA42" s="1"/>
      <c r="AB42" s="1"/>
      <c r="AC42" s="1"/>
    </row>
    <row r="43" spans="1:29" ht="27" x14ac:dyDescent="0.35">
      <c r="A43" s="321"/>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1"/>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1"/>
      <c r="B45" s="101"/>
      <c r="C45" s="104"/>
      <c r="D45" s="102"/>
      <c r="E45" s="101"/>
      <c r="F45" s="247"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55" zoomScaleNormal="70" zoomScaleSheetLayoutView="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50" customWidth="1"/>
    <col min="12" max="12" width="13.7109375" style="651" customWidth="1"/>
    <col min="13" max="13" width="14" style="651" customWidth="1"/>
    <col min="14" max="14" width="14" style="650" customWidth="1"/>
    <col min="15" max="15" width="14" style="654"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5"/>
      <c r="B1" s="448"/>
      <c r="C1" s="449" t="s">
        <v>674</v>
      </c>
      <c r="D1" s="450"/>
      <c r="E1" s="451"/>
      <c r="F1" s="452"/>
      <c r="G1" s="452"/>
      <c r="H1" s="452"/>
      <c r="I1" s="452"/>
      <c r="J1" s="453"/>
      <c r="K1" s="1672" t="s">
        <v>675</v>
      </c>
      <c r="L1" s="1672"/>
      <c r="M1" s="1673" t="s">
        <v>29</v>
      </c>
      <c r="N1" s="1674"/>
      <c r="O1" s="1675"/>
    </row>
    <row r="2" spans="1:21" ht="21.95" customHeight="1" thickBot="1" x14ac:dyDescent="0.35">
      <c r="A2" s="446" t="s">
        <v>550</v>
      </c>
      <c r="B2" s="454" t="s">
        <v>448</v>
      </c>
      <c r="C2" s="455"/>
      <c r="D2" s="456" t="s">
        <v>286</v>
      </c>
      <c r="E2" s="456"/>
      <c r="F2" s="457" t="s">
        <v>517</v>
      </c>
      <c r="G2" s="458"/>
      <c r="H2" s="459" t="s">
        <v>287</v>
      </c>
      <c r="I2" s="460"/>
      <c r="J2" s="459" t="s">
        <v>517</v>
      </c>
      <c r="K2" s="461" t="s">
        <v>349</v>
      </c>
      <c r="L2" s="658" t="s">
        <v>351</v>
      </c>
      <c r="M2" s="461"/>
      <c r="N2" s="655"/>
      <c r="O2" s="652"/>
    </row>
    <row r="3" spans="1:21" ht="20.25" x14ac:dyDescent="0.3">
      <c r="A3" s="447">
        <f>IF(date!B6="","",date!B6)</f>
        <v>43466</v>
      </c>
      <c r="B3" s="388" t="s">
        <v>284</v>
      </c>
      <c r="C3" s="462"/>
      <c r="D3" s="378"/>
      <c r="E3" s="378"/>
      <c r="F3" s="381" t="s">
        <v>515</v>
      </c>
      <c r="G3" s="462"/>
      <c r="H3" s="378"/>
      <c r="I3" s="378"/>
      <c r="J3" s="380" t="s">
        <v>516</v>
      </c>
      <c r="K3" s="656" t="s">
        <v>480</v>
      </c>
      <c r="L3" s="659" t="s">
        <v>352</v>
      </c>
      <c r="M3" s="656" t="s">
        <v>732</v>
      </c>
      <c r="N3" s="657" t="s">
        <v>733</v>
      </c>
      <c r="O3" s="653" t="s">
        <v>734</v>
      </c>
    </row>
    <row r="4" spans="1:21" ht="21" thickBot="1" x14ac:dyDescent="0.35">
      <c r="A4" s="795">
        <f>IF(date!B6="","",date!B6)</f>
        <v>43466</v>
      </c>
      <c r="B4" s="388" t="s">
        <v>481</v>
      </c>
      <c r="C4" s="462" t="s">
        <v>281</v>
      </c>
      <c r="D4" s="378" t="s">
        <v>282</v>
      </c>
      <c r="E4" s="378" t="s">
        <v>283</v>
      </c>
      <c r="F4" s="381" t="s">
        <v>285</v>
      </c>
      <c r="G4" s="462" t="s">
        <v>281</v>
      </c>
      <c r="H4" s="378" t="s">
        <v>282</v>
      </c>
      <c r="I4" s="378" t="s">
        <v>283</v>
      </c>
      <c r="J4" s="380" t="s">
        <v>288</v>
      </c>
      <c r="K4" s="656" t="s">
        <v>350</v>
      </c>
      <c r="L4" s="659" t="s">
        <v>353</v>
      </c>
      <c r="M4" s="656"/>
      <c r="N4" s="657" t="s">
        <v>516</v>
      </c>
      <c r="O4" s="653" t="s">
        <v>516</v>
      </c>
    </row>
    <row r="5" spans="1:21" ht="20.25" x14ac:dyDescent="0.3">
      <c r="A5" s="735">
        <v>1</v>
      </c>
      <c r="B5" s="1018">
        <f>IF('[1]Plant Data'!I4="","",'[1]Plant Data'!I4)</f>
        <v>55.899334378472254</v>
      </c>
      <c r="C5" s="739">
        <f>IF('[1]Process Lab'!Y3="","",'[1]Process Lab'!Y3)</f>
        <v>58.6</v>
      </c>
      <c r="D5" s="740">
        <f>IF('[1]Process Lab'!AF3="","",'[1]Process Lab'!AF3)</f>
        <v>59.6</v>
      </c>
      <c r="E5" s="740">
        <f>IF('[1]Process Lab'!R3="","",'[1]Process Lab'!R3)</f>
        <v>58.9</v>
      </c>
      <c r="F5" s="1014">
        <f t="shared" ref="F5:F6" si="0">IF(SUM(C5:E5)&gt;0,AVERAGE(C5:E5),"")</f>
        <v>59.033333333333331</v>
      </c>
      <c r="G5" s="754">
        <f>IF('[1]Process Lab'!Z3="","",'[1]Process Lab'!Z3)</f>
        <v>60.66</v>
      </c>
      <c r="H5" s="740">
        <f>IF('[1]Process Lab'!AG3="","",'[1]Process Lab'!AG3)</f>
        <v>60.5</v>
      </c>
      <c r="I5" s="740">
        <f>IF('[1]Process Lab'!S3="","",'[1]Process Lab'!S3)</f>
        <v>59.3</v>
      </c>
      <c r="J5" s="1021">
        <f t="shared" ref="J5:J6" si="1">IF(SUM(G5:I5)&gt;0,AVERAGE(G5:I5),"")</f>
        <v>60.153333333333329</v>
      </c>
      <c r="K5" s="1027">
        <f>IF('[1]Plant Data'!AE4="","",'[1]Plant Data'!AE4)</f>
        <v>3</v>
      </c>
      <c r="L5" s="1028">
        <f t="shared" ref="L5:L6" si="2">IF(OR(K5="",K5=0,B5=""),"",33.6*K5/B5)</f>
        <v>1.8032415076273205</v>
      </c>
      <c r="M5" s="1024" t="str">
        <f>IF('[2]Liquids Vol Acids'!B4="","",'[2]Liquids Vol Acids'!B4)</f>
        <v/>
      </c>
      <c r="N5" s="1013" t="str">
        <f>IF('[2]Liquids Vol Acids'!D4="","",'[2]Liquids Vol Acids'!D4)</f>
        <v/>
      </c>
      <c r="O5" s="1014" t="str">
        <f>IF('[2]Liquids Vol Acids'!F4="","",'[2]Liquids Vol Acids'!F4)</f>
        <v/>
      </c>
      <c r="R5" s="185" t="s">
        <v>108</v>
      </c>
      <c r="S5" s="185" t="s">
        <v>107</v>
      </c>
      <c r="T5" s="185" t="s">
        <v>114</v>
      </c>
      <c r="U5" s="199" t="s">
        <v>106</v>
      </c>
    </row>
    <row r="6" spans="1:21" ht="20.25" x14ac:dyDescent="0.3">
      <c r="A6" s="736">
        <v>2</v>
      </c>
      <c r="B6" s="1019">
        <f>IF('[1]Plant Data'!I5="","",'[1]Plant Data'!I5)</f>
        <v>56.550915771527805</v>
      </c>
      <c r="C6" s="744">
        <f>IF('[1]Process Lab'!Y4="","",'[1]Process Lab'!Y4)</f>
        <v>59.2</v>
      </c>
      <c r="D6" s="730">
        <f>IF('[1]Process Lab'!AF4="","",'[1]Process Lab'!AF4)</f>
        <v>61.2</v>
      </c>
      <c r="E6" s="730">
        <f>IF('[1]Process Lab'!R4="","",'[1]Process Lab'!R4)</f>
        <v>58.5</v>
      </c>
      <c r="F6" s="1015">
        <f t="shared" si="0"/>
        <v>59.633333333333333</v>
      </c>
      <c r="G6" s="738">
        <f>IF('[1]Process Lab'!Z4="","",'[1]Process Lab'!Z4)</f>
        <v>60.55</v>
      </c>
      <c r="H6" s="730">
        <f>IF('[1]Process Lab'!AG4="","",'[1]Process Lab'!AG4)</f>
        <v>60.6</v>
      </c>
      <c r="I6" s="730">
        <f>IF('[1]Process Lab'!S4="","",'[1]Process Lab'!S4)</f>
        <v>59.1</v>
      </c>
      <c r="J6" s="1022">
        <f t="shared" si="1"/>
        <v>60.083333333333336</v>
      </c>
      <c r="K6" s="1029">
        <f>IF('[1]Plant Data'!AE5="","",'[1]Plant Data'!AE5)</f>
        <v>3</v>
      </c>
      <c r="L6" s="1030">
        <f t="shared" si="2"/>
        <v>1.7824645034440041</v>
      </c>
      <c r="M6" s="1025" t="str">
        <f>IF('[2]Liquids Vol Acids'!B5="","",'[2]Liquids Vol Acids'!B5)</f>
        <v/>
      </c>
      <c r="N6" s="1012" t="str">
        <f>IF('[2]Liquids Vol Acids'!D5="","",'[2]Liquids Vol Acids'!D5)</f>
        <v/>
      </c>
      <c r="O6" s="1015" t="str">
        <f>IF('[2]Liquids Vol Acids'!F5="","",'[2]Liquids Vol Acids'!F5)</f>
        <v/>
      </c>
    </row>
    <row r="7" spans="1:21" ht="20.25" x14ac:dyDescent="0.3">
      <c r="A7" s="736">
        <v>3</v>
      </c>
      <c r="B7" s="1019">
        <f>IF('[1]Plant Data'!I6="","",'[1]Plant Data'!I6)</f>
        <v>59.265884118055446</v>
      </c>
      <c r="C7" s="744">
        <f>IF('[1]Process Lab'!Y5="","",'[1]Process Lab'!Y5)</f>
        <v>60.1</v>
      </c>
      <c r="D7" s="730">
        <f>IF('[1]Process Lab'!AF5="","",'[1]Process Lab'!AF5)</f>
        <v>61.3</v>
      </c>
      <c r="E7" s="730">
        <f>IF('[1]Process Lab'!R5="","",'[1]Process Lab'!R5)</f>
        <v>60.2</v>
      </c>
      <c r="F7" s="1015">
        <f t="shared" ref="F7:F33" si="3">IF(SUM(C7:E7)&gt;0,AVERAGE(C7:E7),"")</f>
        <v>60.533333333333339</v>
      </c>
      <c r="G7" s="738">
        <f>IF('[1]Process Lab'!Z5="","",'[1]Process Lab'!Z5)</f>
        <v>61.48</v>
      </c>
      <c r="H7" s="730">
        <f>IF('[1]Process Lab'!AG5="","",'[1]Process Lab'!AG5)</f>
        <v>61</v>
      </c>
      <c r="I7" s="730">
        <f>IF('[1]Process Lab'!S5="","",'[1]Process Lab'!S5)</f>
        <v>61.2</v>
      </c>
      <c r="J7" s="1022">
        <f t="shared" ref="J7:J33" si="4">IF(SUM(G7:I7)&gt;0,AVERAGE(G7:I7),"")</f>
        <v>61.226666666666667</v>
      </c>
      <c r="K7" s="1029">
        <f>IF('[1]Plant Data'!AE6="","",'[1]Plant Data'!AE6)</f>
        <v>3</v>
      </c>
      <c r="L7" s="1030">
        <f t="shared" ref="L7:L33" si="5">IF(OR(K7="",K7=0,B7=""),"",33.6*K7/B7)</f>
        <v>1.7008098588255285</v>
      </c>
      <c r="M7" s="1025">
        <f>IF('[2]Liquids Vol Acids'!B6="","",'[2]Liquids Vol Acids'!B6)</f>
        <v>50</v>
      </c>
      <c r="N7" s="1012">
        <f>IF('[2]Liquids Vol Acids'!D6="","",'[2]Liquids Vol Acids'!D6)</f>
        <v>38</v>
      </c>
      <c r="O7" s="1015">
        <f>IF('[2]Liquids Vol Acids'!F6="","",'[2]Liquids Vol Acids'!F6)</f>
        <v>15</v>
      </c>
    </row>
    <row r="8" spans="1:21" ht="20.25" x14ac:dyDescent="0.3">
      <c r="A8" s="736">
        <v>4</v>
      </c>
      <c r="B8" s="1019">
        <f>IF('[1]Plant Data'!I7="","",'[1]Plant Data'!I7)</f>
        <v>65.818315354166813</v>
      </c>
      <c r="C8" s="744">
        <f>IF('[1]Process Lab'!Y6="","",'[1]Process Lab'!Y6)</f>
        <v>58.1</v>
      </c>
      <c r="D8" s="730">
        <f>IF('[1]Process Lab'!AF6="","",'[1]Process Lab'!AF6)</f>
        <v>61.2</v>
      </c>
      <c r="E8" s="730">
        <f>IF('[1]Process Lab'!R6="","",'[1]Process Lab'!R6)</f>
        <v>57.1</v>
      </c>
      <c r="F8" s="1015">
        <f t="shared" si="3"/>
        <v>58.800000000000004</v>
      </c>
      <c r="G8" s="738">
        <f>IF('[1]Process Lab'!Z6="","",'[1]Process Lab'!Z6)</f>
        <v>61.5</v>
      </c>
      <c r="H8" s="730">
        <f>IF('[1]Process Lab'!AG6="","",'[1]Process Lab'!AG6)</f>
        <v>60.09</v>
      </c>
      <c r="I8" s="730">
        <f>IF('[1]Process Lab'!S6="","",'[1]Process Lab'!S6)</f>
        <v>61.8</v>
      </c>
      <c r="J8" s="1022">
        <f t="shared" si="4"/>
        <v>61.129999999999995</v>
      </c>
      <c r="K8" s="1029">
        <f>IF('[1]Plant Data'!AE7="","",'[1]Plant Data'!AE7)</f>
        <v>3</v>
      </c>
      <c r="L8" s="1030">
        <f t="shared" si="5"/>
        <v>1.5314886055286825</v>
      </c>
      <c r="M8" s="1025" t="str">
        <f>IF('[2]Liquids Vol Acids'!B7="","",'[2]Liquids Vol Acids'!B7)</f>
        <v/>
      </c>
      <c r="N8" s="1012" t="str">
        <f>IF('[2]Liquids Vol Acids'!D7="","",'[2]Liquids Vol Acids'!D7)</f>
        <v/>
      </c>
      <c r="O8" s="1015" t="str">
        <f>IF('[2]Liquids Vol Acids'!F7="","",'[2]Liquids Vol Acids'!F7)</f>
        <v/>
      </c>
    </row>
    <row r="9" spans="1:21" ht="20.25" x14ac:dyDescent="0.3">
      <c r="A9" s="736">
        <v>5</v>
      </c>
      <c r="B9" s="1019">
        <f>IF('[1]Plant Data'!I8="","",'[1]Plant Data'!I8)</f>
        <v>56.328494034350783</v>
      </c>
      <c r="C9" s="744">
        <f>IF('[1]Process Lab'!Y7="","",'[1]Process Lab'!Y7)</f>
        <v>60.8</v>
      </c>
      <c r="D9" s="730">
        <f>IF('[1]Process Lab'!AF7="","",'[1]Process Lab'!AF7)</f>
        <v>60.9</v>
      </c>
      <c r="E9" s="730">
        <f>IF('[1]Process Lab'!R7="","",'[1]Process Lab'!R7)</f>
        <v>61.9</v>
      </c>
      <c r="F9" s="1015">
        <f t="shared" si="3"/>
        <v>61.199999999999996</v>
      </c>
      <c r="G9" s="738">
        <f>IF('[1]Process Lab'!Z7="","",'[1]Process Lab'!Z7)</f>
        <v>61.9</v>
      </c>
      <c r="H9" s="730">
        <f>IF('[1]Process Lab'!AG7="","",'[1]Process Lab'!AG7)</f>
        <v>61.6</v>
      </c>
      <c r="I9" s="730">
        <f>IF('[1]Process Lab'!S7="","",'[1]Process Lab'!S7)</f>
        <v>61.7</v>
      </c>
      <c r="J9" s="1022">
        <f t="shared" si="4"/>
        <v>61.733333333333327</v>
      </c>
      <c r="K9" s="1029">
        <f>IF('[1]Plant Data'!AE8="","",'[1]Plant Data'!AE8)</f>
        <v>3</v>
      </c>
      <c r="L9" s="1030">
        <f t="shared" si="5"/>
        <v>1.7895028391586181</v>
      </c>
      <c r="M9" s="1025" t="str">
        <f>IF('[2]Liquids Vol Acids'!B8="","",'[2]Liquids Vol Acids'!B8)</f>
        <v/>
      </c>
      <c r="N9" s="1012" t="str">
        <f>IF('[2]Liquids Vol Acids'!D8="","",'[2]Liquids Vol Acids'!D8)</f>
        <v/>
      </c>
      <c r="O9" s="1015" t="str">
        <f>IF('[2]Liquids Vol Acids'!F8="","",'[2]Liquids Vol Acids'!F8)</f>
        <v/>
      </c>
    </row>
    <row r="10" spans="1:21" ht="20.25" x14ac:dyDescent="0.3">
      <c r="A10" s="736">
        <v>6</v>
      </c>
      <c r="B10" s="1019">
        <f>IF('[1]Plant Data'!I9="","",'[1]Plant Data'!I9)</f>
        <v>103.1240249895835</v>
      </c>
      <c r="C10" s="744">
        <f>IF('[1]Process Lab'!Y8="","",'[1]Process Lab'!Y8)</f>
        <v>58.3</v>
      </c>
      <c r="D10" s="730">
        <f>IF('[1]Process Lab'!AF8="","",'[1]Process Lab'!AF8)</f>
        <v>53.5</v>
      </c>
      <c r="E10" s="730">
        <f>IF('[1]Process Lab'!R8="","",'[1]Process Lab'!R8)</f>
        <v>55.3</v>
      </c>
      <c r="F10" s="1015">
        <f t="shared" si="3"/>
        <v>55.699999999999996</v>
      </c>
      <c r="G10" s="738">
        <f>IF('[1]Process Lab'!Z8="","",'[1]Process Lab'!Z8)</f>
        <v>60.2</v>
      </c>
      <c r="H10" s="730">
        <f>IF('[1]Process Lab'!AG8="","",'[1]Process Lab'!AG8)</f>
        <v>55.6</v>
      </c>
      <c r="I10" s="730">
        <f>IF('[1]Process Lab'!S8="","",'[1]Process Lab'!S8)</f>
        <v>61.5</v>
      </c>
      <c r="J10" s="1022">
        <f t="shared" si="4"/>
        <v>59.1</v>
      </c>
      <c r="K10" s="1029">
        <f>IF('[1]Plant Data'!AE9="","",'[1]Plant Data'!AE9)</f>
        <v>3</v>
      </c>
      <c r="L10" s="1030">
        <f t="shared" si="5"/>
        <v>0.97746378702908232</v>
      </c>
      <c r="M10" s="1025">
        <f>IF('[2]Liquids Vol Acids'!B9="","",'[2]Liquids Vol Acids'!B9)</f>
        <v>32</v>
      </c>
      <c r="N10" s="1012">
        <f>IF('[2]Liquids Vol Acids'!D9="","",'[2]Liquids Vol Acids'!D9)</f>
        <v>25</v>
      </c>
      <c r="O10" s="1015">
        <f>IF('[2]Liquids Vol Acids'!F9="","",'[2]Liquids Vol Acids'!F9)</f>
        <v>15</v>
      </c>
    </row>
    <row r="11" spans="1:21" ht="20.25" x14ac:dyDescent="0.3">
      <c r="A11" s="736">
        <v>7</v>
      </c>
      <c r="B11" s="1019">
        <f>IF('[1]Plant Data'!I10="","",'[1]Plant Data'!I10)</f>
        <v>59.377203996527662</v>
      </c>
      <c r="C11" s="744">
        <f>IF('[1]Process Lab'!Y9="","",'[1]Process Lab'!Y9)</f>
        <v>59.6</v>
      </c>
      <c r="D11" s="730">
        <f>IF('[1]Process Lab'!AF9="","",'[1]Process Lab'!AF9)</f>
        <v>60.8</v>
      </c>
      <c r="E11" s="730" t="str">
        <f>IF('[1]Process Lab'!R9="","",'[1]Process Lab'!R9)</f>
        <v/>
      </c>
      <c r="F11" s="1015">
        <f t="shared" si="3"/>
        <v>60.2</v>
      </c>
      <c r="G11" s="738">
        <f>IF('[1]Process Lab'!Z9="","",'[1]Process Lab'!Z9)</f>
        <v>57.56</v>
      </c>
      <c r="H11" s="730">
        <f>IF('[1]Process Lab'!AG9="","",'[1]Process Lab'!AG9)</f>
        <v>59.1</v>
      </c>
      <c r="I11" s="730" t="str">
        <f>IF('[1]Process Lab'!S9="","",'[1]Process Lab'!S9)</f>
        <v/>
      </c>
      <c r="J11" s="1022">
        <f t="shared" si="4"/>
        <v>58.33</v>
      </c>
      <c r="K11" s="1029">
        <f>IF('[1]Plant Data'!AE10="","",'[1]Plant Data'!AE10)</f>
        <v>3</v>
      </c>
      <c r="L11" s="1030">
        <f t="shared" si="5"/>
        <v>1.6976211949268396</v>
      </c>
      <c r="M11" s="1025" t="str">
        <f>IF('[2]Liquids Vol Acids'!B10="","",'[2]Liquids Vol Acids'!B10)</f>
        <v/>
      </c>
      <c r="N11" s="1012" t="str">
        <f>IF('[2]Liquids Vol Acids'!D10="","",'[2]Liquids Vol Acids'!D10)</f>
        <v/>
      </c>
      <c r="O11" s="1015" t="str">
        <f>IF('[2]Liquids Vol Acids'!F10="","",'[2]Liquids Vol Acids'!F10)</f>
        <v/>
      </c>
    </row>
    <row r="12" spans="1:21" ht="20.25" x14ac:dyDescent="0.3">
      <c r="A12" s="736">
        <v>8</v>
      </c>
      <c r="B12" s="1019">
        <f>IF('[1]Plant Data'!I11="","",'[1]Plant Data'!I11)</f>
        <v>94.233337409722296</v>
      </c>
      <c r="C12" s="744" t="str">
        <f>IF('[1]Process Lab'!Y10="","",'[1]Process Lab'!Y10)</f>
        <v/>
      </c>
      <c r="D12" s="730">
        <f>IF('[1]Process Lab'!AF10="","",'[1]Process Lab'!AF10)</f>
        <v>58.3</v>
      </c>
      <c r="E12" s="730">
        <f>IF('[1]Process Lab'!R10="","",'[1]Process Lab'!R10)</f>
        <v>60.9</v>
      </c>
      <c r="F12" s="1015">
        <f t="shared" si="3"/>
        <v>59.599999999999994</v>
      </c>
      <c r="G12" s="738" t="str">
        <f>IF('[1]Process Lab'!Z10="","",'[1]Process Lab'!Z10)</f>
        <v/>
      </c>
      <c r="H12" s="730">
        <f>IF('[1]Process Lab'!AG10="","",'[1]Process Lab'!AG10)</f>
        <v>54.4</v>
      </c>
      <c r="I12" s="730">
        <f>IF('[1]Process Lab'!S10="","",'[1]Process Lab'!S10)</f>
        <v>60.5</v>
      </c>
      <c r="J12" s="1022">
        <f t="shared" si="4"/>
        <v>57.45</v>
      </c>
      <c r="K12" s="1029">
        <f>IF('[1]Plant Data'!AE11="","",'[1]Plant Data'!AE11)</f>
        <v>4</v>
      </c>
      <c r="L12" s="1030">
        <f t="shared" si="5"/>
        <v>1.4262468431488835</v>
      </c>
      <c r="M12" s="1025" t="str">
        <f>IF('[2]Liquids Vol Acids'!B11="","",'[2]Liquids Vol Acids'!B11)</f>
        <v/>
      </c>
      <c r="N12" s="1012" t="str">
        <f>IF('[2]Liquids Vol Acids'!D11="","",'[2]Liquids Vol Acids'!D11)</f>
        <v/>
      </c>
      <c r="O12" s="1015" t="str">
        <f>IF('[2]Liquids Vol Acids'!F11="","",'[2]Liquids Vol Acids'!F11)</f>
        <v/>
      </c>
    </row>
    <row r="13" spans="1:21" ht="20.25" x14ac:dyDescent="0.3">
      <c r="A13" s="736">
        <v>9</v>
      </c>
      <c r="B13" s="1019">
        <f>IF('[1]Plant Data'!I12="","",'[1]Plant Data'!I12)</f>
        <v>83.880514163194348</v>
      </c>
      <c r="C13" s="744">
        <f>IF('[1]Process Lab'!Y11="","",'[1]Process Lab'!Y11)</f>
        <v>59.8</v>
      </c>
      <c r="D13" s="730">
        <f>IF('[1]Process Lab'!AF11="","",'[1]Process Lab'!AF11)</f>
        <v>56</v>
      </c>
      <c r="E13" s="730">
        <f>IF('[1]Process Lab'!R11="","",'[1]Process Lab'!R11)</f>
        <v>58.8</v>
      </c>
      <c r="F13" s="1015">
        <f t="shared" si="3"/>
        <v>58.199999999999996</v>
      </c>
      <c r="G13" s="738">
        <f>IF('[1]Process Lab'!Z11="","",'[1]Process Lab'!Z11)</f>
        <v>58.3</v>
      </c>
      <c r="H13" s="730">
        <f>IF('[1]Process Lab'!AG11="","",'[1]Process Lab'!AG11)</f>
        <v>57.5</v>
      </c>
      <c r="I13" s="730">
        <f>IF('[1]Process Lab'!S11="","",'[1]Process Lab'!S11)</f>
        <v>57.7</v>
      </c>
      <c r="J13" s="1022">
        <f t="shared" si="4"/>
        <v>57.833333333333336</v>
      </c>
      <c r="K13" s="1029">
        <f>IF('[1]Plant Data'!AE12="","",'[1]Plant Data'!AE12)</f>
        <v>4</v>
      </c>
      <c r="L13" s="1030">
        <f t="shared" si="5"/>
        <v>1.6022791626970372</v>
      </c>
      <c r="M13" s="1025" t="str">
        <f>IF('[2]Liquids Vol Acids'!B12="","",'[2]Liquids Vol Acids'!B12)</f>
        <v/>
      </c>
      <c r="N13" s="1012" t="str">
        <f>IF('[2]Liquids Vol Acids'!D12="","",'[2]Liquids Vol Acids'!D12)</f>
        <v/>
      </c>
      <c r="O13" s="1015" t="str">
        <f>IF('[2]Liquids Vol Acids'!F12="","",'[2]Liquids Vol Acids'!F12)</f>
        <v/>
      </c>
    </row>
    <row r="14" spans="1:21" ht="20.25" x14ac:dyDescent="0.3">
      <c r="A14" s="736">
        <v>10</v>
      </c>
      <c r="B14" s="1019">
        <f>IF('[1]Plant Data'!I13="","",'[1]Plant Data'!I13)</f>
        <v>64.316404541666643</v>
      </c>
      <c r="C14" s="744">
        <f>IF('[1]Process Lab'!Y12="","",'[1]Process Lab'!Y12)</f>
        <v>58.2</v>
      </c>
      <c r="D14" s="730">
        <f>IF('[1]Process Lab'!AF12="","",'[1]Process Lab'!AF12)</f>
        <v>60.1</v>
      </c>
      <c r="E14" s="730">
        <f>IF('[1]Process Lab'!R12="","",'[1]Process Lab'!R12)</f>
        <v>58</v>
      </c>
      <c r="F14" s="1015">
        <f t="shared" si="3"/>
        <v>58.766666666666673</v>
      </c>
      <c r="G14" s="738">
        <f>IF('[1]Process Lab'!Z12="","",'[1]Process Lab'!Z12)</f>
        <v>58</v>
      </c>
      <c r="H14" s="730">
        <f>IF('[1]Process Lab'!AG12="","",'[1]Process Lab'!AG12)</f>
        <v>59.2</v>
      </c>
      <c r="I14" s="730">
        <f>IF('[1]Process Lab'!S12="","",'[1]Process Lab'!S12)</f>
        <v>57.3</v>
      </c>
      <c r="J14" s="1022">
        <f t="shared" si="4"/>
        <v>58.166666666666664</v>
      </c>
      <c r="K14" s="1029">
        <f>IF('[1]Plant Data'!AE13="","",'[1]Plant Data'!AE13)</f>
        <v>4</v>
      </c>
      <c r="L14" s="1030">
        <f t="shared" si="5"/>
        <v>2.0896690503420556</v>
      </c>
      <c r="M14" s="1025">
        <f>IF('[2]Liquids Vol Acids'!B13="","",'[2]Liquids Vol Acids'!B13)</f>
        <v>32</v>
      </c>
      <c r="N14" s="1012">
        <f>IF('[2]Liquids Vol Acids'!D13="","",'[2]Liquids Vol Acids'!D13)</f>
        <v>48</v>
      </c>
      <c r="O14" s="1015">
        <f>IF('[2]Liquids Vol Acids'!F13="","",'[2]Liquids Vol Acids'!F13)</f>
        <v>15</v>
      </c>
    </row>
    <row r="15" spans="1:21" ht="20.25" x14ac:dyDescent="0.3">
      <c r="A15" s="736">
        <v>11</v>
      </c>
      <c r="B15" s="1019">
        <f>IF('[1]Plant Data'!I14="","",'[1]Plant Data'!I14)</f>
        <v>56.603756809870134</v>
      </c>
      <c r="C15" s="744">
        <f>IF('[1]Process Lab'!Y13="","",'[1]Process Lab'!Y13)</f>
        <v>58</v>
      </c>
      <c r="D15" s="730">
        <f>IF('[1]Process Lab'!AF13="","",'[1]Process Lab'!AF13)</f>
        <v>61.3</v>
      </c>
      <c r="E15" s="730">
        <f>IF('[1]Process Lab'!R13="","",'[1]Process Lab'!R13)</f>
        <v>58.6</v>
      </c>
      <c r="F15" s="1015">
        <f t="shared" si="3"/>
        <v>59.300000000000004</v>
      </c>
      <c r="G15" s="738">
        <f>IF('[1]Process Lab'!Z13="","",'[1]Process Lab'!Z13)</f>
        <v>60.9</v>
      </c>
      <c r="H15" s="730">
        <f>IF('[1]Process Lab'!AG13="","",'[1]Process Lab'!AG13)</f>
        <v>60.6</v>
      </c>
      <c r="I15" s="730">
        <f>IF('[1]Process Lab'!S13="","",'[1]Process Lab'!S13)</f>
        <v>60.6</v>
      </c>
      <c r="J15" s="1022">
        <f t="shared" si="4"/>
        <v>60.699999999999996</v>
      </c>
      <c r="K15" s="1029">
        <f>IF('[1]Plant Data'!AE14="","",'[1]Plant Data'!AE14)</f>
        <v>4</v>
      </c>
      <c r="L15" s="1030">
        <f t="shared" si="5"/>
        <v>2.3744007036749255</v>
      </c>
      <c r="M15" s="1025" t="str">
        <f>IF('[2]Liquids Vol Acids'!B14="","",'[2]Liquids Vol Acids'!B14)</f>
        <v/>
      </c>
      <c r="N15" s="1012" t="str">
        <f>IF('[2]Liquids Vol Acids'!D14="","",'[2]Liquids Vol Acids'!D14)</f>
        <v/>
      </c>
      <c r="O15" s="1015" t="str">
        <f>IF('[2]Liquids Vol Acids'!F14="","",'[2]Liquids Vol Acids'!F14)</f>
        <v/>
      </c>
    </row>
    <row r="16" spans="1:21" ht="20.25" x14ac:dyDescent="0.3">
      <c r="A16" s="736">
        <v>12</v>
      </c>
      <c r="B16" s="1019">
        <f>IF('[1]Plant Data'!I15="","",'[1]Plant Data'!I15)</f>
        <v>54.47560737847212</v>
      </c>
      <c r="C16" s="744">
        <f>IF('[1]Process Lab'!Y14="","",'[1]Process Lab'!Y14)</f>
        <v>60.1</v>
      </c>
      <c r="D16" s="730">
        <f>IF('[1]Process Lab'!AF14="","",'[1]Process Lab'!AF14)</f>
        <v>60.6</v>
      </c>
      <c r="E16" s="730">
        <f>IF('[1]Process Lab'!R14="","",'[1]Process Lab'!R14)</f>
        <v>60.7</v>
      </c>
      <c r="F16" s="1015">
        <f t="shared" si="3"/>
        <v>60.466666666666669</v>
      </c>
      <c r="G16" s="738">
        <f>IF('[1]Process Lab'!Z14="","",'[1]Process Lab'!Z14)</f>
        <v>61.4</v>
      </c>
      <c r="H16" s="730">
        <f>IF('[1]Process Lab'!AG14="","",'[1]Process Lab'!AG14)</f>
        <v>61.1</v>
      </c>
      <c r="I16" s="730">
        <f>IF('[1]Process Lab'!S14="","",'[1]Process Lab'!S14)</f>
        <v>60.9</v>
      </c>
      <c r="J16" s="1022">
        <f t="shared" si="4"/>
        <v>61.133333333333333</v>
      </c>
      <c r="K16" s="1029">
        <f>IF('[1]Plant Data'!AE15="","",'[1]Plant Data'!AE15)</f>
        <v>4</v>
      </c>
      <c r="L16" s="1030">
        <f t="shared" si="5"/>
        <v>2.4671592749071891</v>
      </c>
      <c r="M16" s="1025" t="str">
        <f>IF('[2]Liquids Vol Acids'!B15="","",'[2]Liquids Vol Acids'!B15)</f>
        <v/>
      </c>
      <c r="N16" s="1012" t="str">
        <f>IF('[2]Liquids Vol Acids'!D15="","",'[2]Liquids Vol Acids'!D15)</f>
        <v/>
      </c>
      <c r="O16" s="1015" t="str">
        <f>IF('[2]Liquids Vol Acids'!F15="","",'[2]Liquids Vol Acids'!F15)</f>
        <v/>
      </c>
    </row>
    <row r="17" spans="1:15" ht="20.25" x14ac:dyDescent="0.3">
      <c r="A17" s="736">
        <v>13</v>
      </c>
      <c r="B17" s="1019">
        <f>IF('[1]Plant Data'!I16="","",'[1]Plant Data'!I16)</f>
        <v>53.42617720138891</v>
      </c>
      <c r="C17" s="744">
        <f>IF('[1]Process Lab'!Y15="","",'[1]Process Lab'!Y15)</f>
        <v>59.8</v>
      </c>
      <c r="D17" s="730">
        <f>IF('[1]Process Lab'!AF15="","",'[1]Process Lab'!AF15)</f>
        <v>60.7</v>
      </c>
      <c r="E17" s="730">
        <f>IF('[1]Process Lab'!R15="","",'[1]Process Lab'!R15)</f>
        <v>60.4</v>
      </c>
      <c r="F17" s="1015">
        <f t="shared" si="3"/>
        <v>60.300000000000004</v>
      </c>
      <c r="G17" s="738">
        <f>IF('[1]Process Lab'!Z15="","",'[1]Process Lab'!Z15)</f>
        <v>61.43</v>
      </c>
      <c r="H17" s="730">
        <f>IF('[1]Process Lab'!AG15="","",'[1]Process Lab'!AG15)</f>
        <v>61</v>
      </c>
      <c r="I17" s="730">
        <f>IF('[1]Process Lab'!S15="","",'[1]Process Lab'!S15)</f>
        <v>61.3</v>
      </c>
      <c r="J17" s="1022">
        <f t="shared" si="4"/>
        <v>61.243333333333339</v>
      </c>
      <c r="K17" s="1029">
        <f>IF('[1]Plant Data'!AE16="","",'[1]Plant Data'!AE16)</f>
        <v>4</v>
      </c>
      <c r="L17" s="1030">
        <f t="shared" si="5"/>
        <v>2.5156207507301502</v>
      </c>
      <c r="M17" s="1025">
        <f>IF('[2]Liquids Vol Acids'!B16="","",'[2]Liquids Vol Acids'!B16)</f>
        <v>52</v>
      </c>
      <c r="N17" s="1012">
        <f>IF('[2]Liquids Vol Acids'!D16="","",'[2]Liquids Vol Acids'!D16)</f>
        <v>40</v>
      </c>
      <c r="O17" s="1015">
        <f>IF('[2]Liquids Vol Acids'!F16="","",'[2]Liquids Vol Acids'!F16)</f>
        <v>18</v>
      </c>
    </row>
    <row r="18" spans="1:15" ht="20.25" x14ac:dyDescent="0.3">
      <c r="A18" s="736">
        <v>14</v>
      </c>
      <c r="B18" s="1019">
        <f>IF('[1]Plant Data'!I17="","",'[1]Plant Data'!I17)</f>
        <v>54.302129215277787</v>
      </c>
      <c r="C18" s="744">
        <f>IF('[1]Process Lab'!Y16="","",'[1]Process Lab'!Y16)</f>
        <v>60.5</v>
      </c>
      <c r="D18" s="730">
        <f>IF('[1]Process Lab'!AF16="","",'[1]Process Lab'!AF16)</f>
        <v>61.2</v>
      </c>
      <c r="E18" s="730">
        <f>IF('[1]Process Lab'!R16="","",'[1]Process Lab'!R16)</f>
        <v>59.2</v>
      </c>
      <c r="F18" s="1015">
        <f t="shared" si="3"/>
        <v>60.300000000000004</v>
      </c>
      <c r="G18" s="738">
        <f>IF('[1]Process Lab'!Z16="","",'[1]Process Lab'!Z16)</f>
        <v>60.9</v>
      </c>
      <c r="H18" s="730">
        <f>IF('[1]Process Lab'!AG16="","",'[1]Process Lab'!AG16)</f>
        <v>60.74</v>
      </c>
      <c r="I18" s="730">
        <f>IF('[1]Process Lab'!S16="","",'[1]Process Lab'!S16)</f>
        <v>60.8</v>
      </c>
      <c r="J18" s="1022">
        <f t="shared" si="4"/>
        <v>60.813333333333333</v>
      </c>
      <c r="K18" s="1029">
        <f>IF('[1]Plant Data'!AE17="","",'[1]Plant Data'!AE17)</f>
        <v>3</v>
      </c>
      <c r="L18" s="1030">
        <f t="shared" si="5"/>
        <v>1.8562808025516639</v>
      </c>
      <c r="M18" s="1025" t="str">
        <f>IF('[2]Liquids Vol Acids'!B17="","",'[2]Liquids Vol Acids'!B17)</f>
        <v/>
      </c>
      <c r="N18" s="1012" t="str">
        <f>IF('[2]Liquids Vol Acids'!D17="","",'[2]Liquids Vol Acids'!D17)</f>
        <v/>
      </c>
      <c r="O18" s="1015" t="str">
        <f>IF('[2]Liquids Vol Acids'!F17="","",'[2]Liquids Vol Acids'!F17)</f>
        <v/>
      </c>
    </row>
    <row r="19" spans="1:15" ht="20.25" x14ac:dyDescent="0.3">
      <c r="A19" s="736">
        <v>15</v>
      </c>
      <c r="B19" s="1019">
        <f>IF('[1]Plant Data'!I18="","",'[1]Plant Data'!I18)</f>
        <v>53.210505878472226</v>
      </c>
      <c r="C19" s="744">
        <f>IF('[1]Process Lab'!Y17="","",'[1]Process Lab'!Y17)</f>
        <v>59.6</v>
      </c>
      <c r="D19" s="730">
        <f>IF('[1]Process Lab'!AF17="","",'[1]Process Lab'!AF17)</f>
        <v>61.2</v>
      </c>
      <c r="E19" s="730">
        <f>IF('[1]Process Lab'!R17="","",'[1]Process Lab'!R17)</f>
        <v>60.9</v>
      </c>
      <c r="F19" s="1015">
        <f t="shared" si="3"/>
        <v>60.56666666666667</v>
      </c>
      <c r="G19" s="738">
        <f>IF('[1]Process Lab'!Z17="","",'[1]Process Lab'!Z17)</f>
        <v>60.9</v>
      </c>
      <c r="H19" s="730">
        <f>IF('[1]Process Lab'!AG17="","",'[1]Process Lab'!AG17)</f>
        <v>61</v>
      </c>
      <c r="I19" s="730">
        <f>IF('[1]Process Lab'!S17="","",'[1]Process Lab'!S17)</f>
        <v>60.8</v>
      </c>
      <c r="J19" s="1022">
        <f t="shared" si="4"/>
        <v>60.9</v>
      </c>
      <c r="K19" s="1029">
        <f>IF('[1]Plant Data'!AE18="","",'[1]Plant Data'!AE18)</f>
        <v>3</v>
      </c>
      <c r="L19" s="1030">
        <f t="shared" si="5"/>
        <v>1.8943627453987695</v>
      </c>
      <c r="M19" s="1025" t="str">
        <f>IF('[2]Liquids Vol Acids'!B18="","",'[2]Liquids Vol Acids'!B18)</f>
        <v/>
      </c>
      <c r="N19" s="1012" t="str">
        <f>IF('[2]Liquids Vol Acids'!D18="","",'[2]Liquids Vol Acids'!D18)</f>
        <v/>
      </c>
      <c r="O19" s="1015" t="str">
        <f>IF('[2]Liquids Vol Acids'!F18="","",'[2]Liquids Vol Acids'!F18)</f>
        <v/>
      </c>
    </row>
    <row r="20" spans="1:15" ht="20.25" x14ac:dyDescent="0.3">
      <c r="A20" s="736">
        <v>16</v>
      </c>
      <c r="B20" s="1019">
        <f>IF('[1]Plant Data'!I19="","",'[1]Plant Data'!I19)</f>
        <v>68.516345393857577</v>
      </c>
      <c r="C20" s="744">
        <f>IF('[1]Process Lab'!Y18="","",'[1]Process Lab'!Y18)</f>
        <v>60.8</v>
      </c>
      <c r="D20" s="730">
        <f>IF('[1]Process Lab'!AF18="","",'[1]Process Lab'!AF18)</f>
        <v>61.1</v>
      </c>
      <c r="E20" s="730">
        <f>IF('[1]Process Lab'!R18="","",'[1]Process Lab'!R18)</f>
        <v>59.7</v>
      </c>
      <c r="F20" s="1015">
        <f t="shared" si="3"/>
        <v>60.533333333333339</v>
      </c>
      <c r="G20" s="738">
        <f>IF('[1]Process Lab'!Z18="","",'[1]Process Lab'!Z18)</f>
        <v>61.1</v>
      </c>
      <c r="H20" s="730" t="str">
        <f>IF('[1]Process Lab'!AG18="","",'[1]Process Lab'!AG18)</f>
        <v>61,0</v>
      </c>
      <c r="I20" s="730">
        <f>IF('[1]Process Lab'!S18="","",'[1]Process Lab'!S18)</f>
        <v>61.06</v>
      </c>
      <c r="J20" s="1022">
        <f t="shared" si="4"/>
        <v>61.08</v>
      </c>
      <c r="K20" s="1029">
        <f>IF('[1]Plant Data'!AE19="","",'[1]Plant Data'!AE19)</f>
        <v>3</v>
      </c>
      <c r="L20" s="1030">
        <f t="shared" si="5"/>
        <v>1.4711817949507364</v>
      </c>
      <c r="M20" s="1025" t="str">
        <f>IF('[2]Liquids Vol Acids'!B19="","",'[2]Liquids Vol Acids'!B19)</f>
        <v/>
      </c>
      <c r="N20" s="1012" t="str">
        <f>IF('[2]Liquids Vol Acids'!D19="","",'[2]Liquids Vol Acids'!D19)</f>
        <v/>
      </c>
      <c r="O20" s="1015" t="str">
        <f>IF('[2]Liquids Vol Acids'!F19="","",'[2]Liquids Vol Acids'!F19)</f>
        <v/>
      </c>
    </row>
    <row r="21" spans="1:15" ht="20.25" x14ac:dyDescent="0.3">
      <c r="A21" s="736">
        <v>17</v>
      </c>
      <c r="B21" s="1019">
        <f>IF('[1]Plant Data'!I20="","",'[1]Plant Data'!I20)</f>
        <v>60.510709100694569</v>
      </c>
      <c r="C21" s="744">
        <f>IF('[1]Process Lab'!Y19="","",'[1]Process Lab'!Y19)</f>
        <v>58.9</v>
      </c>
      <c r="D21" s="730">
        <f>IF('[1]Process Lab'!AF19="","",'[1]Process Lab'!AF19)</f>
        <v>60.3</v>
      </c>
      <c r="E21" s="730">
        <f>IF('[1]Process Lab'!R19="","",'[1]Process Lab'!R19)</f>
        <v>58.4</v>
      </c>
      <c r="F21" s="1015">
        <f t="shared" si="3"/>
        <v>59.199999999999996</v>
      </c>
      <c r="G21" s="738">
        <f>IF('[1]Process Lab'!Z19="","",'[1]Process Lab'!Z19)</f>
        <v>56.6</v>
      </c>
      <c r="H21" s="730">
        <f>IF('[1]Process Lab'!AG19="","",'[1]Process Lab'!AG19)</f>
        <v>57.7</v>
      </c>
      <c r="I21" s="730">
        <f>IF('[1]Process Lab'!S19="","",'[1]Process Lab'!S19)</f>
        <v>56.7</v>
      </c>
      <c r="J21" s="1022">
        <f t="shared" si="4"/>
        <v>57</v>
      </c>
      <c r="K21" s="1029">
        <f>IF('[1]Plant Data'!AE20="","",'[1]Plant Data'!AE20)</f>
        <v>3</v>
      </c>
      <c r="L21" s="1030">
        <f t="shared" si="5"/>
        <v>1.665820835651767</v>
      </c>
      <c r="M21" s="1025">
        <f>IF('[2]Liquids Vol Acids'!B20="","",'[2]Liquids Vol Acids'!B20)</f>
        <v>48</v>
      </c>
      <c r="N21" s="1012">
        <f>IF('[2]Liquids Vol Acids'!D20="","",'[2]Liquids Vol Acids'!D20)</f>
        <v>40</v>
      </c>
      <c r="O21" s="1015">
        <f>IF('[2]Liquids Vol Acids'!F20="","",'[2]Liquids Vol Acids'!F20)</f>
        <v>15</v>
      </c>
    </row>
    <row r="22" spans="1:15" ht="20.25" x14ac:dyDescent="0.3">
      <c r="A22" s="736">
        <v>18</v>
      </c>
      <c r="B22" s="1019">
        <f>IF('[1]Plant Data'!I21="","",'[1]Plant Data'!I21)</f>
        <v>131.26475308333329</v>
      </c>
      <c r="C22" s="744">
        <f>IF('[1]Process Lab'!Y20="","",'[1]Process Lab'!Y20)</f>
        <v>59.3</v>
      </c>
      <c r="D22" s="730">
        <f>IF('[1]Process Lab'!AF20="","",'[1]Process Lab'!AF20)</f>
        <v>55.1</v>
      </c>
      <c r="E22" s="730">
        <f>IF('[1]Process Lab'!R20="","",'[1]Process Lab'!R20)</f>
        <v>59.1</v>
      </c>
      <c r="F22" s="1015">
        <f t="shared" si="3"/>
        <v>57.833333333333336</v>
      </c>
      <c r="G22" s="738">
        <f>IF('[1]Process Lab'!Z20="","",'[1]Process Lab'!Z20)</f>
        <v>60.9</v>
      </c>
      <c r="H22" s="730">
        <f>IF('[1]Process Lab'!AG20="","",'[1]Process Lab'!AG20)</f>
        <v>60.5</v>
      </c>
      <c r="I22" s="730">
        <f>IF('[1]Process Lab'!S20="","",'[1]Process Lab'!S20)</f>
        <v>60.6</v>
      </c>
      <c r="J22" s="1022">
        <f t="shared" si="4"/>
        <v>60.666666666666664</v>
      </c>
      <c r="K22" s="1029">
        <f>IF('[1]Plant Data'!AE21="","",'[1]Plant Data'!AE21)</f>
        <v>3</v>
      </c>
      <c r="L22" s="1030">
        <f t="shared" si="5"/>
        <v>0.76791368308907137</v>
      </c>
      <c r="M22" s="1025" t="str">
        <f>IF('[2]Liquids Vol Acids'!B21="","",'[2]Liquids Vol Acids'!B21)</f>
        <v/>
      </c>
      <c r="N22" s="1012" t="str">
        <f>IF('[2]Liquids Vol Acids'!D21="","",'[2]Liquids Vol Acids'!D21)</f>
        <v/>
      </c>
      <c r="O22" s="1015" t="str">
        <f>IF('[2]Liquids Vol Acids'!F21="","",'[2]Liquids Vol Acids'!F21)</f>
        <v/>
      </c>
    </row>
    <row r="23" spans="1:15" ht="20.25" x14ac:dyDescent="0.3">
      <c r="A23" s="736">
        <v>19</v>
      </c>
      <c r="B23" s="1019">
        <f>IF('[1]Plant Data'!I22="","",'[1]Plant Data'!I22)</f>
        <v>188.44385234840274</v>
      </c>
      <c r="C23" s="744" t="str">
        <f>IF('[1]Process Lab'!Y21="","",'[1]Process Lab'!Y21)</f>
        <v/>
      </c>
      <c r="D23" s="730">
        <f>IF('[1]Process Lab'!AF21="","",'[1]Process Lab'!AF21)</f>
        <v>56.7</v>
      </c>
      <c r="E23" s="730" t="str">
        <f>IF('[1]Process Lab'!R21="","",'[1]Process Lab'!R21)</f>
        <v/>
      </c>
      <c r="F23" s="1015">
        <f t="shared" si="3"/>
        <v>56.7</v>
      </c>
      <c r="G23" s="738" t="str">
        <f>IF('[1]Process Lab'!Z21="","",'[1]Process Lab'!Z21)</f>
        <v/>
      </c>
      <c r="H23" s="730">
        <f>IF('[1]Process Lab'!AG21="","",'[1]Process Lab'!AG21)</f>
        <v>52</v>
      </c>
      <c r="I23" s="730" t="str">
        <f>IF('[1]Process Lab'!S21="","",'[1]Process Lab'!S21)</f>
        <v/>
      </c>
      <c r="J23" s="1022">
        <f t="shared" si="4"/>
        <v>52</v>
      </c>
      <c r="K23" s="1029">
        <f>IF('[1]Plant Data'!AE22="","",'[1]Plant Data'!AE22)</f>
        <v>4</v>
      </c>
      <c r="L23" s="1030">
        <f t="shared" si="5"/>
        <v>0.71320978808858015</v>
      </c>
      <c r="M23" s="1025" t="str">
        <f>IF('[2]Liquids Vol Acids'!B22="","",'[2]Liquids Vol Acids'!B22)</f>
        <v/>
      </c>
      <c r="N23" s="1012" t="str">
        <f>IF('[2]Liquids Vol Acids'!D22="","",'[2]Liquids Vol Acids'!D22)</f>
        <v/>
      </c>
      <c r="O23" s="1015" t="str">
        <f>IF('[2]Liquids Vol Acids'!F22="","",'[2]Liquids Vol Acids'!F22)</f>
        <v/>
      </c>
    </row>
    <row r="24" spans="1:15" ht="20.25" x14ac:dyDescent="0.3">
      <c r="A24" s="736">
        <v>20</v>
      </c>
      <c r="B24" s="1019">
        <f>IF('[1]Plant Data'!I23="","",'[1]Plant Data'!I23)</f>
        <v>145.46042676736121</v>
      </c>
      <c r="C24" s="744" t="str">
        <f>IF('[1]Process Lab'!Y22="","",'[1]Process Lab'!Y22)</f>
        <v/>
      </c>
      <c r="D24" s="730">
        <f>IF('[1]Process Lab'!AF22="","",'[1]Process Lab'!AF22)</f>
        <v>51.4</v>
      </c>
      <c r="E24" s="730">
        <f>IF('[1]Process Lab'!R22="","",'[1]Process Lab'!R22)</f>
        <v>57.4</v>
      </c>
      <c r="F24" s="1015">
        <f t="shared" si="3"/>
        <v>54.4</v>
      </c>
      <c r="G24" s="738" t="str">
        <f>IF('[1]Process Lab'!Z22="","",'[1]Process Lab'!Z22)</f>
        <v/>
      </c>
      <c r="H24" s="730">
        <f>IF('[1]Process Lab'!AG22="","",'[1]Process Lab'!AG22)</f>
        <v>52.6</v>
      </c>
      <c r="I24" s="730">
        <f>IF('[1]Process Lab'!S22="","",'[1]Process Lab'!S22)</f>
        <v>57.5</v>
      </c>
      <c r="J24" s="1022">
        <f t="shared" si="4"/>
        <v>55.05</v>
      </c>
      <c r="K24" s="1029">
        <f>IF('[1]Plant Data'!AE23="","",'[1]Plant Data'!AE23)</f>
        <v>4</v>
      </c>
      <c r="L24" s="1030">
        <f t="shared" si="5"/>
        <v>0.92396264047093413</v>
      </c>
      <c r="M24" s="1025">
        <f>IF('[2]Liquids Vol Acids'!B23="","",'[2]Liquids Vol Acids'!B23)</f>
        <v>22</v>
      </c>
      <c r="N24" s="1012">
        <f>IF('[2]Liquids Vol Acids'!D23="","",'[2]Liquids Vol Acids'!D23)</f>
        <v>22</v>
      </c>
      <c r="O24" s="1015">
        <f>IF('[2]Liquids Vol Acids'!F23="","",'[2]Liquids Vol Acids'!F23)</f>
        <v>18</v>
      </c>
    </row>
    <row r="25" spans="1:15" ht="20.25" x14ac:dyDescent="0.3">
      <c r="A25" s="736">
        <v>21</v>
      </c>
      <c r="B25" s="1019">
        <f>IF('[1]Plant Data'!I24="","",'[1]Plant Data'!I24)</f>
        <v>67.602457659722162</v>
      </c>
      <c r="C25" s="744">
        <f>IF('[1]Process Lab'!Y23="","",'[1]Process Lab'!Y23)</f>
        <v>56.9</v>
      </c>
      <c r="D25" s="730">
        <f>IF('[1]Process Lab'!AF23="","",'[1]Process Lab'!AF23)</f>
        <v>59.2</v>
      </c>
      <c r="E25" s="730">
        <f>IF('[1]Process Lab'!R23="","",'[1]Process Lab'!R23)</f>
        <v>56.8</v>
      </c>
      <c r="F25" s="1015">
        <f t="shared" si="3"/>
        <v>57.633333333333326</v>
      </c>
      <c r="G25" s="738">
        <f>IF('[1]Process Lab'!Z23="","",'[1]Process Lab'!Z23)</f>
        <v>56.33</v>
      </c>
      <c r="H25" s="730">
        <f>IF('[1]Process Lab'!AG23="","",'[1]Process Lab'!AG23)</f>
        <v>57.52</v>
      </c>
      <c r="I25" s="730">
        <f>IF('[1]Process Lab'!S23="","",'[1]Process Lab'!S23)</f>
        <v>55.3</v>
      </c>
      <c r="J25" s="1022">
        <f t="shared" si="4"/>
        <v>56.383333333333326</v>
      </c>
      <c r="K25" s="1029">
        <f>IF('[1]Plant Data'!AE24="","",'[1]Plant Data'!AE24)</f>
        <v>4</v>
      </c>
      <c r="L25" s="1030">
        <f t="shared" si="5"/>
        <v>1.9880934015225324</v>
      </c>
      <c r="M25" s="1025" t="str">
        <f>IF('[2]Liquids Vol Acids'!B24="","",'[2]Liquids Vol Acids'!B24)</f>
        <v/>
      </c>
      <c r="N25" s="1012" t="str">
        <f>IF('[2]Liquids Vol Acids'!D24="","",'[2]Liquids Vol Acids'!D24)</f>
        <v/>
      </c>
      <c r="O25" s="1015" t="str">
        <f>IF('[2]Liquids Vol Acids'!F24="","",'[2]Liquids Vol Acids'!F24)</f>
        <v/>
      </c>
    </row>
    <row r="26" spans="1:15" ht="20.25" x14ac:dyDescent="0.3">
      <c r="A26" s="736">
        <v>22</v>
      </c>
      <c r="B26" s="1019">
        <f>IF('[1]Plant Data'!I25="","",'[1]Plant Data'!I25)</f>
        <v>116.1367787708331</v>
      </c>
      <c r="C26" s="744">
        <f>IF('[1]Process Lab'!Y24="","",'[1]Process Lab'!Y24)</f>
        <v>59</v>
      </c>
      <c r="D26" s="730">
        <f>IF('[1]Process Lab'!AF24="","",'[1]Process Lab'!AF24)</f>
        <v>51</v>
      </c>
      <c r="E26" s="730">
        <f>IF('[1]Process Lab'!R24="","",'[1]Process Lab'!R24)</f>
        <v>59.9</v>
      </c>
      <c r="F26" s="1015">
        <f t="shared" si="3"/>
        <v>56.633333333333333</v>
      </c>
      <c r="G26" s="738">
        <f>IF('[1]Process Lab'!Z24="","",'[1]Process Lab'!Z24)</f>
        <v>59.48</v>
      </c>
      <c r="H26" s="730">
        <f>IF('[1]Process Lab'!AG24="","",'[1]Process Lab'!AG24)</f>
        <v>58.5</v>
      </c>
      <c r="I26" s="730">
        <f>IF('[1]Process Lab'!S24="","",'[1]Process Lab'!S24)</f>
        <v>61.1</v>
      </c>
      <c r="J26" s="1022">
        <f t="shared" si="4"/>
        <v>59.693333333333328</v>
      </c>
      <c r="K26" s="1029">
        <f>IF('[1]Plant Data'!AE25="","",'[1]Plant Data'!AE25)</f>
        <v>4</v>
      </c>
      <c r="L26" s="1030">
        <f t="shared" si="5"/>
        <v>1.1572561373103416</v>
      </c>
      <c r="M26" s="1025" t="str">
        <f>IF('[2]Liquids Vol Acids'!B25="","",'[2]Liquids Vol Acids'!B25)</f>
        <v/>
      </c>
      <c r="N26" s="1012" t="str">
        <f>IF('[2]Liquids Vol Acids'!D25="","",'[2]Liquids Vol Acids'!D25)</f>
        <v/>
      </c>
      <c r="O26" s="1015" t="str">
        <f>IF('[2]Liquids Vol Acids'!F25="","",'[2]Liquids Vol Acids'!F25)</f>
        <v/>
      </c>
    </row>
    <row r="27" spans="1:15" ht="20.25" x14ac:dyDescent="0.3">
      <c r="A27" s="736">
        <v>23</v>
      </c>
      <c r="B27" s="1019">
        <f>IF('[1]Plant Data'!I26="","",'[1]Plant Data'!I26)</f>
        <v>82.363051128472321</v>
      </c>
      <c r="C27" s="744">
        <f>IF('[1]Process Lab'!Y25="","",'[1]Process Lab'!Y25)</f>
        <v>56.9</v>
      </c>
      <c r="D27" s="730">
        <f>IF('[1]Process Lab'!AF25="","",'[1]Process Lab'!AF25)</f>
        <v>59.1</v>
      </c>
      <c r="E27" s="730">
        <f>IF('[1]Process Lab'!R25="","",'[1]Process Lab'!R25)</f>
        <v>55.4</v>
      </c>
      <c r="F27" s="1015">
        <f t="shared" si="3"/>
        <v>57.133333333333333</v>
      </c>
      <c r="G27" s="738">
        <f>IF('[1]Process Lab'!Z25="","",'[1]Process Lab'!Z25)</f>
        <v>56.1</v>
      </c>
      <c r="H27" s="730">
        <f>IF('[1]Process Lab'!AG25="","",'[1]Process Lab'!AG25)</f>
        <v>57.4</v>
      </c>
      <c r="I27" s="730">
        <f>IF('[1]Process Lab'!S25="","",'[1]Process Lab'!S25)</f>
        <v>56.2</v>
      </c>
      <c r="J27" s="1022">
        <f t="shared" si="4"/>
        <v>56.566666666666663</v>
      </c>
      <c r="K27" s="1029">
        <f>IF('[1]Plant Data'!AE26="","",'[1]Plant Data'!AE26)</f>
        <v>3</v>
      </c>
      <c r="L27" s="1030">
        <f t="shared" si="5"/>
        <v>1.2238497556722272</v>
      </c>
      <c r="M27" s="1025" t="str">
        <f>IF('[2]Liquids Vol Acids'!B26="","",'[2]Liquids Vol Acids'!B26)</f>
        <v/>
      </c>
      <c r="N27" s="1012" t="str">
        <f>IF('[2]Liquids Vol Acids'!D26="","",'[2]Liquids Vol Acids'!D26)</f>
        <v/>
      </c>
      <c r="O27" s="1015" t="str">
        <f>IF('[2]Liquids Vol Acids'!F26="","",'[2]Liquids Vol Acids'!F26)</f>
        <v/>
      </c>
    </row>
    <row r="28" spans="1:15" ht="20.25" x14ac:dyDescent="0.3">
      <c r="A28" s="736">
        <v>24</v>
      </c>
      <c r="B28" s="1019">
        <f>IF('[1]Plant Data'!I27="","",'[1]Plant Data'!I27)</f>
        <v>63.443430267361116</v>
      </c>
      <c r="C28" s="744">
        <f>IF('[1]Process Lab'!Y26="","",'[1]Process Lab'!Y26)</f>
        <v>59.4</v>
      </c>
      <c r="D28" s="730">
        <f>IF('[1]Process Lab'!AF26="","",'[1]Process Lab'!AF26)</f>
        <v>59.8</v>
      </c>
      <c r="E28" s="730">
        <f>IF('[1]Process Lab'!R26="","",'[1]Process Lab'!R26)</f>
        <v>58.5</v>
      </c>
      <c r="F28" s="1015">
        <f t="shared" si="3"/>
        <v>59.233333333333327</v>
      </c>
      <c r="G28" s="738">
        <f>IF('[1]Process Lab'!Z26="","",'[1]Process Lab'!Z26)</f>
        <v>60.1</v>
      </c>
      <c r="H28" s="730">
        <f>IF('[1]Process Lab'!AG26="","",'[1]Process Lab'!AG26)</f>
        <v>59.9</v>
      </c>
      <c r="I28" s="730">
        <f>IF('[1]Process Lab'!S26="","",'[1]Process Lab'!S26)</f>
        <v>59.7</v>
      </c>
      <c r="J28" s="1022">
        <f t="shared" si="4"/>
        <v>59.9</v>
      </c>
      <c r="K28" s="1029">
        <f>IF('[1]Plant Data'!AE27="","",'[1]Plant Data'!AE27)</f>
        <v>3</v>
      </c>
      <c r="L28" s="1030">
        <f t="shared" si="5"/>
        <v>1.5888169913766033</v>
      </c>
      <c r="M28" s="1025">
        <f>IF('[2]Liquids Vol Acids'!B27="","",'[2]Liquids Vol Acids'!B27)</f>
        <v>50</v>
      </c>
      <c r="N28" s="1012">
        <f>IF('[2]Liquids Vol Acids'!D27="","",'[2]Liquids Vol Acids'!D27)</f>
        <v>38</v>
      </c>
      <c r="O28" s="1015">
        <f>IF('[2]Liquids Vol Acids'!F27="","",'[2]Liquids Vol Acids'!F27)</f>
        <v>12</v>
      </c>
    </row>
    <row r="29" spans="1:15" ht="20.25" x14ac:dyDescent="0.3">
      <c r="A29" s="736">
        <v>25</v>
      </c>
      <c r="B29" s="1019">
        <f>IF('[1]Plant Data'!I28="","",'[1]Plant Data'!I28)</f>
        <v>59.51923723263878</v>
      </c>
      <c r="C29" s="744">
        <f>IF('[1]Process Lab'!Y27="","",'[1]Process Lab'!Y27)</f>
        <v>60.1</v>
      </c>
      <c r="D29" s="730">
        <f>IF('[1]Process Lab'!AF27="","",'[1]Process Lab'!AF27)</f>
        <v>59.8</v>
      </c>
      <c r="E29" s="730">
        <f>IF('[1]Process Lab'!R27="","",'[1]Process Lab'!R27)</f>
        <v>58.4</v>
      </c>
      <c r="F29" s="1015">
        <f t="shared" si="3"/>
        <v>59.433333333333337</v>
      </c>
      <c r="G29" s="738">
        <f>IF('[1]Process Lab'!Z27="","",'[1]Process Lab'!Z27)</f>
        <v>60.5</v>
      </c>
      <c r="H29" s="730">
        <f>IF('[1]Process Lab'!AG27="","",'[1]Process Lab'!AG27)</f>
        <v>61.9</v>
      </c>
      <c r="I29" s="730">
        <f>IF('[1]Process Lab'!S27="","",'[1]Process Lab'!S27)</f>
        <v>60.4</v>
      </c>
      <c r="J29" s="1022">
        <f t="shared" si="4"/>
        <v>60.933333333333337</v>
      </c>
      <c r="K29" s="1029">
        <f>IF('[1]Plant Data'!AE28="","",'[1]Plant Data'!AE28)</f>
        <v>3</v>
      </c>
      <c r="L29" s="1030">
        <f t="shared" si="5"/>
        <v>1.6935700907256244</v>
      </c>
      <c r="M29" s="1025" t="str">
        <f>IF('[2]Liquids Vol Acids'!B28="","",'[2]Liquids Vol Acids'!B28)</f>
        <v/>
      </c>
      <c r="N29" s="1012" t="str">
        <f>IF('[2]Liquids Vol Acids'!D28="","",'[2]Liquids Vol Acids'!D28)</f>
        <v/>
      </c>
      <c r="O29" s="1015" t="str">
        <f>IF('[2]Liquids Vol Acids'!F28="","",'[2]Liquids Vol Acids'!F28)</f>
        <v/>
      </c>
    </row>
    <row r="30" spans="1:15" ht="20.25" x14ac:dyDescent="0.3">
      <c r="A30" s="736">
        <v>26</v>
      </c>
      <c r="B30" s="1019">
        <f>IF('[1]Plant Data'!I29="","",'[1]Plant Data'!I29)</f>
        <v>55.282743635416665</v>
      </c>
      <c r="C30" s="744">
        <f>IF('[1]Process Lab'!Y28="","",'[1]Process Lab'!Y28)</f>
        <v>58.9</v>
      </c>
      <c r="D30" s="730">
        <f>IF('[1]Process Lab'!AF28="","",'[1]Process Lab'!AF28)</f>
        <v>60.5</v>
      </c>
      <c r="E30" s="730">
        <f>IF('[1]Process Lab'!R28="","",'[1]Process Lab'!R28)</f>
        <v>59.6</v>
      </c>
      <c r="F30" s="1015">
        <f t="shared" si="3"/>
        <v>59.666666666666664</v>
      </c>
      <c r="G30" s="738">
        <f>IF('[1]Process Lab'!Z28="","",'[1]Process Lab'!Z28)</f>
        <v>60.6</v>
      </c>
      <c r="H30" s="730">
        <f>IF('[1]Process Lab'!AG28="","",'[1]Process Lab'!AG28)</f>
        <v>60.23</v>
      </c>
      <c r="I30" s="730">
        <f>IF('[1]Process Lab'!S28="","",'[1]Process Lab'!S28)</f>
        <v>60.5</v>
      </c>
      <c r="J30" s="1022">
        <f t="shared" si="4"/>
        <v>60.443333333333328</v>
      </c>
      <c r="K30" s="1029">
        <f>IF('[1]Plant Data'!AE29="","",'[1]Plant Data'!AE29)</f>
        <v>3</v>
      </c>
      <c r="L30" s="1030">
        <f t="shared" si="5"/>
        <v>1.8233537876622843</v>
      </c>
      <c r="M30" s="1025" t="str">
        <f>IF('[2]Liquids Vol Acids'!B29="","",'[2]Liquids Vol Acids'!B29)</f>
        <v/>
      </c>
      <c r="N30" s="1012" t="str">
        <f>IF('[2]Liquids Vol Acids'!D29="","",'[2]Liquids Vol Acids'!D29)</f>
        <v/>
      </c>
      <c r="O30" s="1015" t="str">
        <f>IF('[2]Liquids Vol Acids'!F29="","",'[2]Liquids Vol Acids'!F29)</f>
        <v/>
      </c>
    </row>
    <row r="31" spans="1:15" ht="20.25" x14ac:dyDescent="0.3">
      <c r="A31" s="736">
        <v>27</v>
      </c>
      <c r="B31" s="1019">
        <f>IF('[1]Plant Data'!I30="","",'[1]Plant Data'!I30)</f>
        <v>54.39654560069458</v>
      </c>
      <c r="C31" s="744">
        <f>IF('[1]Process Lab'!Y29="","",'[1]Process Lab'!Y29)</f>
        <v>58.6</v>
      </c>
      <c r="D31" s="730">
        <f>IF('[1]Process Lab'!AF29="","",'[1]Process Lab'!AF29)</f>
        <v>60</v>
      </c>
      <c r="E31" s="730">
        <f>IF('[1]Process Lab'!R29="","",'[1]Process Lab'!R29)</f>
        <v>59.5</v>
      </c>
      <c r="F31" s="1015">
        <f t="shared" si="3"/>
        <v>59.366666666666667</v>
      </c>
      <c r="G31" s="738">
        <f>IF('[1]Process Lab'!Z29="","",'[1]Process Lab'!Z29)</f>
        <v>60.67</v>
      </c>
      <c r="H31" s="730">
        <f>IF('[1]Process Lab'!AG29="","",'[1]Process Lab'!AG29)</f>
        <v>60.2</v>
      </c>
      <c r="I31" s="730">
        <f>IF('[1]Process Lab'!S29="","",'[1]Process Lab'!S29)</f>
        <v>60.6</v>
      </c>
      <c r="J31" s="1022">
        <f t="shared" si="4"/>
        <v>60.49</v>
      </c>
      <c r="K31" s="1029">
        <f>IF('[1]Plant Data'!AE30="","",'[1]Plant Data'!AE30)</f>
        <v>3</v>
      </c>
      <c r="L31" s="1030">
        <f t="shared" si="5"/>
        <v>1.8530588456836294</v>
      </c>
      <c r="M31" s="1025">
        <f>IF('[2]Liquids Vol Acids'!B30="","",'[2]Liquids Vol Acids'!B30)</f>
        <v>38</v>
      </c>
      <c r="N31" s="1012">
        <f>IF('[2]Liquids Vol Acids'!D30="","",'[2]Liquids Vol Acids'!D30)</f>
        <v>32</v>
      </c>
      <c r="O31" s="1015">
        <f>IF('[2]Liquids Vol Acids'!F30="","",'[2]Liquids Vol Acids'!F30)</f>
        <v>15</v>
      </c>
    </row>
    <row r="32" spans="1:15" ht="20.25" x14ac:dyDescent="0.3">
      <c r="A32" s="736">
        <v>28</v>
      </c>
      <c r="B32" s="1019">
        <f>IF('[1]Plant Data'!I31="","",'[1]Plant Data'!I31)</f>
        <v>57.059523986111081</v>
      </c>
      <c r="C32" s="744">
        <f>IF('[1]Process Lab'!Y30="","",'[1]Process Lab'!Y30)</f>
        <v>59.1</v>
      </c>
      <c r="D32" s="730">
        <f>IF('[1]Process Lab'!AF30="","",'[1]Process Lab'!AF30)</f>
        <v>60.1</v>
      </c>
      <c r="E32" s="730">
        <f>IF('[1]Process Lab'!R30="","",'[1]Process Lab'!R30)</f>
        <v>59.5</v>
      </c>
      <c r="F32" s="1015">
        <f t="shared" si="3"/>
        <v>59.566666666666663</v>
      </c>
      <c r="G32" s="738">
        <f>IF('[1]Process Lab'!Z30="","",'[1]Process Lab'!Z30)</f>
        <v>60.65</v>
      </c>
      <c r="H32" s="730">
        <f>IF('[1]Process Lab'!AG30="","",'[1]Process Lab'!AG30)</f>
        <v>60.45</v>
      </c>
      <c r="I32" s="730">
        <f>IF('[1]Process Lab'!S30="","",'[1]Process Lab'!S30)</f>
        <v>60.5</v>
      </c>
      <c r="J32" s="1022">
        <f t="shared" si="4"/>
        <v>60.533333333333331</v>
      </c>
      <c r="K32" s="1029">
        <f>IF('[1]Plant Data'!AE31="","",'[1]Plant Data'!AE31)</f>
        <v>3</v>
      </c>
      <c r="L32" s="1030">
        <f t="shared" si="5"/>
        <v>1.7665762515743357</v>
      </c>
      <c r="M32" s="1025" t="str">
        <f>IF('[2]Liquids Vol Acids'!B31="","",'[2]Liquids Vol Acids'!B31)</f>
        <v/>
      </c>
      <c r="N32" s="1012" t="str">
        <f>IF('[2]Liquids Vol Acids'!D31="","",'[2]Liquids Vol Acids'!D31)</f>
        <v/>
      </c>
      <c r="O32" s="1015" t="str">
        <f>IF('[2]Liquids Vol Acids'!F31="","",'[2]Liquids Vol Acids'!F31)</f>
        <v/>
      </c>
    </row>
    <row r="33" spans="1:15" s="1" customFormat="1" ht="20.25" x14ac:dyDescent="0.3">
      <c r="A33" s="736">
        <v>29</v>
      </c>
      <c r="B33" s="1019">
        <f>IF('[1]Plant Data'!I32="","",'[1]Plant Data'!I32)</f>
        <v>57.059591881944492</v>
      </c>
      <c r="C33" s="744">
        <f>IF('[1]Process Lab'!Y31="","",'[1]Process Lab'!Y31)</f>
        <v>59</v>
      </c>
      <c r="D33" s="730">
        <f>IF('[1]Process Lab'!AF31="","",'[1]Process Lab'!AF31)</f>
        <v>60</v>
      </c>
      <c r="E33" s="730">
        <f>IF('[1]Process Lab'!R31="","",'[1]Process Lab'!R31)</f>
        <v>60.7</v>
      </c>
      <c r="F33" s="1015">
        <f t="shared" si="3"/>
        <v>59.9</v>
      </c>
      <c r="G33" s="738">
        <f>IF('[1]Process Lab'!Z31="","",'[1]Process Lab'!Z31)</f>
        <v>60.48</v>
      </c>
      <c r="H33" s="730">
        <f>IF('[1]Process Lab'!AG31="","",'[1]Process Lab'!AG31)</f>
        <v>60.6</v>
      </c>
      <c r="I33" s="730">
        <f>IF('[1]Process Lab'!S31="","",'[1]Process Lab'!S31)</f>
        <v>60.5</v>
      </c>
      <c r="J33" s="1022">
        <f t="shared" si="4"/>
        <v>60.526666666666664</v>
      </c>
      <c r="K33" s="1029">
        <f>IF('[1]Plant Data'!AE32="","",'[1]Plant Data'!AE32)</f>
        <v>3</v>
      </c>
      <c r="L33" s="1030">
        <f t="shared" si="5"/>
        <v>1.7665741495059029</v>
      </c>
      <c r="M33" s="1025" t="str">
        <f>IF('[2]Liquids Vol Acids'!B32="","",'[2]Liquids Vol Acids'!B32)</f>
        <v/>
      </c>
      <c r="N33" s="1012" t="str">
        <f>IF('[2]Liquids Vol Acids'!D32="","",'[2]Liquids Vol Acids'!D32)</f>
        <v/>
      </c>
      <c r="O33" s="1015" t="str">
        <f>IF('[2]Liquids Vol Acids'!F32="","",'[2]Liquids Vol Acids'!F32)</f>
        <v/>
      </c>
    </row>
    <row r="34" spans="1:15" ht="20.25" x14ac:dyDescent="0.3">
      <c r="A34" s="736">
        <v>30</v>
      </c>
      <c r="B34" s="1019">
        <f>IF('[1]Plant Data'!I33="","",'[1]Plant Data'!I33)</f>
        <v>56.59560693749998</v>
      </c>
      <c r="C34" s="744">
        <f>IF('[1]Process Lab'!Y32="","",'[1]Process Lab'!Y32)</f>
        <v>60</v>
      </c>
      <c r="D34" s="730">
        <f>IF('[1]Process Lab'!AF32="","",'[1]Process Lab'!AF32)</f>
        <v>60.1</v>
      </c>
      <c r="E34" s="730">
        <f>IF('[1]Process Lab'!R32="","",'[1]Process Lab'!R32)</f>
        <v>60.8</v>
      </c>
      <c r="F34" s="1015">
        <f t="shared" ref="F34" si="6">IF(SUM(C34:E34)&gt;0,AVERAGE(C34:E34),"")</f>
        <v>60.29999999999999</v>
      </c>
      <c r="G34" s="738">
        <f>IF('[1]Process Lab'!Z32="","",'[1]Process Lab'!Z32)</f>
        <v>60.51</v>
      </c>
      <c r="H34" s="730">
        <f>IF('[1]Process Lab'!AG32="","",'[1]Process Lab'!AG32)</f>
        <v>60.6</v>
      </c>
      <c r="I34" s="730">
        <f>IF('[1]Process Lab'!S32="","",'[1]Process Lab'!S32)</f>
        <v>60.4</v>
      </c>
      <c r="J34" s="1022">
        <f t="shared" ref="J34" si="7">IF(SUM(G34:I34)&gt;0,AVERAGE(G34:I34),"")</f>
        <v>60.50333333333333</v>
      </c>
      <c r="K34" s="1029">
        <f>IF('[1]Plant Data'!AE33="","",'[1]Plant Data'!AE33)</f>
        <v>3</v>
      </c>
      <c r="L34" s="1030">
        <f t="shared" ref="L34" si="8">IF(OR(K34="",K34=0,B34=""),"",33.6*K34/B34)</f>
        <v>1.7810569663351452</v>
      </c>
      <c r="M34" s="1025" t="str">
        <f>IF('[2]Liquids Vol Acids'!B33="","",'[2]Liquids Vol Acids'!B33)</f>
        <v/>
      </c>
      <c r="N34" s="1012" t="str">
        <f>IF('[2]Liquids Vol Acids'!D33="","",'[2]Liquids Vol Acids'!D33)</f>
        <v/>
      </c>
      <c r="O34" s="1015" t="str">
        <f>IF('[2]Liquids Vol Acids'!F33="","",'[2]Liquids Vol Acids'!F33)</f>
        <v/>
      </c>
    </row>
    <row r="35" spans="1:15" ht="21" thickBot="1" x14ac:dyDescent="0.35">
      <c r="A35" s="736">
        <v>31</v>
      </c>
      <c r="B35" s="1019">
        <f>IF('[1]Plant Data'!I34="","",'[1]Plant Data'!I34)</f>
        <v>53.782902565972272</v>
      </c>
      <c r="C35" s="744">
        <f>IF('[1]Process Lab'!Y33="","",'[1]Process Lab'!Y33)</f>
        <v>60.2</v>
      </c>
      <c r="D35" s="730">
        <f>IF('[1]Process Lab'!AF33="","",'[1]Process Lab'!AF33)</f>
        <v>60.4</v>
      </c>
      <c r="E35" s="730">
        <f>IF('[1]Process Lab'!R33="","",'[1]Process Lab'!R33)</f>
        <v>60.4</v>
      </c>
      <c r="F35" s="1015">
        <f t="shared" ref="F35" si="9">IF(SUM(C35:E35)&gt;0,AVERAGE(C35:E35),"")</f>
        <v>60.333333333333336</v>
      </c>
      <c r="G35" s="738">
        <f>IF('[1]Process Lab'!Z33="","",'[1]Process Lab'!Z33)</f>
        <v>60.8</v>
      </c>
      <c r="H35" s="730">
        <f>IF('[1]Process Lab'!AG33="","",'[1]Process Lab'!AG33)</f>
        <v>60.8</v>
      </c>
      <c r="I35" s="730">
        <f>IF('[1]Process Lab'!S33="","",'[1]Process Lab'!S33)</f>
        <v>60.5</v>
      </c>
      <c r="J35" s="1022">
        <f t="shared" ref="J35" si="10">IF(SUM(G35:I35)&gt;0,AVERAGE(G35:I35),"")</f>
        <v>60.699999999999996</v>
      </c>
      <c r="K35" s="1029">
        <f>IF('[1]Plant Data'!AE34="","",'[1]Plant Data'!AE34)</f>
        <v>3</v>
      </c>
      <c r="L35" s="1030">
        <f t="shared" ref="L35" si="11">IF(OR(K35="",K35=0,B35=""),"",33.6*K35/B35)</f>
        <v>1.8742015620364609</v>
      </c>
      <c r="M35" s="1025">
        <f>IF('[2]Liquids Vol Acids'!B34="","",'[2]Liquids Vol Acids'!B34)</f>
        <v>78</v>
      </c>
      <c r="N35" s="1012">
        <f>IF('[2]Liquids Vol Acids'!D34="","",'[2]Liquids Vol Acids'!D34)</f>
        <v>62</v>
      </c>
      <c r="O35" s="1015">
        <f>IF('[2]Liquids Vol Acids'!F34="","",'[2]Liquids Vol Acids'!F34)</f>
        <v>20</v>
      </c>
    </row>
    <row r="36" spans="1:15" ht="20.25" x14ac:dyDescent="0.3">
      <c r="A36" s="735" t="s">
        <v>539</v>
      </c>
      <c r="B36" s="1018">
        <f t="shared" ref="B36:L36" si="12">MAX(B5:B35)</f>
        <v>188.44385234840274</v>
      </c>
      <c r="C36" s="739">
        <f t="shared" si="12"/>
        <v>60.8</v>
      </c>
      <c r="D36" s="740">
        <f t="shared" si="12"/>
        <v>61.3</v>
      </c>
      <c r="E36" s="740">
        <f t="shared" si="12"/>
        <v>61.9</v>
      </c>
      <c r="F36" s="1014">
        <f t="shared" si="12"/>
        <v>61.199999999999996</v>
      </c>
      <c r="G36" s="754">
        <f t="shared" si="12"/>
        <v>61.9</v>
      </c>
      <c r="H36" s="740">
        <f t="shared" si="12"/>
        <v>61.9</v>
      </c>
      <c r="I36" s="740">
        <f t="shared" si="12"/>
        <v>61.8</v>
      </c>
      <c r="J36" s="1021">
        <f t="shared" si="12"/>
        <v>61.733333333333327</v>
      </c>
      <c r="K36" s="1027">
        <f t="shared" si="12"/>
        <v>4</v>
      </c>
      <c r="L36" s="1028">
        <f t="shared" si="12"/>
        <v>2.5156207507301502</v>
      </c>
      <c r="M36" s="1024">
        <f t="shared" ref="M36:O36" si="13">MAX(M5:M35)</f>
        <v>78</v>
      </c>
      <c r="N36" s="1013">
        <f t="shared" si="13"/>
        <v>62</v>
      </c>
      <c r="O36" s="1014">
        <f t="shared" si="13"/>
        <v>20</v>
      </c>
    </row>
    <row r="37" spans="1:15" ht="20.25" x14ac:dyDescent="0.3">
      <c r="A37" s="736" t="s">
        <v>590</v>
      </c>
      <c r="B37" s="1019">
        <f t="shared" ref="B37:L37" si="14">MIN(B5:B35)</f>
        <v>53.210505878472226</v>
      </c>
      <c r="C37" s="744">
        <f t="shared" si="14"/>
        <v>56.9</v>
      </c>
      <c r="D37" s="730">
        <f t="shared" si="14"/>
        <v>51</v>
      </c>
      <c r="E37" s="730">
        <f t="shared" si="14"/>
        <v>55.3</v>
      </c>
      <c r="F37" s="1015">
        <f t="shared" si="14"/>
        <v>54.4</v>
      </c>
      <c r="G37" s="738">
        <f t="shared" si="14"/>
        <v>56.1</v>
      </c>
      <c r="H37" s="730">
        <f t="shared" si="14"/>
        <v>52</v>
      </c>
      <c r="I37" s="730">
        <f t="shared" si="14"/>
        <v>55.3</v>
      </c>
      <c r="J37" s="1022">
        <f t="shared" si="14"/>
        <v>52</v>
      </c>
      <c r="K37" s="1029">
        <f t="shared" si="14"/>
        <v>3</v>
      </c>
      <c r="L37" s="1030">
        <f t="shared" si="14"/>
        <v>0.71320978808858015</v>
      </c>
      <c r="M37" s="1025">
        <f t="shared" ref="M37:O37" si="15">MIN(M5:M35)</f>
        <v>22</v>
      </c>
      <c r="N37" s="1012">
        <f t="shared" si="15"/>
        <v>22</v>
      </c>
      <c r="O37" s="1015">
        <f t="shared" si="15"/>
        <v>12</v>
      </c>
    </row>
    <row r="38" spans="1:15" ht="20.25" hidden="1" x14ac:dyDescent="0.3">
      <c r="A38" s="736" t="s">
        <v>591</v>
      </c>
      <c r="B38" s="1019">
        <f t="shared" ref="B38:L38" si="16">STDEV(B5:B35)</f>
        <v>32.01068108040127</v>
      </c>
      <c r="C38" s="744">
        <f t="shared" si="16"/>
        <v>1.0183241757830004</v>
      </c>
      <c r="D38" s="730">
        <f t="shared" si="16"/>
        <v>2.8371043848125472</v>
      </c>
      <c r="E38" s="730">
        <f t="shared" si="16"/>
        <v>1.6046192556694019</v>
      </c>
      <c r="F38" s="1015">
        <f t="shared" si="16"/>
        <v>1.5874455183080076</v>
      </c>
      <c r="G38" s="738">
        <f t="shared" si="16"/>
        <v>1.6470992619863494</v>
      </c>
      <c r="H38" s="730">
        <f t="shared" si="16"/>
        <v>2.5630083123539427</v>
      </c>
      <c r="I38" s="730">
        <f t="shared" si="16"/>
        <v>1.7493703300685468</v>
      </c>
      <c r="J38" s="1022">
        <f t="shared" si="16"/>
        <v>2.2026269479699772</v>
      </c>
      <c r="K38" s="1029">
        <f t="shared" si="16"/>
        <v>0.47519096331149069</v>
      </c>
      <c r="L38" s="1030">
        <f t="shared" si="16"/>
        <v>0.43745718873059053</v>
      </c>
      <c r="M38" s="1025">
        <f t="shared" ref="M38:O38" si="17">STDEV(M5:M35)</f>
        <v>16.248076809271922</v>
      </c>
      <c r="N38" s="1012">
        <f t="shared" si="17"/>
        <v>11.958260743101398</v>
      </c>
      <c r="O38" s="1015">
        <f t="shared" si="17"/>
        <v>2.3687784005919772</v>
      </c>
    </row>
    <row r="39" spans="1:15" ht="20.25" x14ac:dyDescent="0.3">
      <c r="A39" s="736" t="s">
        <v>592</v>
      </c>
      <c r="B39" s="1019">
        <f>SUM(B5:B35)</f>
        <v>2288.2505616010644</v>
      </c>
      <c r="C39" s="1032"/>
      <c r="D39" s="800"/>
      <c r="E39" s="800"/>
      <c r="F39" s="1015"/>
      <c r="G39" s="809"/>
      <c r="H39" s="800"/>
      <c r="I39" s="800"/>
      <c r="J39" s="1033"/>
      <c r="K39" s="1029"/>
      <c r="L39" s="1030"/>
      <c r="M39" s="1025"/>
      <c r="N39" s="1012"/>
      <c r="O39" s="1015"/>
    </row>
    <row r="40" spans="1:15" ht="21" thickBot="1" x14ac:dyDescent="0.35">
      <c r="A40" s="737" t="s">
        <v>538</v>
      </c>
      <c r="B40" s="1020">
        <f t="shared" ref="B40:L40" si="18">AVERAGE(B5:B35)</f>
        <v>73.814534245195631</v>
      </c>
      <c r="C40" s="746">
        <f t="shared" si="18"/>
        <v>59.207142857142856</v>
      </c>
      <c r="D40" s="747">
        <f t="shared" si="18"/>
        <v>59.112903225806448</v>
      </c>
      <c r="E40" s="747">
        <f t="shared" si="18"/>
        <v>59.086206896551737</v>
      </c>
      <c r="F40" s="1017">
        <f t="shared" si="18"/>
        <v>59.047311827956996</v>
      </c>
      <c r="G40" s="755">
        <f t="shared" si="18"/>
        <v>60.017857142857132</v>
      </c>
      <c r="H40" s="747">
        <f t="shared" si="18"/>
        <v>59.164333333333346</v>
      </c>
      <c r="I40" s="747">
        <f t="shared" si="18"/>
        <v>59.864137931034492</v>
      </c>
      <c r="J40" s="1023">
        <f t="shared" si="18"/>
        <v>59.434408602150548</v>
      </c>
      <c r="K40" s="1034">
        <f t="shared" si="18"/>
        <v>3.3225806451612905</v>
      </c>
      <c r="L40" s="1031">
        <f t="shared" si="18"/>
        <v>1.6634551068273198</v>
      </c>
      <c r="M40" s="1026">
        <f t="shared" ref="M40:O40" si="19">AVERAGE(M5:M35)</f>
        <v>44.666666666666664</v>
      </c>
      <c r="N40" s="1016">
        <f t="shared" si="19"/>
        <v>38.333333333333336</v>
      </c>
      <c r="O40" s="1017">
        <f t="shared" si="19"/>
        <v>15.888888888888889</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verticalCentered="1"/>
  <pageMargins left="0.25" right="0.25" top="0.25" bottom="0.25" header="0.25" footer="0.25"/>
  <pageSetup paperSize="3" scale="9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55" zoomScaleNormal="55" workbookViewId="0">
      <selection activeCell="E29" sqref="E29"/>
    </sheetView>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6"/>
      <c r="B1" s="1679" t="s">
        <v>657</v>
      </c>
      <c r="C1" s="1680"/>
      <c r="D1" s="1680"/>
      <c r="E1" s="1680"/>
      <c r="F1" s="1681"/>
      <c r="G1" s="1676" t="s">
        <v>658</v>
      </c>
      <c r="H1" s="1677"/>
      <c r="I1" s="1678"/>
      <c r="J1" s="1676" t="s">
        <v>678</v>
      </c>
      <c r="K1" s="1677"/>
      <c r="L1" s="1678"/>
      <c r="M1" s="1679" t="s">
        <v>660</v>
      </c>
      <c r="N1" s="1680"/>
      <c r="O1" s="1681"/>
    </row>
    <row r="2" spans="1:27" ht="21" thickBot="1" x14ac:dyDescent="0.35">
      <c r="A2" s="446" t="s">
        <v>550</v>
      </c>
      <c r="B2" s="463" t="s">
        <v>679</v>
      </c>
      <c r="C2" s="464" t="s">
        <v>619</v>
      </c>
      <c r="D2" s="465" t="s">
        <v>662</v>
      </c>
      <c r="E2" s="466" t="s">
        <v>506</v>
      </c>
      <c r="F2" s="464" t="s">
        <v>610</v>
      </c>
      <c r="G2" s="464" t="s">
        <v>314</v>
      </c>
      <c r="H2" s="464" t="s">
        <v>609</v>
      </c>
      <c r="I2" s="464" t="s">
        <v>14</v>
      </c>
      <c r="J2" s="467" t="s">
        <v>662</v>
      </c>
      <c r="K2" s="466" t="s">
        <v>506</v>
      </c>
      <c r="L2" s="464" t="s">
        <v>619</v>
      </c>
      <c r="M2" s="468" t="s">
        <v>589</v>
      </c>
      <c r="N2" s="468" t="s">
        <v>109</v>
      </c>
      <c r="O2" s="468" t="s">
        <v>109</v>
      </c>
    </row>
    <row r="3" spans="1:27" ht="20.25" x14ac:dyDescent="0.3">
      <c r="A3" s="793">
        <f>IF(date!B6="","",date!B6)</f>
        <v>43466</v>
      </c>
      <c r="B3" s="338" t="s">
        <v>680</v>
      </c>
      <c r="C3" s="336" t="s">
        <v>681</v>
      </c>
      <c r="D3" s="469" t="s">
        <v>676</v>
      </c>
      <c r="E3" s="337" t="s">
        <v>615</v>
      </c>
      <c r="F3" s="336" t="s">
        <v>614</v>
      </c>
      <c r="G3" s="336" t="s">
        <v>22</v>
      </c>
      <c r="H3" s="336" t="s">
        <v>49</v>
      </c>
      <c r="I3" s="336" t="s">
        <v>19</v>
      </c>
      <c r="J3" s="336"/>
      <c r="K3" s="337" t="s">
        <v>615</v>
      </c>
      <c r="L3" s="336" t="s">
        <v>610</v>
      </c>
      <c r="M3" s="470" t="s">
        <v>673</v>
      </c>
      <c r="N3" s="470" t="s">
        <v>657</v>
      </c>
      <c r="O3" s="470" t="s">
        <v>678</v>
      </c>
      <c r="Q3" s="80" t="s">
        <v>682</v>
      </c>
      <c r="R3" s="80"/>
      <c r="S3" s="80"/>
      <c r="T3" s="80"/>
      <c r="U3" s="80"/>
    </row>
    <row r="4" spans="1:27" ht="21" thickBot="1" x14ac:dyDescent="0.35">
      <c r="A4" s="794">
        <f>IF(date!B6="","",date!B6)</f>
        <v>43466</v>
      </c>
      <c r="B4" s="471" t="s">
        <v>683</v>
      </c>
      <c r="C4" s="472" t="s">
        <v>677</v>
      </c>
      <c r="D4" s="473" t="s">
        <v>481</v>
      </c>
      <c r="E4" s="474" t="s">
        <v>313</v>
      </c>
      <c r="F4" s="472"/>
      <c r="G4" s="472" t="s">
        <v>315</v>
      </c>
      <c r="H4" s="472"/>
      <c r="I4" s="472" t="s">
        <v>331</v>
      </c>
      <c r="J4" s="472" t="s">
        <v>43</v>
      </c>
      <c r="K4" s="474"/>
      <c r="L4" s="472" t="s">
        <v>614</v>
      </c>
      <c r="M4" s="472"/>
      <c r="N4" s="389" t="s">
        <v>665</v>
      </c>
      <c r="O4" s="400" t="s">
        <v>665</v>
      </c>
      <c r="Q4" s="80" t="s">
        <v>554</v>
      </c>
      <c r="R4" s="80" t="s">
        <v>555</v>
      </c>
      <c r="S4" s="80" t="s">
        <v>556</v>
      </c>
      <c r="T4" s="80"/>
      <c r="U4" s="80"/>
    </row>
    <row r="5" spans="1:27" ht="20.25" x14ac:dyDescent="0.3">
      <c r="A5" s="735">
        <v>1</v>
      </c>
      <c r="B5" s="754">
        <f>IF(SUM(Q5:S5)=0,"",SUM(Q5:S5))</f>
        <v>2</v>
      </c>
      <c r="C5" s="782">
        <f>IF(SUM([1]SLPR!X4:Z4)=0,"",[1]SLPR!X4+[1]SLPR!Y4+[1]SLPR!Z4)</f>
        <v>46.6</v>
      </c>
      <c r="D5" s="741">
        <f>'WAS-TWAS'!B5</f>
        <v>1.6289587842219018</v>
      </c>
      <c r="E5" s="741">
        <f>IF([1]GB_Lab!B4="","",[1]GB_Lab!B4)</f>
        <v>0.67</v>
      </c>
      <c r="F5" s="788">
        <f>IF(OR(D5="",E5=""),"",D5*(E5*10000)*8.34/2000)</f>
        <v>45.511479472375704</v>
      </c>
      <c r="G5" s="852">
        <f>IF([2]BP_GB!H4="","",[2]BP_GB!H4)</f>
        <v>0.06</v>
      </c>
      <c r="H5" s="741">
        <f t="shared" ref="H5:H6" si="0">IF(OR(F5="",I5=""),"",F5-(F5*(I5/100)))</f>
        <v>4.0756548781231956</v>
      </c>
      <c r="I5" s="743">
        <f>IF(OR(E5="",G5=""),"",((E5-G5)/E5)*100)</f>
        <v>91.044776119402997</v>
      </c>
      <c r="J5" s="754">
        <f>IF([1]Digesters!AB4="","",[1]Digesters!AB4)</f>
        <v>228106</v>
      </c>
      <c r="K5" s="741">
        <f>IF([1]GB_Lab!C4="","",[1]GB_Lab!C4)</f>
        <v>4.38</v>
      </c>
      <c r="L5" s="788">
        <f>IF(OR(J5="",K5=""),"",(J5*100)*8.34*(K5/100)/2000)</f>
        <v>4166.2648476000004</v>
      </c>
      <c r="M5" s="739">
        <f>IF([1]SLPR!W4="","",[1]SLPR!W4*0.006*8.34)</f>
        <v>329.26320000000004</v>
      </c>
      <c r="N5" s="782">
        <f t="shared" ref="N5:N6" si="1">IF(OR(M5="",F5=""),"",M5/F5)</f>
        <v>7.2347285523832356</v>
      </c>
      <c r="O5" s="762">
        <f t="shared" ref="O5:O6" si="2">IF(OR(M5="",L5=""),"",M5/L5)</f>
        <v>7.9030789458733985E-2</v>
      </c>
      <c r="Q5" s="80">
        <f>IF([1]SLPR!X4="","",IF([1]SLPR!X4,1,0))</f>
        <v>0</v>
      </c>
      <c r="R5" s="80">
        <f>IF([1]SLPR!Y4="","",IF([1]SLPR!Y4,1,0))</f>
        <v>1</v>
      </c>
      <c r="S5" s="80">
        <f>IF([1]SLPR!Z4="","",IF([1]SLPR!Z4,1,0))</f>
        <v>1</v>
      </c>
      <c r="T5" s="80"/>
      <c r="U5" s="80"/>
      <c r="X5" s="185" t="s">
        <v>108</v>
      </c>
      <c r="Y5" s="185" t="s">
        <v>107</v>
      </c>
      <c r="Z5" s="185" t="s">
        <v>114</v>
      </c>
      <c r="AA5" s="199" t="s">
        <v>106</v>
      </c>
    </row>
    <row r="6" spans="1:27" ht="20.25" x14ac:dyDescent="0.3">
      <c r="A6" s="736">
        <v>2</v>
      </c>
      <c r="B6" s="738">
        <f>IF(SUM(Q6:S6)=0,"",SUM(Q6:S6))</f>
        <v>2</v>
      </c>
      <c r="C6" s="733">
        <f>IF(SUM([1]SLPR!X5:Z5)=0,"",[1]SLPR!X5+[1]SLPR!Y5+[1]SLPR!Z5)</f>
        <v>45.6</v>
      </c>
      <c r="D6" s="731">
        <f>'WAS-TWAS'!B6</f>
        <v>1.6050391690682055</v>
      </c>
      <c r="E6" s="731">
        <f>IF([1]GB_Lab!B5="","",[1]GB_Lab!B5)</f>
        <v>0.67</v>
      </c>
      <c r="F6" s="789">
        <f>IF(OR(D6="",E6=""),"",D6*(E6*10000)*8.34/2000)</f>
        <v>44.843189344596595</v>
      </c>
      <c r="G6" s="853" t="str">
        <f>IF([2]BP_GB!H5="","",[2]BP_GB!H5)</f>
        <v/>
      </c>
      <c r="H6" s="731" t="str">
        <f t="shared" si="0"/>
        <v/>
      </c>
      <c r="I6" s="745" t="str">
        <f>IF(OR(E6="",G6=""),"",((E6-G6)/E6)*100)</f>
        <v/>
      </c>
      <c r="J6" s="738">
        <f>IF([1]Digesters!AB5="","",[1]Digesters!AB5)</f>
        <v>207806</v>
      </c>
      <c r="K6" s="731">
        <f>IF([1]GB_Lab!C5="","",[1]GB_Lab!C5)</f>
        <v>4.8899999999999997</v>
      </c>
      <c r="L6" s="789">
        <f t="shared" ref="L6" si="3">IF(OR(J6="",K6=""),"",(J6*100)*8.34*(K6/100)/2000)</f>
        <v>4237.4344878000002</v>
      </c>
      <c r="M6" s="744">
        <f>IF([1]SLPR!W5="","",[1]SLPR!W5*0.006*8.34)</f>
        <v>346.77719999999999</v>
      </c>
      <c r="N6" s="733">
        <f t="shared" si="1"/>
        <v>7.7331074142652412</v>
      </c>
      <c r="O6" s="763">
        <f t="shared" si="2"/>
        <v>8.1836592636041081E-2</v>
      </c>
      <c r="Q6" s="80">
        <f>IF([1]SLPR!X5="","",IF([1]SLPR!X5,1,0))</f>
        <v>0</v>
      </c>
      <c r="R6" s="80">
        <f>IF([1]SLPR!Y5="","",IF([1]SLPR!Y5,1,0))</f>
        <v>1</v>
      </c>
      <c r="S6" s="80">
        <f>IF([1]SLPR!Z5="","",IF([1]SLPR!Z5,1,0))</f>
        <v>1</v>
      </c>
      <c r="T6" s="80"/>
      <c r="U6" s="80"/>
    </row>
    <row r="7" spans="1:27" ht="20.25" x14ac:dyDescent="0.3">
      <c r="A7" s="736">
        <v>3</v>
      </c>
      <c r="B7" s="738">
        <f t="shared" ref="B7:B33" si="4">IF(SUM(Q7:S7)=0,"",SUM(Q7:S7))</f>
        <v>2</v>
      </c>
      <c r="C7" s="733">
        <f>IF(SUM([1]SLPR!X6:Z6)=0,"",[1]SLPR!X6+[1]SLPR!Y6+[1]SLPR!Z6)</f>
        <v>47.3</v>
      </c>
      <c r="D7" s="731">
        <f>'WAS-TWAS'!B7</f>
        <v>1.5601979276737121</v>
      </c>
      <c r="E7" s="731">
        <f>IF([1]GB_Lab!B6="","",[1]GB_Lab!B6)</f>
        <v>0.61</v>
      </c>
      <c r="F7" s="789">
        <f t="shared" ref="F7:F33" si="5">IF(OR(D7="",E7=""),"",D7*(E7*10000)*8.34/2000)</f>
        <v>39.686754686236213</v>
      </c>
      <c r="G7" s="853" t="str">
        <f>IF([2]BP_GB!H6="","",[2]BP_GB!H6)</f>
        <v/>
      </c>
      <c r="H7" s="731" t="str">
        <f t="shared" ref="H7:H33" si="6">IF(OR(F7="",I7=""),"",F7-(F7*(I7/100)))</f>
        <v/>
      </c>
      <c r="I7" s="745" t="str">
        <f t="shared" ref="I7:I33" si="7">IF(OR(E7="",G7=""),"",((E7-G7)/E7)*100)</f>
        <v/>
      </c>
      <c r="J7" s="738">
        <f>IF([1]Digesters!AB6="","",[1]Digesters!AB6)</f>
        <v>232382</v>
      </c>
      <c r="K7" s="731">
        <f>IF([1]GB_Lab!C6="","",[1]GB_Lab!C6)</f>
        <v>5.01</v>
      </c>
      <c r="L7" s="789">
        <f t="shared" ref="L7:L33" si="8">IF(OR(J7="",K7=""),"",(J7*100)*8.34*(K7/100)/2000)</f>
        <v>4854.8550293999997</v>
      </c>
      <c r="M7" s="744">
        <f>IF([1]SLPR!W6="","",[1]SLPR!W6*0.006*8.34)</f>
        <v>331.26479999999998</v>
      </c>
      <c r="N7" s="733">
        <f t="shared" ref="N7:N33" si="9">IF(OR(M7="",F7=""),"",M7/F7)</f>
        <v>8.3469863590253741</v>
      </c>
      <c r="O7" s="763">
        <f t="shared" ref="O7:O33" si="10">IF(OR(M7="",L7=""),"",M7/L7)</f>
        <v>6.8233716144751752E-2</v>
      </c>
      <c r="Q7" s="80">
        <f>IF([1]SLPR!X6="","",IF([1]SLPR!X6,1,0))</f>
        <v>0</v>
      </c>
      <c r="R7" s="80">
        <f>IF([1]SLPR!Y6="","",IF([1]SLPR!Y6,1,0))</f>
        <v>1</v>
      </c>
      <c r="S7" s="80">
        <f>IF([1]SLPR!Z6="","",IF([1]SLPR!Z6,1,0))</f>
        <v>1</v>
      </c>
      <c r="T7" s="80"/>
      <c r="U7" s="80"/>
    </row>
    <row r="8" spans="1:27" ht="20.25" x14ac:dyDescent="0.3">
      <c r="A8" s="736">
        <v>4</v>
      </c>
      <c r="B8" s="738">
        <f t="shared" si="4"/>
        <v>2</v>
      </c>
      <c r="C8" s="733">
        <f>IF(SUM([1]SLPR!X7:Z7)=0,"",[1]SLPR!X7+[1]SLPR!Y7+[1]SLPR!Z7)</f>
        <v>49.3</v>
      </c>
      <c r="D8" s="731">
        <f>'WAS-TWAS'!B8</f>
        <v>1.6443466708693568</v>
      </c>
      <c r="E8" s="731">
        <f>IF([1]GB_Lab!B7="","",[1]GB_Lab!B7)</f>
        <v>0.68</v>
      </c>
      <c r="F8" s="789">
        <f t="shared" si="5"/>
        <v>46.627094199171488</v>
      </c>
      <c r="G8" s="853" t="str">
        <f>IF([2]BP_GB!H7="","",[2]BP_GB!H7)</f>
        <v/>
      </c>
      <c r="H8" s="731" t="str">
        <f t="shared" si="6"/>
        <v/>
      </c>
      <c r="I8" s="745" t="str">
        <f t="shared" si="7"/>
        <v/>
      </c>
      <c r="J8" s="738">
        <f>IF([1]Digesters!AB7="","",[1]Digesters!AB7)</f>
        <v>247879</v>
      </c>
      <c r="K8" s="731">
        <f>IF([1]GB_Lab!C7="","",[1]GB_Lab!C7)</f>
        <v>4.22</v>
      </c>
      <c r="L8" s="789">
        <f t="shared" si="8"/>
        <v>4362.0259145999999</v>
      </c>
      <c r="M8" s="744">
        <f>IF([1]SLPR!W7="","",[1]SLPR!W7*0.006*8.34)</f>
        <v>365.79239999999999</v>
      </c>
      <c r="N8" s="733">
        <f t="shared" si="9"/>
        <v>7.8450610376337737</v>
      </c>
      <c r="O8" s="763">
        <f t="shared" si="10"/>
        <v>8.3858373875237133E-2</v>
      </c>
      <c r="Q8" s="80">
        <f>IF([1]SLPR!X7="","",IF([1]SLPR!X7,1,0))</f>
        <v>0</v>
      </c>
      <c r="R8" s="80">
        <f>IF([1]SLPR!Y7="","",IF([1]SLPR!Y7,1,0))</f>
        <v>1</v>
      </c>
      <c r="S8" s="80">
        <f>IF([1]SLPR!Z7="","",IF([1]SLPR!Z7,1,0))</f>
        <v>1</v>
      </c>
      <c r="T8" s="80"/>
      <c r="U8" s="80"/>
    </row>
    <row r="9" spans="1:27" ht="20.25" x14ac:dyDescent="0.3">
      <c r="A9" s="736">
        <v>5</v>
      </c>
      <c r="B9" s="738">
        <f t="shared" si="4"/>
        <v>2</v>
      </c>
      <c r="C9" s="733">
        <f>IF(SUM([1]SLPR!X8:Z8)=0,"",[1]SLPR!X8+[1]SLPR!Y8+[1]SLPR!Z8)</f>
        <v>46.6</v>
      </c>
      <c r="D9" s="731">
        <f>'WAS-TWAS'!B9</f>
        <v>1.7088532525816533</v>
      </c>
      <c r="E9" s="731">
        <f>IF([1]GB_Lab!B8="","",[1]GB_Lab!B8)</f>
        <v>0.66</v>
      </c>
      <c r="F9" s="789">
        <f t="shared" si="5"/>
        <v>47.031059217552261</v>
      </c>
      <c r="G9" s="853" t="str">
        <f>IF([2]BP_GB!H8="","",[2]BP_GB!H8)</f>
        <v/>
      </c>
      <c r="H9" s="731" t="str">
        <f t="shared" si="6"/>
        <v/>
      </c>
      <c r="I9" s="745" t="str">
        <f t="shared" si="7"/>
        <v/>
      </c>
      <c r="J9" s="738">
        <f>IF([1]Digesters!AB8="","",[1]Digesters!AB8)</f>
        <v>228009</v>
      </c>
      <c r="K9" s="731">
        <f>IF([1]GB_Lab!C8="","",[1]GB_Lab!C8)</f>
        <v>6.04</v>
      </c>
      <c r="L9" s="789">
        <f t="shared" si="8"/>
        <v>5742.8170811999998</v>
      </c>
      <c r="M9" s="744">
        <f>IF([1]SLPR!W8="","",[1]SLPR!W8*0.006*8.34)</f>
        <v>378.30239999999998</v>
      </c>
      <c r="N9" s="733">
        <f t="shared" si="9"/>
        <v>8.043671698952835</v>
      </c>
      <c r="O9" s="763">
        <f t="shared" si="10"/>
        <v>6.5874011770012911E-2</v>
      </c>
      <c r="Q9" s="80">
        <f>IF([1]SLPR!X8="","",IF([1]SLPR!X8,1,0))</f>
        <v>0</v>
      </c>
      <c r="R9" s="80">
        <f>IF([1]SLPR!Y8="","",IF([1]SLPR!Y8,1,0))</f>
        <v>1</v>
      </c>
      <c r="S9" s="80">
        <f>IF([1]SLPR!Z8="","",IF([1]SLPR!Z8,1,0))</f>
        <v>1</v>
      </c>
      <c r="T9" s="80"/>
      <c r="U9" s="80"/>
    </row>
    <row r="10" spans="1:27" ht="20.25" x14ac:dyDescent="0.3">
      <c r="A10" s="736">
        <v>6</v>
      </c>
      <c r="B10" s="738">
        <f t="shared" si="4"/>
        <v>2</v>
      </c>
      <c r="C10" s="733">
        <f>IF(SUM([1]SLPR!X9:Z9)=0,"",[1]SLPR!X9+[1]SLPR!Y9+[1]SLPR!Z9)</f>
        <v>51.2</v>
      </c>
      <c r="D10" s="731">
        <f>'WAS-TWAS'!B10</f>
        <v>1.6036240065642007</v>
      </c>
      <c r="E10" s="731">
        <f>IF([1]GB_Lab!B9="","",[1]GB_Lab!B9)</f>
        <v>0.65</v>
      </c>
      <c r="F10" s="789">
        <f t="shared" si="5"/>
        <v>43.466228697922652</v>
      </c>
      <c r="G10" s="853" t="str">
        <f>IF([2]BP_GB!H9="","",[2]BP_GB!H9)</f>
        <v/>
      </c>
      <c r="H10" s="731" t="str">
        <f t="shared" si="6"/>
        <v/>
      </c>
      <c r="I10" s="745" t="str">
        <f t="shared" si="7"/>
        <v/>
      </c>
      <c r="J10" s="738">
        <f>IF([1]Digesters!AB9="","",[1]Digesters!AB9)</f>
        <v>192000</v>
      </c>
      <c r="K10" s="731">
        <f>IF([1]GB_Lab!C9="","",[1]GB_Lab!C9)</f>
        <v>4.2699999999999996</v>
      </c>
      <c r="L10" s="789">
        <f t="shared" si="8"/>
        <v>3418.7327999999998</v>
      </c>
      <c r="M10" s="744">
        <f>IF([1]SLPR!W9="","",[1]SLPR!W9*0.006*8.34)</f>
        <v>411.3288</v>
      </c>
      <c r="N10" s="733">
        <f t="shared" si="9"/>
        <v>9.4631812402822586</v>
      </c>
      <c r="O10" s="763">
        <f t="shared" si="10"/>
        <v>0.12031615925058549</v>
      </c>
      <c r="Q10" s="80">
        <f>IF([1]SLPR!X9="","",IF([1]SLPR!X9,1,0))</f>
        <v>0</v>
      </c>
      <c r="R10" s="80">
        <f>IF([1]SLPR!Y9="","",IF([1]SLPR!Y9,1,0))</f>
        <v>1</v>
      </c>
      <c r="S10" s="80">
        <f>IF([1]SLPR!Z9="","",IF([1]SLPR!Z9,1,0))</f>
        <v>1</v>
      </c>
      <c r="T10" s="80"/>
      <c r="U10" s="80"/>
    </row>
    <row r="11" spans="1:27" ht="20.25" x14ac:dyDescent="0.3">
      <c r="A11" s="736">
        <v>7</v>
      </c>
      <c r="B11" s="738">
        <f t="shared" si="4"/>
        <v>2</v>
      </c>
      <c r="C11" s="733">
        <f>IF(SUM([1]SLPR!X10:Z10)=0,"",[1]SLPR!X10+[1]SLPR!Y10+[1]SLPR!Z10)</f>
        <v>48</v>
      </c>
      <c r="D11" s="731">
        <f>'WAS-TWAS'!B11</f>
        <v>1.4845097279759052</v>
      </c>
      <c r="E11" s="731">
        <f>IF([1]GB_Lab!B10="","",[1]GB_Lab!B10)</f>
        <v>0.65</v>
      </c>
      <c r="F11" s="789">
        <f t="shared" si="5"/>
        <v>40.237636176786907</v>
      </c>
      <c r="G11" s="853" t="str">
        <f>IF([2]BP_GB!H10="","",[2]BP_GB!H10)</f>
        <v/>
      </c>
      <c r="H11" s="731" t="str">
        <f t="shared" si="6"/>
        <v/>
      </c>
      <c r="I11" s="745" t="str">
        <f t="shared" si="7"/>
        <v/>
      </c>
      <c r="J11" s="738">
        <f>IF([1]Digesters!AB10="","",[1]Digesters!AB10)</f>
        <v>227265</v>
      </c>
      <c r="K11" s="731">
        <f>IF([1]GB_Lab!C10="","",[1]GB_Lab!C10)</f>
        <v>4.6500000000000004</v>
      </c>
      <c r="L11" s="789">
        <f t="shared" si="8"/>
        <v>4406.7819825000006</v>
      </c>
      <c r="M11" s="744">
        <f>IF([1]SLPR!W10="","",[1]SLPR!W10*0.006*8.34)</f>
        <v>326.76119999999997</v>
      </c>
      <c r="N11" s="733">
        <f t="shared" si="9"/>
        <v>8.120785191365405</v>
      </c>
      <c r="O11" s="763">
        <f t="shared" si="10"/>
        <v>7.414961786120082E-2</v>
      </c>
      <c r="Q11" s="80">
        <f>IF([1]SLPR!X10="","",IF([1]SLPR!X10,1,0))</f>
        <v>0</v>
      </c>
      <c r="R11" s="80">
        <f>IF([1]SLPR!Y10="","",IF([1]SLPR!Y10,1,0))</f>
        <v>1</v>
      </c>
      <c r="S11" s="80">
        <f>IF([1]SLPR!Z10="","",IF([1]SLPR!Z10,1,0))</f>
        <v>1</v>
      </c>
      <c r="T11" s="80"/>
      <c r="U11" s="80"/>
    </row>
    <row r="12" spans="1:27" ht="20.25" x14ac:dyDescent="0.3">
      <c r="A12" s="736">
        <v>8</v>
      </c>
      <c r="B12" s="738">
        <f t="shared" si="4"/>
        <v>2</v>
      </c>
      <c r="C12" s="733">
        <f>IF(SUM([1]SLPR!X11:Z11)=0,"",[1]SLPR!X11+[1]SLPR!Y11+[1]SLPR!Z11)</f>
        <v>46.1</v>
      </c>
      <c r="D12" s="731">
        <f>'WAS-TWAS'!B12</f>
        <v>1.4877478551272818</v>
      </c>
      <c r="E12" s="731">
        <f>IF([1]GB_Lab!B11="","",[1]GB_Lab!B11)</f>
        <v>0.65</v>
      </c>
      <c r="F12" s="789">
        <f t="shared" si="5"/>
        <v>40.325405613224966</v>
      </c>
      <c r="G12" s="853">
        <f>IF([2]BP_GB!H11="","",[2]BP_GB!H11)</f>
        <v>0.03</v>
      </c>
      <c r="H12" s="731">
        <f t="shared" si="6"/>
        <v>1.8611725667642389</v>
      </c>
      <c r="I12" s="745">
        <f t="shared" si="7"/>
        <v>95.384615384615373</v>
      </c>
      <c r="J12" s="738">
        <f>IF([1]Digesters!AB11="","",[1]Digesters!AB11)</f>
        <v>198076</v>
      </c>
      <c r="K12" s="731">
        <f>IF([1]GB_Lab!C11="","",[1]GB_Lab!C11)</f>
        <v>4.95</v>
      </c>
      <c r="L12" s="789">
        <f t="shared" si="8"/>
        <v>4088.5857540000002</v>
      </c>
      <c r="M12" s="744">
        <f>IF([1]SLPR!W11="","",[1]SLPR!W11*0.006*8.34)</f>
        <v>353.13227999999998</v>
      </c>
      <c r="N12" s="733">
        <f t="shared" si="9"/>
        <v>8.7570670308196004</v>
      </c>
      <c r="O12" s="763">
        <f t="shared" si="10"/>
        <v>8.6370275994460649E-2</v>
      </c>
      <c r="Q12" s="80">
        <f>IF([1]SLPR!X11="","",IF([1]SLPR!X11,1,0))</f>
        <v>0</v>
      </c>
      <c r="R12" s="80">
        <f>IF([1]SLPR!Y11="","",IF([1]SLPR!Y11,1,0))</f>
        <v>1</v>
      </c>
      <c r="S12" s="80">
        <f>IF([1]SLPR!Z11="","",IF([1]SLPR!Z11,1,0))</f>
        <v>1</v>
      </c>
      <c r="T12" s="80"/>
      <c r="U12" s="80"/>
    </row>
    <row r="13" spans="1:27" ht="20.25" x14ac:dyDescent="0.3">
      <c r="A13" s="736">
        <v>9</v>
      </c>
      <c r="B13" s="738">
        <f t="shared" si="4"/>
        <v>2</v>
      </c>
      <c r="C13" s="733">
        <f>IF(SUM([1]SLPR!X12:Z12)=0,"",[1]SLPR!X12+[1]SLPR!Y12+[1]SLPR!Z12)</f>
        <v>48.1</v>
      </c>
      <c r="D13" s="731">
        <f>'WAS-TWAS'!B13</f>
        <v>1.4805555200328215</v>
      </c>
      <c r="E13" s="731">
        <f>IF([1]GB_Lab!B12="","",[1]GB_Lab!B12)</f>
        <v>0.61</v>
      </c>
      <c r="F13" s="789">
        <f t="shared" si="5"/>
        <v>37.660890763074882</v>
      </c>
      <c r="G13" s="853" t="str">
        <f>IF([2]BP_GB!H12="","",[2]BP_GB!H12)</f>
        <v/>
      </c>
      <c r="H13" s="731" t="str">
        <f t="shared" si="6"/>
        <v/>
      </c>
      <c r="I13" s="745" t="str">
        <f t="shared" si="7"/>
        <v/>
      </c>
      <c r="J13" s="738">
        <f>IF([1]Digesters!AB12="","",[1]Digesters!AB12)</f>
        <v>187653</v>
      </c>
      <c r="K13" s="731">
        <f>IF([1]GB_Lab!C12="","",[1]GB_Lab!C12)</f>
        <v>4.74</v>
      </c>
      <c r="L13" s="789">
        <f t="shared" si="8"/>
        <v>3709.1116674</v>
      </c>
      <c r="M13" s="744">
        <f>IF([1]SLPR!W12="","",[1]SLPR!W12*0.006*8.34)</f>
        <v>338.77079999999995</v>
      </c>
      <c r="N13" s="733">
        <f t="shared" si="9"/>
        <v>8.995294405838969</v>
      </c>
      <c r="O13" s="763">
        <f t="shared" si="10"/>
        <v>9.1334753541532032E-2</v>
      </c>
      <c r="Q13" s="80">
        <f>IF([1]SLPR!X12="","",IF([1]SLPR!X12,1,0))</f>
        <v>0</v>
      </c>
      <c r="R13" s="80">
        <f>IF([1]SLPR!Y12="","",IF([1]SLPR!Y12,1,0))</f>
        <v>1</v>
      </c>
      <c r="S13" s="80">
        <f>IF([1]SLPR!Z12="","",IF([1]SLPR!Z12,1,0))</f>
        <v>1</v>
      </c>
      <c r="T13" s="80"/>
      <c r="U13" s="80"/>
    </row>
    <row r="14" spans="1:27" ht="20.25" x14ac:dyDescent="0.3">
      <c r="A14" s="736">
        <v>10</v>
      </c>
      <c r="B14" s="738">
        <f t="shared" si="4"/>
        <v>2</v>
      </c>
      <c r="C14" s="733">
        <f>IF(SUM([1]SLPR!X13:Z13)=0,"",[1]SLPR!X13+[1]SLPR!Y13+[1]SLPR!Z13)</f>
        <v>44.9</v>
      </c>
      <c r="D14" s="731">
        <f>'WAS-TWAS'!B14</f>
        <v>1.481469142551233</v>
      </c>
      <c r="E14" s="731">
        <f>IF([1]GB_Lab!B13="","",[1]GB_Lab!B13)</f>
        <v>0.68</v>
      </c>
      <c r="F14" s="789">
        <f t="shared" si="5"/>
        <v>42.008539006182772</v>
      </c>
      <c r="G14" s="853" t="str">
        <f>IF([2]BP_GB!H13="","",[2]BP_GB!H13)</f>
        <v/>
      </c>
      <c r="H14" s="731" t="str">
        <f t="shared" si="6"/>
        <v/>
      </c>
      <c r="I14" s="745" t="str">
        <f t="shared" si="7"/>
        <v/>
      </c>
      <c r="J14" s="738">
        <f>IF([1]Digesters!AB13="","",[1]Digesters!AB13)</f>
        <v>190797</v>
      </c>
      <c r="K14" s="731">
        <f>IF([1]GB_Lab!C13="","",[1]GB_Lab!C13)</f>
        <v>4.34</v>
      </c>
      <c r="L14" s="789">
        <f t="shared" si="8"/>
        <v>3453.0059465999998</v>
      </c>
      <c r="M14" s="744">
        <f>IF([1]SLPR!W13="","",[1]SLPR!W13*0.006*8.34)</f>
        <v>301.74119999999999</v>
      </c>
      <c r="N14" s="733">
        <f t="shared" si="9"/>
        <v>7.1828539420423558</v>
      </c>
      <c r="O14" s="763">
        <f t="shared" si="10"/>
        <v>8.7385079743957372E-2</v>
      </c>
      <c r="Q14" s="80">
        <f>IF([1]SLPR!X13="","",IF([1]SLPR!X13,1,0))</f>
        <v>0</v>
      </c>
      <c r="R14" s="80">
        <f>IF([1]SLPR!Y13="","",IF([1]SLPR!Y13,1,0))</f>
        <v>1</v>
      </c>
      <c r="S14" s="80">
        <f>IF([1]SLPR!Z13="","",IF([1]SLPR!Z13,1,0))</f>
        <v>1</v>
      </c>
      <c r="T14" s="80"/>
      <c r="U14" s="80"/>
    </row>
    <row r="15" spans="1:27" ht="20.25" x14ac:dyDescent="0.3">
      <c r="A15" s="736">
        <v>11</v>
      </c>
      <c r="B15" s="738">
        <f t="shared" si="4"/>
        <v>2</v>
      </c>
      <c r="C15" s="733">
        <f>IF(SUM([1]SLPR!X14:Z14)=0,"",[1]SLPR!X14+[1]SLPR!Y14+[1]SLPR!Z14)</f>
        <v>47.5</v>
      </c>
      <c r="D15" s="731">
        <f>'WAS-TWAS'!B15</f>
        <v>1.6678944145753281</v>
      </c>
      <c r="E15" s="731">
        <f>IF([1]GB_Lab!B14="","",[1]GB_Lab!B14)</f>
        <v>0.65</v>
      </c>
      <c r="F15" s="789">
        <f t="shared" si="5"/>
        <v>45.208278107064267</v>
      </c>
      <c r="G15" s="853" t="str">
        <f>IF([2]BP_GB!H14="","",[2]BP_GB!H14)</f>
        <v/>
      </c>
      <c r="H15" s="731" t="str">
        <f t="shared" si="6"/>
        <v/>
      </c>
      <c r="I15" s="745" t="str">
        <f t="shared" si="7"/>
        <v/>
      </c>
      <c r="J15" s="738">
        <f>IF([1]Digesters!AB14="","",[1]Digesters!AB14)</f>
        <v>289849</v>
      </c>
      <c r="K15" s="731">
        <f>IF([1]GB_Lab!C14="","",[1]GB_Lab!C14)</f>
        <v>4.4000000000000004</v>
      </c>
      <c r="L15" s="789">
        <f t="shared" si="8"/>
        <v>5318.1494520000006</v>
      </c>
      <c r="M15" s="744">
        <f>IF([1]SLPR!W14="","",[1]SLPR!W14*0.006*8.34)</f>
        <v>337.77</v>
      </c>
      <c r="N15" s="733">
        <f t="shared" si="9"/>
        <v>7.4714192652964568</v>
      </c>
      <c r="O15" s="763">
        <f t="shared" si="10"/>
        <v>6.3512694227307695E-2</v>
      </c>
      <c r="Q15" s="80">
        <f>IF([1]SLPR!X14="","",IF([1]SLPR!X14,1,0))</f>
        <v>0</v>
      </c>
      <c r="R15" s="80">
        <f>IF([1]SLPR!Y14="","",IF([1]SLPR!Y14,1,0))</f>
        <v>1</v>
      </c>
      <c r="S15" s="80">
        <f>IF([1]SLPR!Z14="","",IF([1]SLPR!Z14,1,0))</f>
        <v>1</v>
      </c>
      <c r="T15" s="80"/>
      <c r="U15" s="80"/>
    </row>
    <row r="16" spans="1:27" ht="20.25" x14ac:dyDescent="0.3">
      <c r="A16" s="736">
        <v>12</v>
      </c>
      <c r="B16" s="738">
        <f t="shared" si="4"/>
        <v>2</v>
      </c>
      <c r="C16" s="733">
        <f>IF(SUM([1]SLPR!X15:Z15)=0,"",[1]SLPR!X15+[1]SLPR!Y15+[1]SLPR!Z15)</f>
        <v>48.4</v>
      </c>
      <c r="D16" s="731">
        <f>'WAS-TWAS'!B16</f>
        <v>1.5596200579871133</v>
      </c>
      <c r="E16" s="731">
        <f>IF([1]GB_Lab!B15="","",[1]GB_Lab!B15)</f>
        <v>0.61</v>
      </c>
      <c r="F16" s="789">
        <f t="shared" si="5"/>
        <v>39.6720554150182</v>
      </c>
      <c r="G16" s="853" t="str">
        <f>IF([2]BP_GB!H15="","",[2]BP_GB!H15)</f>
        <v/>
      </c>
      <c r="H16" s="731" t="str">
        <f t="shared" si="6"/>
        <v/>
      </c>
      <c r="I16" s="745" t="str">
        <f t="shared" si="7"/>
        <v/>
      </c>
      <c r="J16" s="738">
        <f>IF([1]Digesters!AB15="","",[1]Digesters!AB15)</f>
        <v>192902</v>
      </c>
      <c r="K16" s="731">
        <f>IF([1]GB_Lab!C15="","",[1]GB_Lab!C15)</f>
        <v>4.4400000000000004</v>
      </c>
      <c r="L16" s="789">
        <f t="shared" si="8"/>
        <v>3571.5419496</v>
      </c>
      <c r="M16" s="744">
        <f>IF([1]SLPR!W15="","",[1]SLPR!W15*0.006*8.34)</f>
        <v>341.27280000000002</v>
      </c>
      <c r="N16" s="733">
        <f t="shared" si="9"/>
        <v>8.6023473306303213</v>
      </c>
      <c r="O16" s="763">
        <f t="shared" si="10"/>
        <v>9.5553350574034662E-2</v>
      </c>
      <c r="Q16" s="80">
        <f>IF([1]SLPR!X15="","",IF([1]SLPR!X15,1,0))</f>
        <v>0</v>
      </c>
      <c r="R16" s="80">
        <f>IF([1]SLPR!Y15="","",IF([1]SLPR!Y15,1,0))</f>
        <v>1</v>
      </c>
      <c r="S16" s="80">
        <f>IF([1]SLPR!Z15="","",IF([1]SLPR!Z15,1,0))</f>
        <v>1</v>
      </c>
      <c r="T16" s="80"/>
      <c r="U16" s="80"/>
    </row>
    <row r="17" spans="1:21" ht="20.25" x14ac:dyDescent="0.3">
      <c r="A17" s="736">
        <v>13</v>
      </c>
      <c r="B17" s="738">
        <f t="shared" si="4"/>
        <v>2</v>
      </c>
      <c r="C17" s="733">
        <f>IF(SUM([1]SLPR!X16:Z16)=0,"",[1]SLPR!X16+[1]SLPR!Y16+[1]SLPR!Z16)</f>
        <v>47.1</v>
      </c>
      <c r="D17" s="731">
        <f>'WAS-TWAS'!B17</f>
        <v>1.3394683896193551</v>
      </c>
      <c r="E17" s="731">
        <f>IF([1]GB_Lab!B16="","",[1]GB_Lab!B16)</f>
        <v>0.65</v>
      </c>
      <c r="F17" s="789">
        <f t="shared" si="5"/>
        <v>36.306290700632623</v>
      </c>
      <c r="G17" s="853" t="str">
        <f>IF([2]BP_GB!H16="","",[2]BP_GB!H16)</f>
        <v/>
      </c>
      <c r="H17" s="731" t="str">
        <f t="shared" si="6"/>
        <v/>
      </c>
      <c r="I17" s="745" t="str">
        <f t="shared" si="7"/>
        <v/>
      </c>
      <c r="J17" s="738">
        <f>IF([1]Digesters!AB16="","",[1]Digesters!AB16)</f>
        <v>213859</v>
      </c>
      <c r="K17" s="731">
        <f>IF([1]GB_Lab!C16="","",[1]GB_Lab!C16)</f>
        <v>4.3099999999999996</v>
      </c>
      <c r="L17" s="789">
        <f t="shared" si="8"/>
        <v>3843.6236493000001</v>
      </c>
      <c r="M17" s="744">
        <f>IF([1]SLPR!W16="","",[1]SLPR!W16*0.006*8.34)</f>
        <v>253.7028</v>
      </c>
      <c r="N17" s="733">
        <f t="shared" si="9"/>
        <v>6.9878468745797635</v>
      </c>
      <c r="O17" s="763">
        <f t="shared" si="10"/>
        <v>6.6006150223944085E-2</v>
      </c>
      <c r="Q17" s="80">
        <f>IF([1]SLPR!X16="","",IF([1]SLPR!X16,1,0))</f>
        <v>0</v>
      </c>
      <c r="R17" s="80">
        <f>IF([1]SLPR!Y16="","",IF([1]SLPR!Y16,1,0))</f>
        <v>1</v>
      </c>
      <c r="S17" s="80">
        <f>IF([1]SLPR!Z16="","",IF([1]SLPR!Z16,1,0))</f>
        <v>1</v>
      </c>
      <c r="T17" s="80"/>
      <c r="U17" s="80"/>
    </row>
    <row r="18" spans="1:21" ht="20.25" x14ac:dyDescent="0.3">
      <c r="A18" s="736">
        <v>14</v>
      </c>
      <c r="B18" s="738">
        <f t="shared" si="4"/>
        <v>2</v>
      </c>
      <c r="C18" s="733">
        <f>IF(SUM([1]SLPR!X17:Z17)=0,"",[1]SLPR!X17+[1]SLPR!Y17+[1]SLPR!Z17)</f>
        <v>48.9</v>
      </c>
      <c r="D18" s="731">
        <f>'WAS-TWAS'!B18</f>
        <v>1.3405557026496941</v>
      </c>
      <c r="E18" s="731">
        <f>IF([1]GB_Lab!B17="","",[1]GB_Lab!B17)</f>
        <v>0.65</v>
      </c>
      <c r="F18" s="789">
        <f t="shared" si="5"/>
        <v>36.335762320319965</v>
      </c>
      <c r="G18" s="853" t="str">
        <f>IF([2]BP_GB!H17="","",[2]BP_GB!H17)</f>
        <v/>
      </c>
      <c r="H18" s="731" t="str">
        <f t="shared" si="6"/>
        <v/>
      </c>
      <c r="I18" s="745" t="str">
        <f t="shared" si="7"/>
        <v/>
      </c>
      <c r="J18" s="738">
        <f>IF([1]Digesters!AB17="","",[1]Digesters!AB17)</f>
        <v>197940</v>
      </c>
      <c r="K18" s="731">
        <f>IF([1]GB_Lab!C17="","",[1]GB_Lab!C17)</f>
        <v>4.5</v>
      </c>
      <c r="L18" s="789">
        <f t="shared" si="8"/>
        <v>3714.3441000000003</v>
      </c>
      <c r="M18" s="744">
        <f>IF([1]SLPR!W17="","",[1]SLPR!W17*0.006*8.34)</f>
        <v>303.74279999999999</v>
      </c>
      <c r="N18" s="733">
        <f t="shared" si="9"/>
        <v>8.3593347326069054</v>
      </c>
      <c r="O18" s="763">
        <f t="shared" si="10"/>
        <v>8.177562224243036E-2</v>
      </c>
      <c r="Q18" s="80">
        <f>IF([1]SLPR!X17="","",IF([1]SLPR!X17,1,0))</f>
        <v>0</v>
      </c>
      <c r="R18" s="80">
        <f>IF([1]SLPR!Y17="","",IF([1]SLPR!Y17,1,0))</f>
        <v>1</v>
      </c>
      <c r="S18" s="80">
        <f>IF([1]SLPR!Z17="","",IF([1]SLPR!Z17,1,0))</f>
        <v>1</v>
      </c>
      <c r="T18" s="80"/>
      <c r="U18" s="80"/>
    </row>
    <row r="19" spans="1:21" ht="20.25" x14ac:dyDescent="0.3">
      <c r="A19" s="736">
        <v>15</v>
      </c>
      <c r="B19" s="738">
        <f t="shared" si="4"/>
        <v>2</v>
      </c>
      <c r="C19" s="733">
        <f>IF(SUM([1]SLPR!X18:Z18)=0,"",[1]SLPR!X18+[1]SLPR!Y18+[1]SLPR!Z18)</f>
        <v>48.8</v>
      </c>
      <c r="D19" s="731">
        <f>'WAS-TWAS'!B19</f>
        <v>1.314717795188922</v>
      </c>
      <c r="E19" s="731">
        <f>IF([1]GB_Lab!B18="","",[1]GB_Lab!B18)</f>
        <v>0.68</v>
      </c>
      <c r="F19" s="789">
        <f t="shared" si="5"/>
        <v>37.280137800377076</v>
      </c>
      <c r="G19" s="853">
        <f>IF([2]BP_GB!H18="","",[2]BP_GB!H18)</f>
        <v>0.03</v>
      </c>
      <c r="H19" s="731">
        <f t="shared" si="6"/>
        <v>1.644711961781347</v>
      </c>
      <c r="I19" s="745">
        <f t="shared" si="7"/>
        <v>95.588235294117638</v>
      </c>
      <c r="J19" s="738">
        <f>IF([1]Digesters!AB18="","",[1]Digesters!AB18)</f>
        <v>207000</v>
      </c>
      <c r="K19" s="731">
        <f>IF([1]GB_Lab!C18="","",[1]GB_Lab!C18)</f>
        <v>4.5</v>
      </c>
      <c r="L19" s="789">
        <f t="shared" si="8"/>
        <v>3884.355</v>
      </c>
      <c r="M19" s="744">
        <f>IF([1]SLPR!W18="","",[1]SLPR!W18*0.006*8.34)</f>
        <v>303.74279999999999</v>
      </c>
      <c r="N19" s="733">
        <f t="shared" si="9"/>
        <v>8.1475771797422851</v>
      </c>
      <c r="O19" s="763">
        <f t="shared" si="10"/>
        <v>7.8196457326892108E-2</v>
      </c>
      <c r="Q19" s="80">
        <f>IF([1]SLPR!X18="","",IF([1]SLPR!X18,1,0))</f>
        <v>0</v>
      </c>
      <c r="R19" s="80">
        <f>IF([1]SLPR!Y18="","",IF([1]SLPR!Y18,1,0))</f>
        <v>1</v>
      </c>
      <c r="S19" s="80">
        <f>IF([1]SLPR!Z18="","",IF([1]SLPR!Z18,1,0))</f>
        <v>1</v>
      </c>
      <c r="T19" s="80"/>
      <c r="U19" s="80"/>
    </row>
    <row r="20" spans="1:21" ht="20.25" x14ac:dyDescent="0.3">
      <c r="A20" s="736">
        <v>16</v>
      </c>
      <c r="B20" s="738">
        <f t="shared" si="4"/>
        <v>2</v>
      </c>
      <c r="C20" s="733">
        <f>IF(SUM([1]SLPR!X19:Z19)=0,"",[1]SLPR!X19+[1]SLPR!Y19+[1]SLPR!Z19)</f>
        <v>44.4</v>
      </c>
      <c r="D20" s="731">
        <f>'WAS-TWAS'!B20</f>
        <v>1.2785309433537462</v>
      </c>
      <c r="E20" s="731">
        <f>IF([1]GB_Lab!B19="","",[1]GB_Lab!B19)</f>
        <v>0.64</v>
      </c>
      <c r="F20" s="789">
        <f t="shared" si="5"/>
        <v>34.12143381622478</v>
      </c>
      <c r="G20" s="853" t="str">
        <f>IF([2]BP_GB!H19="","",[2]BP_GB!H19)</f>
        <v/>
      </c>
      <c r="H20" s="731" t="str">
        <f t="shared" si="6"/>
        <v/>
      </c>
      <c r="I20" s="745" t="str">
        <f t="shared" si="7"/>
        <v/>
      </c>
      <c r="J20" s="738">
        <f>IF([1]Digesters!AB19="","",[1]Digesters!AB19)</f>
        <v>190038</v>
      </c>
      <c r="K20" s="731">
        <f>IF([1]GB_Lab!C19="","",[1]GB_Lab!C19)</f>
        <v>4.32</v>
      </c>
      <c r="L20" s="789">
        <f t="shared" si="8"/>
        <v>3423.4205472000003</v>
      </c>
      <c r="M20" s="744">
        <f>IF([1]SLPR!W19="","",[1]SLPR!W19*0.006*8.34)</f>
        <v>939.25080000000003</v>
      </c>
      <c r="N20" s="733">
        <f t="shared" si="9"/>
        <v>27.526709606012666</v>
      </c>
      <c r="O20" s="763">
        <f t="shared" si="10"/>
        <v>0.27436033261184017</v>
      </c>
      <c r="Q20" s="80">
        <f>IF([1]SLPR!X19="","",IF([1]SLPR!X19,1,0))</f>
        <v>0</v>
      </c>
      <c r="R20" s="80">
        <f>IF([1]SLPR!Y19="","",IF([1]SLPR!Y19,1,0))</f>
        <v>1</v>
      </c>
      <c r="S20" s="80">
        <f>IF([1]SLPR!Z19="","",IF([1]SLPR!Z19,1,0))</f>
        <v>1</v>
      </c>
      <c r="T20" s="80"/>
      <c r="U20" s="80"/>
    </row>
    <row r="21" spans="1:21" ht="20.25" x14ac:dyDescent="0.3">
      <c r="A21" s="736">
        <v>17</v>
      </c>
      <c r="B21" s="738">
        <f t="shared" si="4"/>
        <v>2</v>
      </c>
      <c r="C21" s="733">
        <f>IF(SUM([1]SLPR!X20:Z20)=0,"",[1]SLPR!X20+[1]SLPR!Y20+[1]SLPR!Z20)</f>
        <v>49.2</v>
      </c>
      <c r="D21" s="731">
        <f>'WAS-TWAS'!B21</f>
        <v>1.4303454645973408</v>
      </c>
      <c r="E21" s="731">
        <f>IF([1]GB_Lab!B20="","",[1]GB_Lab!B20)</f>
        <v>0.68</v>
      </c>
      <c r="F21" s="789">
        <f t="shared" si="5"/>
        <v>40.558875994122204</v>
      </c>
      <c r="G21" s="853" t="str">
        <f>IF([2]BP_GB!H20="","",[2]BP_GB!H20)</f>
        <v/>
      </c>
      <c r="H21" s="731" t="str">
        <f t="shared" si="6"/>
        <v/>
      </c>
      <c r="I21" s="745" t="str">
        <f t="shared" si="7"/>
        <v/>
      </c>
      <c r="J21" s="738">
        <f>IF([1]Digesters!AB20="","",[1]Digesters!AB20)</f>
        <v>262052</v>
      </c>
      <c r="K21" s="731">
        <f>IF([1]GB_Lab!C20="","",[1]GB_Lab!C20)</f>
        <v>4.51</v>
      </c>
      <c r="L21" s="789">
        <f t="shared" si="8"/>
        <v>4928.3333484000004</v>
      </c>
      <c r="M21" s="744">
        <f>IF([1]SLPR!W20="","",[1]SLPR!W20*0.006*8.34)</f>
        <v>315.25200000000001</v>
      </c>
      <c r="N21" s="733">
        <f t="shared" si="9"/>
        <v>7.7727006055514547</v>
      </c>
      <c r="O21" s="763">
        <f t="shared" si="10"/>
        <v>6.3967263923481885E-2</v>
      </c>
      <c r="Q21" s="80">
        <f>IF([1]SLPR!X20="","",IF([1]SLPR!X20,1,0))</f>
        <v>0</v>
      </c>
      <c r="R21" s="80">
        <f>IF([1]SLPR!Y20="","",IF([1]SLPR!Y20,1,0))</f>
        <v>1</v>
      </c>
      <c r="S21" s="80">
        <f>IF([1]SLPR!Z20="","",IF([1]SLPR!Z20,1,0))</f>
        <v>1</v>
      </c>
      <c r="T21" s="80"/>
      <c r="U21" s="80"/>
    </row>
    <row r="22" spans="1:21" ht="20.25" x14ac:dyDescent="0.3">
      <c r="A22" s="736">
        <v>18</v>
      </c>
      <c r="B22" s="738">
        <f t="shared" si="4"/>
        <v>3</v>
      </c>
      <c r="C22" s="733">
        <f>IF(SUM([1]SLPR!X21:Z21)=0,"",[1]SLPR!X21+[1]SLPR!Y21+[1]SLPR!Z21)</f>
        <v>53.400000000000006</v>
      </c>
      <c r="D22" s="731">
        <f>'WAS-TWAS'!B22</f>
        <v>1.6112941609630158</v>
      </c>
      <c r="E22" s="731">
        <f>IF([1]GB_Lab!B21="","",[1]GB_Lab!B21)</f>
        <v>0.64</v>
      </c>
      <c r="F22" s="789">
        <f t="shared" si="5"/>
        <v>43.002218567780972</v>
      </c>
      <c r="G22" s="853" t="str">
        <f>IF([2]BP_GB!H21="","",[2]BP_GB!H21)</f>
        <v/>
      </c>
      <c r="H22" s="731" t="str">
        <f t="shared" si="6"/>
        <v/>
      </c>
      <c r="I22" s="745" t="str">
        <f t="shared" si="7"/>
        <v/>
      </c>
      <c r="J22" s="738">
        <f>IF([1]Digesters!AB21="","",[1]Digesters!AB21)</f>
        <v>251122</v>
      </c>
      <c r="K22" s="731">
        <f>IF([1]GB_Lab!C21="","",[1]GB_Lab!C21)</f>
        <v>3.9</v>
      </c>
      <c r="L22" s="789">
        <f t="shared" si="8"/>
        <v>4083.9970860000003</v>
      </c>
      <c r="M22" s="744">
        <f>IF([1]SLPR!W21="","",[1]SLPR!W21*0.006*8.34)</f>
        <v>313.25040000000001</v>
      </c>
      <c r="N22" s="733">
        <f t="shared" si="9"/>
        <v>7.284517181508865</v>
      </c>
      <c r="O22" s="763">
        <f t="shared" si="10"/>
        <v>7.6701915648722377E-2</v>
      </c>
      <c r="Q22" s="80">
        <f>IF([1]SLPR!X21="","",IF([1]SLPR!X21,1,0))</f>
        <v>1</v>
      </c>
      <c r="R22" s="80">
        <f>IF([1]SLPR!Y21="","",IF([1]SLPR!Y21,1,0))</f>
        <v>1</v>
      </c>
      <c r="S22" s="80">
        <f>IF([1]SLPR!Z21="","",IF([1]SLPR!Z21,1,0))</f>
        <v>1</v>
      </c>
      <c r="T22" s="80"/>
      <c r="U22" s="80"/>
    </row>
    <row r="23" spans="1:21" ht="20.25" x14ac:dyDescent="0.3">
      <c r="A23" s="736">
        <v>19</v>
      </c>
      <c r="B23" s="738">
        <f t="shared" si="4"/>
        <v>3</v>
      </c>
      <c r="C23" s="733">
        <f>IF(SUM([1]SLPR!X22:Z22)=0,"",[1]SLPR!X22+[1]SLPR!Y22+[1]SLPR!Z22)</f>
        <v>74.3</v>
      </c>
      <c r="D23" s="731">
        <f>'WAS-TWAS'!B23</f>
        <v>1.7831555380443487</v>
      </c>
      <c r="E23" s="731">
        <f>IF([1]GB_Lab!B22="","",[1]GB_Lab!B22)</f>
        <v>0.55000000000000004</v>
      </c>
      <c r="F23" s="789">
        <f t="shared" si="5"/>
        <v>40.896672265047137</v>
      </c>
      <c r="G23" s="853" t="str">
        <f>IF([2]BP_GB!H22="","",[2]BP_GB!H22)</f>
        <v/>
      </c>
      <c r="H23" s="731" t="str">
        <f t="shared" si="6"/>
        <v/>
      </c>
      <c r="I23" s="745" t="str">
        <f t="shared" si="7"/>
        <v/>
      </c>
      <c r="J23" s="738">
        <f>IF([1]Digesters!AB22="","",[1]Digesters!AB22)</f>
        <v>210260</v>
      </c>
      <c r="K23" s="731">
        <f>IF([1]GB_Lab!C22="","",[1]GB_Lab!C22)</f>
        <v>4.03</v>
      </c>
      <c r="L23" s="789">
        <f t="shared" si="8"/>
        <v>3533.4403260000004</v>
      </c>
      <c r="M23" s="744">
        <f>IF([1]SLPR!W22="","",[1]SLPR!W22*0.006*8.34)</f>
        <v>332.76599999999996</v>
      </c>
      <c r="N23" s="733">
        <f t="shared" si="9"/>
        <v>8.1367500476170207</v>
      </c>
      <c r="O23" s="763">
        <f t="shared" si="10"/>
        <v>9.4176204859444945E-2</v>
      </c>
      <c r="Q23" s="80">
        <f>IF([1]SLPR!X22="","",IF([1]SLPR!X22,1,0))</f>
        <v>1</v>
      </c>
      <c r="R23" s="80">
        <f>IF([1]SLPR!Y22="","",IF([1]SLPR!Y22,1,0))</f>
        <v>1</v>
      </c>
      <c r="S23" s="80">
        <f>IF([1]SLPR!Z22="","",IF([1]SLPR!Z22,1,0))</f>
        <v>1</v>
      </c>
      <c r="T23" s="80"/>
      <c r="U23" s="80"/>
    </row>
    <row r="24" spans="1:21" ht="20.25" x14ac:dyDescent="0.3">
      <c r="A24" s="736">
        <v>20</v>
      </c>
      <c r="B24" s="738">
        <f t="shared" si="4"/>
        <v>3</v>
      </c>
      <c r="C24" s="733">
        <f>IF(SUM([1]SLPR!X23:Z23)=0,"",[1]SLPR!X23+[1]SLPR!Y23+[1]SLPR!Z23)</f>
        <v>73.8</v>
      </c>
      <c r="D24" s="731">
        <f>'WAS-TWAS'!B24</f>
        <v>1.6997394807676907</v>
      </c>
      <c r="E24" s="731">
        <f>IF([1]GB_Lab!B23="","",[1]GB_Lab!B23)</f>
        <v>0.59</v>
      </c>
      <c r="F24" s="789">
        <f t="shared" si="5"/>
        <v>41.818690445327491</v>
      </c>
      <c r="G24" s="853" t="str">
        <f>IF([2]BP_GB!H23="","",[2]BP_GB!H23)</f>
        <v/>
      </c>
      <c r="H24" s="731" t="str">
        <f t="shared" si="6"/>
        <v/>
      </c>
      <c r="I24" s="745" t="str">
        <f t="shared" si="7"/>
        <v/>
      </c>
      <c r="J24" s="738">
        <f>IF([1]Digesters!AB23="","",[1]Digesters!AB23)</f>
        <v>246827</v>
      </c>
      <c r="K24" s="731">
        <f>IF([1]GB_Lab!C23="","",[1]GB_Lab!C23)</f>
        <v>5.17</v>
      </c>
      <c r="L24" s="789">
        <f t="shared" si="8"/>
        <v>5321.3186102999998</v>
      </c>
      <c r="M24" s="744">
        <f>IF([1]SLPR!W23="","",[1]SLPR!W23*0.006*8.34)</f>
        <v>320.75639999999999</v>
      </c>
      <c r="N24" s="733">
        <f t="shared" si="9"/>
        <v>7.6701684482288446</v>
      </c>
      <c r="O24" s="763">
        <f t="shared" si="10"/>
        <v>6.027761603658547E-2</v>
      </c>
      <c r="Q24" s="80">
        <f>IF([1]SLPR!X23="","",IF([1]SLPR!X23,1,0))</f>
        <v>1</v>
      </c>
      <c r="R24" s="80">
        <f>IF([1]SLPR!Y23="","",IF([1]SLPR!Y23,1,0))</f>
        <v>1</v>
      </c>
      <c r="S24" s="80">
        <f>IF([1]SLPR!Z23="","",IF([1]SLPR!Z23,1,0))</f>
        <v>1</v>
      </c>
      <c r="T24" s="80"/>
      <c r="U24" s="80"/>
    </row>
    <row r="25" spans="1:21" ht="20.25" x14ac:dyDescent="0.3">
      <c r="A25" s="736">
        <v>21</v>
      </c>
      <c r="B25" s="738">
        <f t="shared" si="4"/>
        <v>3</v>
      </c>
      <c r="C25" s="733">
        <f>IF(SUM([1]SLPR!X24:Z24)=0,"",[1]SLPR!X24+[1]SLPR!Y24+[1]SLPR!Z24)</f>
        <v>70.099999999999994</v>
      </c>
      <c r="D25" s="731">
        <f>'WAS-TWAS'!B25</f>
        <v>1.6310814791466521</v>
      </c>
      <c r="E25" s="731">
        <f>IF([1]GB_Lab!B24="","",[1]GB_Lab!B24)</f>
        <v>0.61</v>
      </c>
      <c r="F25" s="789">
        <f t="shared" si="5"/>
        <v>41.48981958505339</v>
      </c>
      <c r="G25" s="853" t="str">
        <f>IF([2]BP_GB!H24="","",[2]BP_GB!H24)</f>
        <v/>
      </c>
      <c r="H25" s="731" t="str">
        <f t="shared" si="6"/>
        <v/>
      </c>
      <c r="I25" s="745" t="str">
        <f t="shared" si="7"/>
        <v/>
      </c>
      <c r="J25" s="738">
        <f>IF([1]Digesters!AB24="","",[1]Digesters!AB24)</f>
        <v>185722</v>
      </c>
      <c r="K25" s="731">
        <f>IF([1]GB_Lab!C24="","",[1]GB_Lab!C24)</f>
        <v>6.27</v>
      </c>
      <c r="L25" s="789">
        <f t="shared" si="8"/>
        <v>4855.8688397999995</v>
      </c>
      <c r="M25" s="744">
        <f>IF([1]SLPR!W24="","",[1]SLPR!W24*0.006*8.34)</f>
        <v>288.73079999999999</v>
      </c>
      <c r="N25" s="733">
        <f t="shared" si="9"/>
        <v>6.959075813962194</v>
      </c>
      <c r="O25" s="763">
        <f t="shared" si="10"/>
        <v>5.9460172736439075E-2</v>
      </c>
      <c r="Q25" s="80">
        <f>IF([1]SLPR!X24="","",IF([1]SLPR!X24,1,0))</f>
        <v>1</v>
      </c>
      <c r="R25" s="80">
        <f>IF([1]SLPR!Y24="","",IF([1]SLPR!Y24,1,0))</f>
        <v>1</v>
      </c>
      <c r="S25" s="80">
        <f>IF([1]SLPR!Z24="","",IF([1]SLPR!Z24,1,0))</f>
        <v>1</v>
      </c>
      <c r="T25" s="80"/>
      <c r="U25" s="80"/>
    </row>
    <row r="26" spans="1:21" ht="20.25" x14ac:dyDescent="0.3">
      <c r="A26" s="736">
        <v>22</v>
      </c>
      <c r="B26" s="738">
        <f t="shared" si="4"/>
        <v>3</v>
      </c>
      <c r="C26" s="733">
        <f>IF(SUM([1]SLPR!X25:Z25)=0,"",[1]SLPR!X25+[1]SLPR!Y25+[1]SLPR!Z25)</f>
        <v>72.600000000000009</v>
      </c>
      <c r="D26" s="731">
        <f>'WAS-TWAS'!B26</f>
        <v>1.6101324482168593</v>
      </c>
      <c r="E26" s="731">
        <f>IF([1]GB_Lab!B25="","",[1]GB_Lab!B25)</f>
        <v>0.66</v>
      </c>
      <c r="F26" s="789">
        <f t="shared" si="5"/>
        <v>44.314065239824409</v>
      </c>
      <c r="G26" s="853">
        <f>IF([2]BP_GB!H25="","",[2]BP_GB!H25)</f>
        <v>0.04</v>
      </c>
      <c r="H26" s="731">
        <f t="shared" si="6"/>
        <v>2.6857009236257241</v>
      </c>
      <c r="I26" s="745">
        <f t="shared" si="7"/>
        <v>93.939393939393938</v>
      </c>
      <c r="J26" s="738">
        <f>IF([1]Digesters!AB25="","",[1]Digesters!AB25)</f>
        <v>214795</v>
      </c>
      <c r="K26" s="731">
        <f>IF([1]GB_Lab!C25="","",[1]GB_Lab!C25)</f>
        <v>4.95</v>
      </c>
      <c r="L26" s="789">
        <f t="shared" si="8"/>
        <v>4433.6909925000009</v>
      </c>
      <c r="M26" s="744">
        <f>IF([1]SLPR!W25="","",[1]SLPR!W25*0.006*8.34)</f>
        <v>294.23520000000002</v>
      </c>
      <c r="N26" s="733">
        <f t="shared" si="9"/>
        <v>6.6397699783944697</v>
      </c>
      <c r="O26" s="763">
        <f t="shared" si="10"/>
        <v>6.6363488230850129E-2</v>
      </c>
      <c r="Q26" s="80">
        <f>IF([1]SLPR!X25="","",IF([1]SLPR!X25,1,0))</f>
        <v>1</v>
      </c>
      <c r="R26" s="80">
        <f>IF([1]SLPR!Y25="","",IF([1]SLPR!Y25,1,0))</f>
        <v>1</v>
      </c>
      <c r="S26" s="80">
        <f>IF([1]SLPR!Z25="","",IF([1]SLPR!Z25,1,0))</f>
        <v>1</v>
      </c>
      <c r="T26" s="80"/>
      <c r="U26" s="80"/>
    </row>
    <row r="27" spans="1:21" ht="20.25" x14ac:dyDescent="0.3">
      <c r="A27" s="736">
        <v>23</v>
      </c>
      <c r="B27" s="738">
        <f t="shared" si="4"/>
        <v>3</v>
      </c>
      <c r="C27" s="733">
        <f>IF(SUM([1]SLPR!X26:Z26)=0,"",[1]SLPR!X26+[1]SLPR!Y26+[1]SLPR!Z26)</f>
        <v>70.5</v>
      </c>
      <c r="D27" s="731">
        <f>'WAS-TWAS'!B27</f>
        <v>1.7038205531540211</v>
      </c>
      <c r="E27" s="731">
        <f>IF([1]GB_Lab!B26="","",[1]GB_Lab!B26)</f>
        <v>0.62</v>
      </c>
      <c r="F27" s="789">
        <f t="shared" si="5"/>
        <v>44.050576581244066</v>
      </c>
      <c r="G27" s="853" t="str">
        <f>IF([2]BP_GB!H26="","",[2]BP_GB!H26)</f>
        <v/>
      </c>
      <c r="H27" s="731" t="str">
        <f t="shared" si="6"/>
        <v/>
      </c>
      <c r="I27" s="745" t="str">
        <f t="shared" si="7"/>
        <v/>
      </c>
      <c r="J27" s="738">
        <f>IF([1]Digesters!AB26="","",[1]Digesters!AB26)</f>
        <v>225076</v>
      </c>
      <c r="K27" s="731">
        <f>IF([1]GB_Lab!C26="","",[1]GB_Lab!C26)</f>
        <v>4.9000000000000004</v>
      </c>
      <c r="L27" s="789">
        <f t="shared" si="8"/>
        <v>4598.9779079999998</v>
      </c>
      <c r="M27" s="744">
        <f>IF([1]SLPR!W26="","",[1]SLPR!W26*0.006*8.34)</f>
        <v>281.22479999999996</v>
      </c>
      <c r="N27" s="733">
        <f t="shared" si="9"/>
        <v>6.3841343706665663</v>
      </c>
      <c r="O27" s="763">
        <f t="shared" si="10"/>
        <v>6.11494131143367E-2</v>
      </c>
      <c r="Q27" s="80">
        <f>IF([1]SLPR!X26="","",IF([1]SLPR!X26,1,0))</f>
        <v>1</v>
      </c>
      <c r="R27" s="80">
        <f>IF([1]SLPR!Y26="","",IF([1]SLPR!Y26,1,0))</f>
        <v>1</v>
      </c>
      <c r="S27" s="80">
        <f>IF([1]SLPR!Z26="","",IF([1]SLPR!Z26,1,0))</f>
        <v>1</v>
      </c>
      <c r="T27" s="80"/>
      <c r="U27" s="80"/>
    </row>
    <row r="28" spans="1:21" ht="20.25" x14ac:dyDescent="0.3">
      <c r="A28" s="736">
        <v>24</v>
      </c>
      <c r="B28" s="738">
        <f t="shared" si="4"/>
        <v>3</v>
      </c>
      <c r="C28" s="733">
        <f>IF(SUM([1]SLPR!X27:Z27)=0,"",[1]SLPR!X27+[1]SLPR!Y27+[1]SLPR!Z27)</f>
        <v>71.3</v>
      </c>
      <c r="D28" s="731">
        <f>'WAS-TWAS'!B28</f>
        <v>1.7518401191762754</v>
      </c>
      <c r="E28" s="731">
        <f>IF([1]GB_Lab!B27="","",[1]GB_Lab!B27)</f>
        <v>0.68</v>
      </c>
      <c r="F28" s="789">
        <f t="shared" si="5"/>
        <v>49.675178419362467</v>
      </c>
      <c r="G28" s="853" t="str">
        <f>IF([2]BP_GB!H27="","",[2]BP_GB!H27)</f>
        <v/>
      </c>
      <c r="H28" s="731" t="str">
        <f t="shared" si="6"/>
        <v/>
      </c>
      <c r="I28" s="745" t="str">
        <f t="shared" si="7"/>
        <v/>
      </c>
      <c r="J28" s="738">
        <f>IF([1]Digesters!AB27="","",[1]Digesters!AB27)</f>
        <v>279000</v>
      </c>
      <c r="K28" s="731">
        <f>IF([1]GB_Lab!C27="","",[1]GB_Lab!C27)</f>
        <v>5</v>
      </c>
      <c r="L28" s="789">
        <f t="shared" si="8"/>
        <v>5817.15</v>
      </c>
      <c r="M28" s="744">
        <f>IF([1]SLPR!W27="","",[1]SLPR!W27*0.006*8.34)</f>
        <v>352.78200000000004</v>
      </c>
      <c r="N28" s="733">
        <f t="shared" si="9"/>
        <v>7.1017762034346745</v>
      </c>
      <c r="O28" s="763">
        <f t="shared" si="10"/>
        <v>6.0645161290322588E-2</v>
      </c>
      <c r="Q28" s="80">
        <f>IF([1]SLPR!X27="","",IF([1]SLPR!X27,1,0))</f>
        <v>1</v>
      </c>
      <c r="R28" s="80">
        <f>IF([1]SLPR!Y27="","",IF([1]SLPR!Y27,1,0))</f>
        <v>1</v>
      </c>
      <c r="S28" s="80">
        <f>IF([1]SLPR!Z27="","",IF([1]SLPR!Z27,1,0))</f>
        <v>1</v>
      </c>
      <c r="T28" s="80"/>
      <c r="U28" s="80"/>
    </row>
    <row r="29" spans="1:21" ht="20.25" x14ac:dyDescent="0.3">
      <c r="A29" s="736">
        <v>25</v>
      </c>
      <c r="B29" s="738">
        <f t="shared" si="4"/>
        <v>3</v>
      </c>
      <c r="C29" s="733">
        <f>IF(SUM([1]SLPR!X28:Z28)=0,"",[1]SLPR!X28+[1]SLPR!Y28+[1]SLPR!Z28)</f>
        <v>72.400000000000006</v>
      </c>
      <c r="D29" s="731">
        <f>'WAS-TWAS'!B29</f>
        <v>1.7126548230867757</v>
      </c>
      <c r="E29" s="731">
        <f>IF([1]GB_Lab!B28="","",[1]GB_Lab!B28)</f>
        <v>0.62</v>
      </c>
      <c r="F29" s="789">
        <f t="shared" si="5"/>
        <v>44.278977796085499</v>
      </c>
      <c r="G29" s="853" t="str">
        <f>IF([2]BP_GB!H28="","",[2]BP_GB!H28)</f>
        <v/>
      </c>
      <c r="H29" s="731" t="str">
        <f t="shared" si="6"/>
        <v/>
      </c>
      <c r="I29" s="745" t="str">
        <f t="shared" si="7"/>
        <v/>
      </c>
      <c r="J29" s="738">
        <f>IF([1]Digesters!AB28="","",[1]Digesters!AB28)</f>
        <v>244454</v>
      </c>
      <c r="K29" s="731">
        <f>IF([1]GB_Lab!C28="","",[1]GB_Lab!C28)</f>
        <v>4.4000000000000004</v>
      </c>
      <c r="L29" s="789">
        <f t="shared" si="8"/>
        <v>4485.2419920000002</v>
      </c>
      <c r="M29" s="744">
        <f>IF([1]SLPR!W28="","",[1]SLPR!W28*0.006*8.34)</f>
        <v>355.28399999999999</v>
      </c>
      <c r="N29" s="733">
        <f t="shared" si="9"/>
        <v>8.0237624643495948</v>
      </c>
      <c r="O29" s="763">
        <f t="shared" si="10"/>
        <v>7.9211779572583643E-2</v>
      </c>
      <c r="Q29" s="80">
        <f>IF([1]SLPR!X28="","",IF([1]SLPR!X28,1,0))</f>
        <v>1</v>
      </c>
      <c r="R29" s="80">
        <f>IF([1]SLPR!Y28="","",IF([1]SLPR!Y28,1,0))</f>
        <v>1</v>
      </c>
      <c r="S29" s="80">
        <f>IF([1]SLPR!Z28="","",IF([1]SLPR!Z28,1,0))</f>
        <v>1</v>
      </c>
      <c r="T29" s="80"/>
      <c r="U29" s="80"/>
    </row>
    <row r="30" spans="1:21" ht="20.25" x14ac:dyDescent="0.3">
      <c r="A30" s="736">
        <v>26</v>
      </c>
      <c r="B30" s="738">
        <f t="shared" si="4"/>
        <v>3</v>
      </c>
      <c r="C30" s="733">
        <f>IF(SUM([1]SLPR!X29:Z29)=0,"",[1]SLPR!X29+[1]SLPR!Y29+[1]SLPR!Z29)</f>
        <v>69.099999999999994</v>
      </c>
      <c r="D30" s="731">
        <f>'WAS-TWAS'!B30</f>
        <v>1.6814229156660281</v>
      </c>
      <c r="E30" s="731">
        <f>IF([1]GB_Lab!B29="","",[1]GB_Lab!B29)</f>
        <v>0.71</v>
      </c>
      <c r="F30" s="789">
        <f t="shared" si="5"/>
        <v>49.781888264124092</v>
      </c>
      <c r="G30" s="853" t="str">
        <f>IF([2]BP_GB!H29="","",[2]BP_GB!H29)</f>
        <v/>
      </c>
      <c r="H30" s="731" t="str">
        <f t="shared" si="6"/>
        <v/>
      </c>
      <c r="I30" s="745" t="str">
        <f t="shared" si="7"/>
        <v/>
      </c>
      <c r="J30" s="738">
        <f>IF([1]Digesters!AB29="","",[1]Digesters!AB29)</f>
        <v>205773</v>
      </c>
      <c r="K30" s="731">
        <f>IF([1]GB_Lab!C29="","",[1]GB_Lab!C29)</f>
        <v>4.3899999999999997</v>
      </c>
      <c r="L30" s="789">
        <f t="shared" si="8"/>
        <v>3766.9422698999997</v>
      </c>
      <c r="M30" s="744">
        <f>IF([1]SLPR!W29="","",[1]SLPR!W29*0.006*8.34)</f>
        <v>287.22959999999995</v>
      </c>
      <c r="N30" s="733">
        <f t="shared" si="9"/>
        <v>5.7697610519726981</v>
      </c>
      <c r="O30" s="763">
        <f t="shared" si="10"/>
        <v>7.6250066876555819E-2</v>
      </c>
      <c r="Q30" s="80">
        <f>IF([1]SLPR!X29="","",IF([1]SLPR!X29,1,0))</f>
        <v>1</v>
      </c>
      <c r="R30" s="80">
        <f>IF([1]SLPR!Y29="","",IF([1]SLPR!Y29,1,0))</f>
        <v>1</v>
      </c>
      <c r="S30" s="80">
        <f>IF([1]SLPR!Z29="","",IF([1]SLPR!Z29,1,0))</f>
        <v>1</v>
      </c>
      <c r="T30" s="80"/>
      <c r="U30" s="80"/>
    </row>
    <row r="31" spans="1:21" ht="20.25" x14ac:dyDescent="0.3">
      <c r="A31" s="736">
        <v>27</v>
      </c>
      <c r="B31" s="738">
        <f t="shared" si="4"/>
        <v>2</v>
      </c>
      <c r="C31" s="733">
        <f>IF(SUM([1]SLPR!X30:Z30)=0,"",[1]SLPR!X30+[1]SLPR!Y30+[1]SLPR!Z30)</f>
        <v>42.8</v>
      </c>
      <c r="D31" s="731">
        <f>'WAS-TWAS'!B31</f>
        <v>1.5497115353826441</v>
      </c>
      <c r="E31" s="731">
        <f>IF([1]GB_Lab!B30="","",[1]GB_Lab!B30)</f>
        <v>0.57999999999999996</v>
      </c>
      <c r="F31" s="789">
        <f t="shared" si="5"/>
        <v>37.481323194764627</v>
      </c>
      <c r="G31" s="853" t="str">
        <f>IF([2]BP_GB!H30="","",[2]BP_GB!H30)</f>
        <v/>
      </c>
      <c r="H31" s="731" t="str">
        <f t="shared" si="6"/>
        <v/>
      </c>
      <c r="I31" s="745" t="str">
        <f t="shared" si="7"/>
        <v/>
      </c>
      <c r="J31" s="738">
        <f>IF([1]Digesters!AB30="","",[1]Digesters!AB30)</f>
        <v>212819</v>
      </c>
      <c r="K31" s="731">
        <f>IF([1]GB_Lab!C30="","",[1]GB_Lab!C30)</f>
        <v>4.62</v>
      </c>
      <c r="L31" s="789">
        <f t="shared" si="8"/>
        <v>4100.0431626</v>
      </c>
      <c r="M31" s="744">
        <f>IF([1]SLPR!W30="","",[1]SLPR!W30*0.006*8.34)</f>
        <v>319.75560000000002</v>
      </c>
      <c r="N31" s="733">
        <f t="shared" si="9"/>
        <v>8.5310648809928704</v>
      </c>
      <c r="O31" s="763">
        <f t="shared" si="10"/>
        <v>7.7988349712208957E-2</v>
      </c>
      <c r="Q31" s="80">
        <f>IF([1]SLPR!X30="","",IF([1]SLPR!X30,1,0))</f>
        <v>1</v>
      </c>
      <c r="R31" s="80">
        <f>IF([1]SLPR!Y30="","",IF([1]SLPR!Y30,1,0))</f>
        <v>0</v>
      </c>
      <c r="S31" s="80">
        <f>IF([1]SLPR!Z30="","",IF([1]SLPR!Z30,1,0))</f>
        <v>1</v>
      </c>
      <c r="T31" s="80"/>
      <c r="U31" s="80"/>
    </row>
    <row r="32" spans="1:21" ht="20.25" x14ac:dyDescent="0.3">
      <c r="A32" s="736">
        <v>28</v>
      </c>
      <c r="B32" s="738">
        <f t="shared" si="4"/>
        <v>3</v>
      </c>
      <c r="C32" s="733">
        <f>IF(SUM([1]SLPR!X31:Z31)=0,"",[1]SLPR!X31+[1]SLPR!Y31+[1]SLPR!Z31)</f>
        <v>53</v>
      </c>
      <c r="D32" s="731">
        <f>'WAS-TWAS'!B32</f>
        <v>1.4331801424911947</v>
      </c>
      <c r="E32" s="731">
        <f>IF([1]GB_Lab!B31="","",[1]GB_Lab!B31)</f>
        <v>0.66</v>
      </c>
      <c r="F32" s="789">
        <f t="shared" si="5"/>
        <v>39.443983881642659</v>
      </c>
      <c r="G32" s="853" t="str">
        <f>IF([2]BP_GB!H31="","",[2]BP_GB!H31)</f>
        <v/>
      </c>
      <c r="H32" s="731" t="str">
        <f t="shared" si="6"/>
        <v/>
      </c>
      <c r="I32" s="745" t="str">
        <f t="shared" si="7"/>
        <v/>
      </c>
      <c r="J32" s="738">
        <f>IF([1]Digesters!AB31="","",[1]Digesters!AB31)</f>
        <v>179512</v>
      </c>
      <c r="K32" s="731">
        <f>IF([1]GB_Lab!C31="","",[1]GB_Lab!C31)</f>
        <v>4.78</v>
      </c>
      <c r="L32" s="789">
        <f t="shared" si="8"/>
        <v>3578.1408912000002</v>
      </c>
      <c r="M32" s="744">
        <f>IF([1]SLPR!W31="","",[1]SLPR!W31*0.006*8.34)</f>
        <v>305.24400000000003</v>
      </c>
      <c r="N32" s="733">
        <f t="shared" si="9"/>
        <v>7.7386706402661689</v>
      </c>
      <c r="O32" s="763">
        <f t="shared" si="10"/>
        <v>8.5307987941645985E-2</v>
      </c>
      <c r="Q32" s="80">
        <f>IF([1]SLPR!X31="","",IF([1]SLPR!X31,1,0))</f>
        <v>1</v>
      </c>
      <c r="R32" s="80">
        <f>IF([1]SLPR!Y31="","",IF([1]SLPR!Y31,1,0))</f>
        <v>1</v>
      </c>
      <c r="S32" s="80">
        <f>IF([1]SLPR!Z31="","",IF([1]SLPR!Z31,1,0))</f>
        <v>1</v>
      </c>
      <c r="T32" s="80"/>
      <c r="U32" s="80"/>
    </row>
    <row r="33" spans="1:21" s="1" customFormat="1" ht="20.25" x14ac:dyDescent="0.3">
      <c r="A33" s="736">
        <v>29</v>
      </c>
      <c r="B33" s="738">
        <f t="shared" si="4"/>
        <v>3</v>
      </c>
      <c r="C33" s="733">
        <f>IF(SUM([1]SLPR!X32:Z32)=0,"",[1]SLPR!X32+[1]SLPR!Y32+[1]SLPR!Z32)</f>
        <v>45.9</v>
      </c>
      <c r="D33" s="731">
        <f>'WAS-TWAS'!B33</f>
        <v>1.5629107706432128</v>
      </c>
      <c r="E33" s="731">
        <f>IF([1]GB_Lab!B32="","",[1]GB_Lab!B32)</f>
        <v>0.62</v>
      </c>
      <c r="F33" s="789">
        <f t="shared" si="5"/>
        <v>40.40749506420962</v>
      </c>
      <c r="G33" s="853">
        <f>IF([2]BP_GB!H32="","",[2]BP_GB!H32)</f>
        <v>0.04</v>
      </c>
      <c r="H33" s="731">
        <f t="shared" si="6"/>
        <v>2.6069351654328798</v>
      </c>
      <c r="I33" s="745">
        <f t="shared" si="7"/>
        <v>93.548387096774192</v>
      </c>
      <c r="J33" s="738">
        <f>IF([1]Digesters!AB32="","",[1]Digesters!AB32)</f>
        <v>183449</v>
      </c>
      <c r="K33" s="731">
        <f>IF([1]GB_Lab!C32="","",[1]GB_Lab!C32)</f>
        <v>5.12</v>
      </c>
      <c r="L33" s="789">
        <f t="shared" si="8"/>
        <v>3916.7095296000002</v>
      </c>
      <c r="M33" s="744">
        <f>IF([1]SLPR!W32="","",[1]SLPR!W32*0.006*8.34)</f>
        <v>283.72680000000003</v>
      </c>
      <c r="N33" s="733">
        <f t="shared" si="9"/>
        <v>7.0216379300212326</v>
      </c>
      <c r="O33" s="763">
        <f t="shared" si="10"/>
        <v>7.2440092341740758E-2</v>
      </c>
      <c r="Q33" s="80">
        <f>IF([1]SLPR!X32="","",IF([1]SLPR!X32,1,0))</f>
        <v>1</v>
      </c>
      <c r="R33" s="80">
        <f>IF([1]SLPR!Y32="","",IF([1]SLPR!Y32,1,0))</f>
        <v>1</v>
      </c>
      <c r="S33" s="80">
        <f>IF([1]SLPR!Z32="","",IF([1]SLPR!Z32,1,0))</f>
        <v>1</v>
      </c>
      <c r="T33" s="85"/>
      <c r="U33" s="85"/>
    </row>
    <row r="34" spans="1:21" ht="20.25" x14ac:dyDescent="0.3">
      <c r="A34" s="736">
        <v>30</v>
      </c>
      <c r="B34" s="738">
        <f t="shared" ref="B34" si="11">IF(SUM(Q34:S34)=0,"",SUM(Q34:S34))</f>
        <v>2</v>
      </c>
      <c r="C34" s="733">
        <f>IF(SUM([1]SLPR!X33:Z33)=0,"",[1]SLPR!X33+[1]SLPR!Y33+[1]SLPR!Z33)</f>
        <v>48.8</v>
      </c>
      <c r="D34" s="731">
        <f>'WAS-TWAS'!B34</f>
        <v>1.5642245862351929</v>
      </c>
      <c r="E34" s="731">
        <f>IF([1]GB_Lab!B33="","",[1]GB_Lab!B33)</f>
        <v>0.59</v>
      </c>
      <c r="F34" s="789">
        <f t="shared" ref="F34" si="12">IF(OR(D34="",E34=""),"",D34*(E34*10000)*8.34/2000)</f>
        <v>38.484617495144448</v>
      </c>
      <c r="G34" s="853" t="str">
        <f>IF([2]BP_GB!H33="","",[2]BP_GB!H33)</f>
        <v/>
      </c>
      <c r="H34" s="731" t="str">
        <f t="shared" ref="H34" si="13">IF(OR(F34="",I34=""),"",F34-(F34*(I34/100)))</f>
        <v/>
      </c>
      <c r="I34" s="745" t="str">
        <f t="shared" ref="I34" si="14">IF(OR(E34="",G34=""),"",((E34-G34)/E34)*100)</f>
        <v/>
      </c>
      <c r="J34" s="738">
        <f>IF([1]Digesters!AB33="","",[1]Digesters!AB33)</f>
        <v>217002</v>
      </c>
      <c r="K34" s="731">
        <f>IF([1]GB_Lab!C33="","",[1]GB_Lab!C33)</f>
        <v>4.3899999999999997</v>
      </c>
      <c r="L34" s="789">
        <f t="shared" ref="L34" si="15">IF(OR(J34="",K34=""),"",(J34*100)*8.34*(K34/100)/2000)</f>
        <v>3972.5037125999997</v>
      </c>
      <c r="M34" s="744">
        <f>IF([1]SLPR!W33="","",[1]SLPR!W33*0.006*8.34)</f>
        <v>276.72120000000001</v>
      </c>
      <c r="N34" s="733">
        <f t="shared" ref="N34" si="16">IF(OR(M34="",F34=""),"",M34/F34)</f>
        <v>7.1904365435076381</v>
      </c>
      <c r="O34" s="763">
        <f t="shared" ref="O34" si="17">IF(OR(M34="",L34=""),"",M34/L34)</f>
        <v>6.9659141946751324E-2</v>
      </c>
      <c r="Q34" s="80">
        <f>IF([1]SLPR!X33="","",IF([1]SLPR!X33,1,0))</f>
        <v>0</v>
      </c>
      <c r="R34" s="80">
        <f>IF([1]SLPR!Y33="","",IF([1]SLPR!Y33,1,0))</f>
        <v>1</v>
      </c>
      <c r="S34" s="80">
        <f>IF([1]SLPR!Z33="","",IF([1]SLPR!Z33,1,0))</f>
        <v>1</v>
      </c>
      <c r="T34" s="80"/>
      <c r="U34" s="80"/>
    </row>
    <row r="35" spans="1:21" ht="21" thickBot="1" x14ac:dyDescent="0.35">
      <c r="A35" s="736">
        <v>31</v>
      </c>
      <c r="B35" s="738">
        <f t="shared" ref="B35" si="18">IF(SUM(Q35:S35)=0,"",SUM(Q35:S35))</f>
        <v>2</v>
      </c>
      <c r="C35" s="733">
        <f>IF(SUM([1]SLPR!X34:Z34)=0,"",[1]SLPR!X34+[1]SLPR!Y34+[1]SLPR!Z34)</f>
        <v>47.2</v>
      </c>
      <c r="D35" s="731">
        <f>'WAS-TWAS'!B35</f>
        <v>1.5634696615834154</v>
      </c>
      <c r="E35" s="731">
        <f>IF([1]GB_Lab!B34="","",[1]GB_Lab!B34)</f>
        <v>0.76</v>
      </c>
      <c r="F35" s="789">
        <f t="shared" ref="F35" si="19">IF(OR(D35="",E35=""),"",D35*(E35*10000)*8.34/2000)</f>
        <v>49.549480514901603</v>
      </c>
      <c r="G35" s="853" t="str">
        <f>IF([2]BP_GB!H34="","",[2]BP_GB!H34)</f>
        <v/>
      </c>
      <c r="H35" s="731" t="str">
        <f t="shared" ref="H35" si="20">IF(OR(F35="",I35=""),"",F35-(F35*(I35/100)))</f>
        <v/>
      </c>
      <c r="I35" s="745" t="str">
        <f t="shared" ref="I35" si="21">IF(OR(E35="",G35=""),"",((E35-G35)/E35)*100)</f>
        <v/>
      </c>
      <c r="J35" s="738">
        <f>IF([1]Digesters!AB34="","",[1]Digesters!AB34)</f>
        <v>247559</v>
      </c>
      <c r="K35" s="731">
        <f>IF([1]GB_Lab!C34="","",[1]GB_Lab!C34)</f>
        <v>5.05</v>
      </c>
      <c r="L35" s="789">
        <f t="shared" ref="L35" si="22">IF(OR(J35="",K35=""),"",(J35*100)*8.34*(K35/100)/2000)</f>
        <v>5213.2212014999996</v>
      </c>
      <c r="M35" s="744">
        <f>IF([1]SLPR!W34="","",[1]SLPR!W34*0.006*8.34)</f>
        <v>334.2672</v>
      </c>
      <c r="N35" s="733">
        <f t="shared" ref="N35" si="23">IF(OR(M35="",F35=""),"",M35/F35)</f>
        <v>6.7461292535543711</v>
      </c>
      <c r="O35" s="763">
        <f t="shared" ref="O35" si="24">IF(OR(M35="",L35=""),"",M35/L35)</f>
        <v>6.411912847738388E-2</v>
      </c>
      <c r="Q35" s="80">
        <f>IF([1]SLPR!X34="","",IF([1]SLPR!X34,1,0))</f>
        <v>0</v>
      </c>
      <c r="R35" s="80">
        <f>IF([1]SLPR!Y34="","",IF([1]SLPR!Y34,1,0))</f>
        <v>1</v>
      </c>
      <c r="S35" s="80">
        <f>IF([1]SLPR!Z34="","",IF([1]SLPR!Z34,1,0))</f>
        <v>1</v>
      </c>
    </row>
    <row r="36" spans="1:21" ht="20.25" x14ac:dyDescent="0.3">
      <c r="A36" s="735" t="s">
        <v>539</v>
      </c>
      <c r="B36" s="754">
        <f t="shared" ref="B36:O36" si="25">MAX(B5:B35)</f>
        <v>3</v>
      </c>
      <c r="C36" s="782">
        <f t="shared" si="25"/>
        <v>74.3</v>
      </c>
      <c r="D36" s="741">
        <f t="shared" si="25"/>
        <v>1.7831555380443487</v>
      </c>
      <c r="E36" s="741">
        <f t="shared" si="25"/>
        <v>0.76</v>
      </c>
      <c r="F36" s="788">
        <f t="shared" si="25"/>
        <v>49.781888264124092</v>
      </c>
      <c r="G36" s="852">
        <f t="shared" si="25"/>
        <v>0.06</v>
      </c>
      <c r="H36" s="741">
        <f t="shared" si="25"/>
        <v>4.0756548781231956</v>
      </c>
      <c r="I36" s="743">
        <f t="shared" si="25"/>
        <v>95.588235294117638</v>
      </c>
      <c r="J36" s="754">
        <f t="shared" si="25"/>
        <v>289849</v>
      </c>
      <c r="K36" s="741">
        <f t="shared" si="25"/>
        <v>6.27</v>
      </c>
      <c r="L36" s="788">
        <f t="shared" si="25"/>
        <v>5817.15</v>
      </c>
      <c r="M36" s="739">
        <f t="shared" si="25"/>
        <v>939.25080000000003</v>
      </c>
      <c r="N36" s="740">
        <f t="shared" si="25"/>
        <v>27.526709606012666</v>
      </c>
      <c r="O36" s="743">
        <f t="shared" si="25"/>
        <v>0.27436033261184017</v>
      </c>
    </row>
    <row r="37" spans="1:21" ht="20.25" x14ac:dyDescent="0.3">
      <c r="A37" s="736" t="s">
        <v>590</v>
      </c>
      <c r="B37" s="738">
        <f t="shared" ref="B37:O37" si="26">MIN(B5:B35)</f>
        <v>2</v>
      </c>
      <c r="C37" s="733">
        <f t="shared" si="26"/>
        <v>42.8</v>
      </c>
      <c r="D37" s="731">
        <f t="shared" si="26"/>
        <v>1.2785309433537462</v>
      </c>
      <c r="E37" s="731">
        <f t="shared" si="26"/>
        <v>0.55000000000000004</v>
      </c>
      <c r="F37" s="789">
        <f t="shared" si="26"/>
        <v>34.12143381622478</v>
      </c>
      <c r="G37" s="853">
        <f t="shared" si="26"/>
        <v>0.03</v>
      </c>
      <c r="H37" s="731">
        <f>MIN(H5:H35)</f>
        <v>1.644711961781347</v>
      </c>
      <c r="I37" s="745">
        <f t="shared" si="26"/>
        <v>91.044776119402997</v>
      </c>
      <c r="J37" s="738">
        <f t="shared" si="26"/>
        <v>179512</v>
      </c>
      <c r="K37" s="731">
        <f t="shared" si="26"/>
        <v>3.9</v>
      </c>
      <c r="L37" s="789">
        <f t="shared" si="26"/>
        <v>3418.7327999999998</v>
      </c>
      <c r="M37" s="744">
        <f t="shared" si="26"/>
        <v>253.7028</v>
      </c>
      <c r="N37" s="730">
        <f t="shared" si="26"/>
        <v>5.7697610519726981</v>
      </c>
      <c r="O37" s="745">
        <f t="shared" si="26"/>
        <v>5.9460172736439075E-2</v>
      </c>
    </row>
    <row r="38" spans="1:21" ht="20.25" hidden="1" x14ac:dyDescent="0.3">
      <c r="A38" s="736" t="s">
        <v>591</v>
      </c>
      <c r="B38" s="738">
        <f t="shared" ref="B38:O38" si="27">STDEV(B5:B35)</f>
        <v>0.48637345711391994</v>
      </c>
      <c r="C38" s="733">
        <f t="shared" si="27"/>
        <v>10.914026685629102</v>
      </c>
      <c r="D38" s="731">
        <f t="shared" si="27"/>
        <v>0.13125584041758118</v>
      </c>
      <c r="E38" s="731">
        <f t="shared" si="27"/>
        <v>4.1540238297937862E-2</v>
      </c>
      <c r="F38" s="789">
        <f t="shared" si="27"/>
        <v>4.0889419732630534</v>
      </c>
      <c r="G38" s="853">
        <f t="shared" si="27"/>
        <v>1.2247448713915872E-2</v>
      </c>
      <c r="H38" s="731">
        <f>STDEV(H5:H35)</f>
        <v>0.95396867284111597</v>
      </c>
      <c r="I38" s="745"/>
      <c r="J38" s="738">
        <f t="shared" si="27"/>
        <v>28559.243427036567</v>
      </c>
      <c r="K38" s="731">
        <f t="shared" si="27"/>
        <v>0.50894725839515731</v>
      </c>
      <c r="L38" s="789">
        <f t="shared" si="27"/>
        <v>686.14861352278717</v>
      </c>
      <c r="M38" s="744">
        <f t="shared" si="27"/>
        <v>115.49310389765827</v>
      </c>
      <c r="N38" s="730">
        <f t="shared" si="27"/>
        <v>3.6549587925891927</v>
      </c>
      <c r="O38" s="745">
        <f t="shared" si="27"/>
        <v>3.7927687534194308E-2</v>
      </c>
    </row>
    <row r="39" spans="1:21" ht="20.25" x14ac:dyDescent="0.3">
      <c r="A39" s="736" t="s">
        <v>592</v>
      </c>
      <c r="B39" s="738"/>
      <c r="C39" s="733">
        <f>SUM(C5:C35)</f>
        <v>1673.1999999999998</v>
      </c>
      <c r="D39" s="731">
        <f>SUM(D5:D35)</f>
        <v>48.475073039195095</v>
      </c>
      <c r="E39" s="731"/>
      <c r="F39" s="789">
        <f>SUM(F5:F35)</f>
        <v>1301.5560986453961</v>
      </c>
      <c r="G39" s="853"/>
      <c r="H39" s="731"/>
      <c r="I39" s="745"/>
      <c r="J39" s="738">
        <f>SUM(J5:J35)</f>
        <v>6796983</v>
      </c>
      <c r="K39" s="731"/>
      <c r="L39" s="789">
        <f>SUM(L5:L35)</f>
        <v>132800.63007960003</v>
      </c>
      <c r="M39" s="744">
        <f>SUM(M5:M35)</f>
        <v>10623.842280000001</v>
      </c>
      <c r="N39" s="730"/>
      <c r="O39" s="745">
        <f>SUM(O5:O35)</f>
        <v>2.5655117601920159</v>
      </c>
    </row>
    <row r="40" spans="1:21" ht="21" thickBot="1" x14ac:dyDescent="0.35">
      <c r="A40" s="737" t="s">
        <v>538</v>
      </c>
      <c r="B40" s="755">
        <f t="shared" ref="B40:O40" si="28">AVERAGE(B5:B35)</f>
        <v>2.3548387096774195</v>
      </c>
      <c r="C40" s="748">
        <f t="shared" si="28"/>
        <v>53.974193548387092</v>
      </c>
      <c r="D40" s="804">
        <f t="shared" si="28"/>
        <v>1.5637120335224224</v>
      </c>
      <c r="E40" s="804">
        <f t="shared" si="28"/>
        <v>0.64451612903225819</v>
      </c>
      <c r="F40" s="1035">
        <f t="shared" si="28"/>
        <v>41.985680601464388</v>
      </c>
      <c r="G40" s="854">
        <f t="shared" si="28"/>
        <v>0.04</v>
      </c>
      <c r="H40" s="804">
        <f>AVERAGE(H5:H35)</f>
        <v>2.5748350991454769</v>
      </c>
      <c r="I40" s="750">
        <f t="shared" si="28"/>
        <v>93.901081566860825</v>
      </c>
      <c r="J40" s="755">
        <f t="shared" si="28"/>
        <v>219257.51612903227</v>
      </c>
      <c r="K40" s="804">
        <f t="shared" si="28"/>
        <v>4.6916129032258072</v>
      </c>
      <c r="L40" s="1035">
        <f t="shared" si="28"/>
        <v>4283.8912928903237</v>
      </c>
      <c r="M40" s="746">
        <f t="shared" si="28"/>
        <v>342.70458967741939</v>
      </c>
      <c r="N40" s="747">
        <f t="shared" si="28"/>
        <v>8.3157524927582624</v>
      </c>
      <c r="O40" s="750">
        <f t="shared" si="28"/>
        <v>8.2758443877161803E-2</v>
      </c>
    </row>
    <row r="42" spans="1:21" ht="18" x14ac:dyDescent="0.25">
      <c r="B42" s="96"/>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55" zoomScaleNormal="55" workbookViewId="0">
      <pane xSplit="1" ySplit="3" topLeftCell="B10"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77" t="s">
        <v>479</v>
      </c>
      <c r="B1" s="1071" t="s">
        <v>684</v>
      </c>
      <c r="C1" s="1059" t="s">
        <v>11</v>
      </c>
      <c r="D1" s="1072" t="s">
        <v>11</v>
      </c>
      <c r="E1" s="1067" t="s">
        <v>12</v>
      </c>
      <c r="F1" s="1059" t="s">
        <v>13</v>
      </c>
      <c r="G1" s="1060" t="s">
        <v>14</v>
      </c>
      <c r="H1" s="1060" t="s">
        <v>15</v>
      </c>
      <c r="I1" s="1061" t="s">
        <v>15</v>
      </c>
      <c r="J1" s="1062" t="s">
        <v>16</v>
      </c>
    </row>
    <row r="2" spans="1:16" ht="23.25" x14ac:dyDescent="0.35">
      <c r="A2" s="1078">
        <f>IF(date!B6="","",date!B6)</f>
        <v>43466</v>
      </c>
      <c r="B2" s="1073" t="s">
        <v>509</v>
      </c>
      <c r="C2" s="105" t="s">
        <v>17</v>
      </c>
      <c r="D2" s="1074" t="s">
        <v>17</v>
      </c>
      <c r="E2" s="1068" t="s">
        <v>18</v>
      </c>
      <c r="F2" s="105" t="s">
        <v>623</v>
      </c>
      <c r="G2" s="106" t="s">
        <v>19</v>
      </c>
      <c r="H2" s="106" t="s">
        <v>18</v>
      </c>
      <c r="I2" s="107" t="s">
        <v>20</v>
      </c>
      <c r="J2" s="1063" t="s">
        <v>21</v>
      </c>
    </row>
    <row r="3" spans="1:16" ht="24" thickBot="1" x14ac:dyDescent="0.4">
      <c r="A3" s="1079">
        <f>IF(date!B6="","",date!B6)</f>
        <v>43466</v>
      </c>
      <c r="B3" s="1075" t="s">
        <v>22</v>
      </c>
      <c r="C3" s="108" t="s">
        <v>696</v>
      </c>
      <c r="D3" s="1076" t="s">
        <v>23</v>
      </c>
      <c r="E3" s="1069" t="s">
        <v>23</v>
      </c>
      <c r="F3" s="108" t="s">
        <v>23</v>
      </c>
      <c r="G3" s="109" t="s">
        <v>24</v>
      </c>
      <c r="H3" s="109" t="s">
        <v>23</v>
      </c>
      <c r="I3" s="110" t="s">
        <v>23</v>
      </c>
      <c r="J3" s="1070" t="s">
        <v>23</v>
      </c>
    </row>
    <row r="4" spans="1:16" ht="23.25" x14ac:dyDescent="0.35">
      <c r="A4" s="1050">
        <v>1</v>
      </c>
      <c r="B4" s="1048">
        <f>IF([1]BP_Lab!D4="","",[1]BP_Lab!D4)</f>
        <v>19.88</v>
      </c>
      <c r="C4" s="1040">
        <f>IF([1]Sldg_Wgt!E4="","",[1]Sldg_Wgt!E4)</f>
        <v>136.29</v>
      </c>
      <c r="D4" s="1053">
        <f>PRESS!L5</f>
        <v>27.094451999999997</v>
      </c>
      <c r="E4" s="1056">
        <f>IF([1]Lagoon!C4=0,0,IF([1]Lagoon!B4="",[1]Lagoon!C4/1000*8.34*[1]Lagoon!$B$36*10000/2000,[1]Lagoon!C4/1000*8.34*[1]Lagoon!B4*10000)/2000)</f>
        <v>0</v>
      </c>
      <c r="F4" s="1041">
        <f>PRESS!F5</f>
        <v>29.700082239599997</v>
      </c>
      <c r="G4" s="1042">
        <f t="shared" ref="G4:G33" si="0">IF(OR(D4="",F4="",D4=0,F4=0),"",IF(D4/F4*100&lt;100,D4/F4*100,""))</f>
        <v>91.226858503018434</v>
      </c>
      <c r="H4" s="1041">
        <f t="shared" ref="H4:H5" si="1">IF(OR(F4="",E4=""),"",IF(F4-E4&lt;=0,"",F4-E4))</f>
        <v>29.700082239599997</v>
      </c>
      <c r="I4" s="1041">
        <f>IF('DIG-2'!AK5="","",'DIG-2'!AK5)</f>
        <v>12.108012000000002</v>
      </c>
      <c r="J4" s="1043">
        <f>PRESS!L5</f>
        <v>27.094451999999997</v>
      </c>
      <c r="M4" s="185" t="s">
        <v>108</v>
      </c>
      <c r="N4" s="185" t="s">
        <v>107</v>
      </c>
      <c r="O4" s="185" t="s">
        <v>114</v>
      </c>
      <c r="P4" s="199" t="s">
        <v>106</v>
      </c>
    </row>
    <row r="5" spans="1:16" ht="23.25" x14ac:dyDescent="0.35">
      <c r="A5" s="1051">
        <v>2</v>
      </c>
      <c r="B5" s="1049">
        <f>IF([1]BP_Lab!D5="","",[1]BP_Lab!D5)</f>
        <v>19.38</v>
      </c>
      <c r="C5" s="1037">
        <f>IF([1]Sldg_Wgt!E5="","",[1]Sldg_Wgt!E5)</f>
        <v>273.09000000000003</v>
      </c>
      <c r="D5" s="1054">
        <f>PRESS!L6</f>
        <v>52.924842000000005</v>
      </c>
      <c r="E5" s="1057">
        <f>IF([1]Lagoon!C5=0,0,IF([1]Lagoon!B5="",[1]Lagoon!C5/1000*8.34*[1]Lagoon!$B$36*10000/2000,[1]Lagoon!C5/1000*8.34*[1]Lagoon!B5*10000)/2000)</f>
        <v>62.560007999999989</v>
      </c>
      <c r="F5" s="1038">
        <f>PRESS!F6</f>
        <v>55.451243034000008</v>
      </c>
      <c r="G5" s="1039">
        <f t="shared" si="0"/>
        <v>95.443923533957687</v>
      </c>
      <c r="H5" s="1038" t="str">
        <f t="shared" si="1"/>
        <v/>
      </c>
      <c r="I5" s="1038">
        <f>IF('DIG-2'!AK6="","",'DIG-2'!AK6)</f>
        <v>12.479900940000004</v>
      </c>
      <c r="J5" s="1044">
        <f>PRESS!L6</f>
        <v>52.924842000000005</v>
      </c>
    </row>
    <row r="6" spans="1:16" ht="23.25" x14ac:dyDescent="0.35">
      <c r="A6" s="1051">
        <v>3</v>
      </c>
      <c r="B6" s="1049">
        <f>IF([1]BP_Lab!D6="","",[1]BP_Lab!D6)</f>
        <v>19.37</v>
      </c>
      <c r="C6" s="1037">
        <f>IF([1]Sldg_Wgt!E6="","",[1]Sldg_Wgt!E6)</f>
        <v>238.58</v>
      </c>
      <c r="D6" s="1054">
        <f>PRESS!L7</f>
        <v>46.212946000000002</v>
      </c>
      <c r="E6" s="1057">
        <f>IF([1]Lagoon!C6=0,0,IF([1]Lagoon!B6="",[1]Lagoon!C6/1000*8.34*[1]Lagoon!$B$36*10000/2000,[1]Lagoon!C6/1000*8.34*[1]Lagoon!B6*10000)/2000)</f>
        <v>36.989567999999998</v>
      </c>
      <c r="F6" s="1038">
        <f>PRESS!F7</f>
        <v>60.853771727099996</v>
      </c>
      <c r="G6" s="1039">
        <f t="shared" si="0"/>
        <v>75.940972413744419</v>
      </c>
      <c r="H6" s="1038">
        <f t="shared" ref="H6:H32" si="2">IF(OR(F6="",E6=""),"",IF(F6-E6&lt;=0,"",F6-E6))</f>
        <v>23.864203727099998</v>
      </c>
      <c r="I6" s="1038">
        <f>IF('DIG-2'!AK7="","",'DIG-2'!AK7)</f>
        <v>41.936964420000002</v>
      </c>
      <c r="J6" s="1044">
        <f>PRESS!L7</f>
        <v>46.212946000000002</v>
      </c>
    </row>
    <row r="7" spans="1:16" ht="23.25" x14ac:dyDescent="0.35">
      <c r="A7" s="1051">
        <v>4</v>
      </c>
      <c r="B7" s="1049">
        <f>IF([1]BP_Lab!D7="","",[1]BP_Lab!D7)</f>
        <v>18.23</v>
      </c>
      <c r="C7" s="1037">
        <f>IF([1]Sldg_Wgt!E7="","",[1]Sldg_Wgt!E7)</f>
        <v>236.81</v>
      </c>
      <c r="D7" s="1054">
        <f>PRESS!L8</f>
        <v>43.170462999999998</v>
      </c>
      <c r="E7" s="1057">
        <f>IF([1]Lagoon!C7=0,0,IF([1]Lagoon!B7="",[1]Lagoon!C7/1000*8.34*[1]Lagoon!$B$36*10000/2000,[1]Lagoon!C7/1000*8.34*[1]Lagoon!B7*10000)/2000)</f>
        <v>21.637295999999999</v>
      </c>
      <c r="F7" s="1038">
        <f>PRESS!F8</f>
        <v>50.813737244999999</v>
      </c>
      <c r="G7" s="1039">
        <f t="shared" si="0"/>
        <v>84.958252119603557</v>
      </c>
      <c r="H7" s="1038">
        <f t="shared" si="2"/>
        <v>29.176441244999999</v>
      </c>
      <c r="I7" s="1038">
        <f>IF('DIG-2'!AK8="","",'DIG-2'!AK8)</f>
        <v>32.769469620000002</v>
      </c>
      <c r="J7" s="1044">
        <f>PRESS!L8</f>
        <v>43.170462999999998</v>
      </c>
    </row>
    <row r="8" spans="1:16" ht="23.25" x14ac:dyDescent="0.35">
      <c r="A8" s="1051">
        <v>5</v>
      </c>
      <c r="B8" s="1049">
        <f>IF([1]BP_Lab!D8="","",[1]BP_Lab!D8)</f>
        <v>20.09</v>
      </c>
      <c r="C8" s="1037">
        <f>IF([1]Sldg_Wgt!E8="","",[1]Sldg_Wgt!E8)</f>
        <v>171.7</v>
      </c>
      <c r="D8" s="1054">
        <f>PRESS!L9</f>
        <v>34.494529999999997</v>
      </c>
      <c r="E8" s="1057">
        <f>IF([1]Lagoon!C8=0,0,IF([1]Lagoon!B8="",[1]Lagoon!C8/1000*8.34*[1]Lagoon!$B$36*10000/2000,[1]Lagoon!C8/1000*8.34*[1]Lagoon!B8*10000)/2000)</f>
        <v>11.458909799999999</v>
      </c>
      <c r="F8" s="1038">
        <f>PRESS!F9</f>
        <v>55.463451292799995</v>
      </c>
      <c r="G8" s="1039">
        <f t="shared" si="0"/>
        <v>62.193262763072795</v>
      </c>
      <c r="H8" s="1038">
        <f t="shared" si="2"/>
        <v>44.004541492799994</v>
      </c>
      <c r="I8" s="1038">
        <f>IF('DIG-2'!AK9="","",'DIG-2'!AK9)</f>
        <v>10.04964996</v>
      </c>
      <c r="J8" s="1044">
        <f>PRESS!L9</f>
        <v>34.494529999999997</v>
      </c>
    </row>
    <row r="9" spans="1:16" ht="23.25" x14ac:dyDescent="0.35">
      <c r="A9" s="1051">
        <v>6</v>
      </c>
      <c r="B9" s="1049">
        <f>IF([1]BP_Lab!D9="","",[1]BP_Lab!D9)</f>
        <v>18.440000000000001</v>
      </c>
      <c r="C9" s="1037">
        <f>IF([1]Sldg_Wgt!E9="","",[1]Sldg_Wgt!E9)</f>
        <v>102.55000000000001</v>
      </c>
      <c r="D9" s="1054">
        <f>PRESS!L10</f>
        <v>18.910220000000002</v>
      </c>
      <c r="E9" s="1057">
        <f>IF([1]Lagoon!C9=0,0,IF([1]Lagoon!B9="",[1]Lagoon!C9/1000*8.34*[1]Lagoon!$B$36*10000/2000,[1]Lagoon!C9/1000*8.34*[1]Lagoon!B9*10000)/2000)</f>
        <v>43.616115000000001</v>
      </c>
      <c r="F9" s="1038">
        <f>PRESS!F10</f>
        <v>49.432551596399996</v>
      </c>
      <c r="G9" s="1039">
        <f t="shared" si="0"/>
        <v>38.254590121900904</v>
      </c>
      <c r="H9" s="1038">
        <f t="shared" si="2"/>
        <v>5.8164365963999956</v>
      </c>
      <c r="I9" s="1038">
        <f>IF('DIG-2'!AK10="","",'DIG-2'!AK10)</f>
        <v>12.600981060000002</v>
      </c>
      <c r="J9" s="1044">
        <f>PRESS!L10</f>
        <v>18.910220000000002</v>
      </c>
    </row>
    <row r="10" spans="1:16" ht="23.25" x14ac:dyDescent="0.35">
      <c r="A10" s="1051">
        <v>7</v>
      </c>
      <c r="B10" s="1049">
        <f>IF([1]BP_Lab!D10="","",[1]BP_Lab!D10)</f>
        <v>19.21</v>
      </c>
      <c r="C10" s="1037">
        <f>IF([1]Sldg_Wgt!E10="","",[1]Sldg_Wgt!E10)</f>
        <v>239.23000000000002</v>
      </c>
      <c r="D10" s="1054">
        <f>PRESS!L11</f>
        <v>45.956083000000007</v>
      </c>
      <c r="E10" s="1057">
        <f>IF([1]Lagoon!C10=0,0,IF([1]Lagoon!B10="",[1]Lagoon!C10/1000*8.34*[1]Lagoon!$B$36*10000/2000,[1]Lagoon!C10/1000*8.34*[1]Lagoon!B10*10000)/2000)</f>
        <v>40.690859999999994</v>
      </c>
      <c r="F10" s="1038">
        <f>PRESS!F11</f>
        <v>44.268536061300004</v>
      </c>
      <c r="G10" s="1039" t="str">
        <f t="shared" si="0"/>
        <v/>
      </c>
      <c r="H10" s="1038">
        <f t="shared" si="2"/>
        <v>3.5776760613000107</v>
      </c>
      <c r="I10" s="1038">
        <f>IF('DIG-2'!AK11="","",'DIG-2'!AK11)</f>
        <v>22.953331320000004</v>
      </c>
      <c r="J10" s="1044">
        <f>PRESS!L11</f>
        <v>45.956083000000007</v>
      </c>
    </row>
    <row r="11" spans="1:16" ht="23.25" x14ac:dyDescent="0.35">
      <c r="A11" s="1051">
        <v>8</v>
      </c>
      <c r="B11" s="1049">
        <f>IF([1]BP_Lab!D11="","",[1]BP_Lab!D11)</f>
        <v>18.829999999999998</v>
      </c>
      <c r="C11" s="1037">
        <f>IF([1]Sldg_Wgt!E11="","",[1]Sldg_Wgt!E11)</f>
        <v>239.27</v>
      </c>
      <c r="D11" s="1054">
        <f>PRESS!L12</f>
        <v>45.054541</v>
      </c>
      <c r="E11" s="1057">
        <f>IF([1]Lagoon!C11=0,0,IF([1]Lagoon!B11="",[1]Lagoon!C11/1000*8.34*[1]Lagoon!$B$36*10000/2000,[1]Lagoon!C11/1000*8.34*[1]Lagoon!B11*10000)/2000)</f>
        <v>118.75492799999998</v>
      </c>
      <c r="F11" s="1038">
        <f>PRESS!F12</f>
        <v>51.20695506780001</v>
      </c>
      <c r="G11" s="1039">
        <f t="shared" si="0"/>
        <v>87.985198378513289</v>
      </c>
      <c r="H11" s="1038" t="str">
        <f t="shared" si="2"/>
        <v/>
      </c>
      <c r="I11" s="1038">
        <f>IF('DIG-2'!AK12="","",'DIG-2'!AK12)</f>
        <v>12.895032780000003</v>
      </c>
      <c r="J11" s="1044">
        <f>PRESS!L12</f>
        <v>45.054541</v>
      </c>
    </row>
    <row r="12" spans="1:16" ht="23.25" x14ac:dyDescent="0.35">
      <c r="A12" s="1051">
        <v>9</v>
      </c>
      <c r="B12" s="1049">
        <f>IF([1]BP_Lab!D12="","",[1]BP_Lab!D12)</f>
        <v>19.13</v>
      </c>
      <c r="C12" s="1037">
        <f>IF([1]Sldg_Wgt!E12="","",[1]Sldg_Wgt!E12)</f>
        <v>235.12</v>
      </c>
      <c r="D12" s="1054">
        <f>PRESS!L13</f>
        <v>44.978455999999994</v>
      </c>
      <c r="E12" s="1057">
        <f>IF([1]Lagoon!C12=0,0,IF([1]Lagoon!B12="",[1]Lagoon!C12/1000*8.34*[1]Lagoon!$B$36*10000/2000,[1]Lagoon!C12/1000*8.34*[1]Lagoon!B12*10000)/2000)</f>
        <v>79.863839999999996</v>
      </c>
      <c r="F12" s="1038">
        <f>PRESS!F13</f>
        <v>54.215904720000005</v>
      </c>
      <c r="G12" s="1039">
        <f t="shared" si="0"/>
        <v>82.961736472521949</v>
      </c>
      <c r="H12" s="1038" t="str">
        <f t="shared" si="2"/>
        <v/>
      </c>
      <c r="I12" s="1038">
        <f>IF('DIG-2'!AK13="","",'DIG-2'!AK13)</f>
        <v>9.6172209600000027</v>
      </c>
      <c r="J12" s="1044">
        <f>PRESS!L13</f>
        <v>44.978455999999994</v>
      </c>
    </row>
    <row r="13" spans="1:16" ht="23.25" x14ac:dyDescent="0.35">
      <c r="A13" s="1051">
        <v>10</v>
      </c>
      <c r="B13" s="1049">
        <f>IF([1]BP_Lab!D13="","",[1]BP_Lab!D13)</f>
        <v>18.04</v>
      </c>
      <c r="C13" s="1037">
        <f>IF([1]Sldg_Wgt!E13="","",[1]Sldg_Wgt!E13)</f>
        <v>207.10999999999999</v>
      </c>
      <c r="D13" s="1054">
        <f>PRESS!L14</f>
        <v>37.362643999999996</v>
      </c>
      <c r="E13" s="1057">
        <f>IF([1]Lagoon!C13=0,0,IF([1]Lagoon!B13="",[1]Lagoon!C13/1000*8.34*[1]Lagoon!$B$36*10000/2000,[1]Lagoon!C13/1000*8.34*[1]Lagoon!B13*10000)/2000)</f>
        <v>85.304856000000029</v>
      </c>
      <c r="F13" s="1038">
        <f>PRESS!F14</f>
        <v>45.044234582400009</v>
      </c>
      <c r="G13" s="1039">
        <f t="shared" si="0"/>
        <v>82.946562077000166</v>
      </c>
      <c r="H13" s="1038" t="str">
        <f t="shared" si="2"/>
        <v/>
      </c>
      <c r="I13" s="1038">
        <f>IF('DIG-2'!AK14="","",'DIG-2'!AK14)</f>
        <v>9.5912752200000018</v>
      </c>
      <c r="J13" s="1044">
        <f>PRESS!L14</f>
        <v>37.362643999999996</v>
      </c>
    </row>
    <row r="14" spans="1:16" ht="23.25" x14ac:dyDescent="0.35">
      <c r="A14" s="1051">
        <v>11</v>
      </c>
      <c r="B14" s="1049">
        <f>IF([1]BP_Lab!D14="","",[1]BP_Lab!D14)</f>
        <v>18.43</v>
      </c>
      <c r="C14" s="1037">
        <f>IF([1]Sldg_Wgt!E14="","",[1]Sldg_Wgt!E14)</f>
        <v>204.61</v>
      </c>
      <c r="D14" s="1054">
        <f>PRESS!L15</f>
        <v>37.709623000000001</v>
      </c>
      <c r="E14" s="1057">
        <f>IF([1]Lagoon!C14=0,0,IF([1]Lagoon!B14="",[1]Lagoon!C14/1000*8.34*[1]Lagoon!$B$36*10000/2000,[1]Lagoon!C14/1000*8.34*[1]Lagoon!B14*10000)/2000)</f>
        <v>48.638880000000015</v>
      </c>
      <c r="F14" s="1038">
        <f>PRESS!F15</f>
        <v>48.922171451999994</v>
      </c>
      <c r="G14" s="1039">
        <f t="shared" si="0"/>
        <v>77.080844698397769</v>
      </c>
      <c r="H14" s="1038">
        <f t="shared" si="2"/>
        <v>0.28329145199997896</v>
      </c>
      <c r="I14" s="1038">
        <f>IF('DIG-2'!AK15="","",'DIG-2'!AK15)</f>
        <v>15.152312160000001</v>
      </c>
      <c r="J14" s="1044">
        <f>PRESS!L15</f>
        <v>37.709623000000001</v>
      </c>
    </row>
    <row r="15" spans="1:16" ht="23.25" x14ac:dyDescent="0.35">
      <c r="A15" s="1051">
        <v>12</v>
      </c>
      <c r="B15" s="1049">
        <f>IF([1]BP_Lab!D15="","",[1]BP_Lab!D15)</f>
        <v>18.72</v>
      </c>
      <c r="C15" s="1037">
        <f>IF([1]Sldg_Wgt!E15="","",[1]Sldg_Wgt!E15)</f>
        <v>170.92000000000002</v>
      </c>
      <c r="D15" s="1054">
        <f>PRESS!L16</f>
        <v>31.996224000000002</v>
      </c>
      <c r="E15" s="1057">
        <f>IF([1]Lagoon!C15=0,0,IF([1]Lagoon!B15="",[1]Lagoon!C15/1000*8.34*[1]Lagoon!$B$36*10000/2000,[1]Lagoon!C15/1000*8.34*[1]Lagoon!B15*10000)/2000)</f>
        <v>16.675829999999998</v>
      </c>
      <c r="F15" s="1038">
        <f>PRESS!F16</f>
        <v>44.859424060500004</v>
      </c>
      <c r="G15" s="1039">
        <f t="shared" si="0"/>
        <v>71.325534533943298</v>
      </c>
      <c r="H15" s="1038">
        <f t="shared" si="2"/>
        <v>28.183594060500006</v>
      </c>
      <c r="I15" s="1038">
        <f>IF('DIG-2'!AK16="","",'DIG-2'!AK16)</f>
        <v>8.7610115400000019</v>
      </c>
      <c r="J15" s="1044">
        <f>PRESS!L16</f>
        <v>31.996224000000002</v>
      </c>
    </row>
    <row r="16" spans="1:16" ht="23.25" x14ac:dyDescent="0.35">
      <c r="A16" s="1051">
        <v>13</v>
      </c>
      <c r="B16" s="1049">
        <f>IF([1]BP_Lab!D16="","",[1]BP_Lab!D16)</f>
        <v>17.309999999999999</v>
      </c>
      <c r="C16" s="1037">
        <f>IF([1]Sldg_Wgt!E16="","",[1]Sldg_Wgt!E16)</f>
        <v>136.62</v>
      </c>
      <c r="D16" s="1054">
        <f>PRESS!L17</f>
        <v>23.648921999999999</v>
      </c>
      <c r="E16" s="1057">
        <f>IF([1]Lagoon!C16=0,0,IF([1]Lagoon!B16="",[1]Lagoon!C16/1000*8.34*[1]Lagoon!$B$36*10000/2000,[1]Lagoon!C16/1000*8.34*[1]Lagoon!B16*10000)/2000)</f>
        <v>0</v>
      </c>
      <c r="F16" s="1038">
        <f>PRESS!F17</f>
        <v>38.624400570600002</v>
      </c>
      <c r="G16" s="1039">
        <f t="shared" si="0"/>
        <v>61.227932733281065</v>
      </c>
      <c r="H16" s="1038">
        <f t="shared" si="2"/>
        <v>38.624400570600002</v>
      </c>
      <c r="I16" s="1038">
        <f>IF('DIG-2'!AK17="","",'DIG-2'!AK17)</f>
        <v>12.514495260000002</v>
      </c>
      <c r="J16" s="1044">
        <f>PRESS!L17</f>
        <v>23.648921999999999</v>
      </c>
    </row>
    <row r="17" spans="1:10" ht="23.25" x14ac:dyDescent="0.35">
      <c r="A17" s="1051">
        <v>14</v>
      </c>
      <c r="B17" s="1049">
        <f>IF([1]BP_Lab!D17="","",[1]BP_Lab!D17)</f>
        <v>18.34</v>
      </c>
      <c r="C17" s="1037">
        <f>IF([1]Sldg_Wgt!E17="","",[1]Sldg_Wgt!E17)</f>
        <v>238.57000000000002</v>
      </c>
      <c r="D17" s="1054">
        <f>PRESS!L18</f>
        <v>43.753738000000006</v>
      </c>
      <c r="E17" s="1057">
        <f>IF([1]Lagoon!C17=0,0,IF([1]Lagoon!B17="",[1]Lagoon!C17/1000*8.34*[1]Lagoon!$B$36*10000/2000,[1]Lagoon!C17/1000*8.34*[1]Lagoon!B17*10000)/2000)</f>
        <v>16.321379999999994</v>
      </c>
      <c r="F17" s="1038">
        <f>PRESS!F18</f>
        <v>41.852757941999997</v>
      </c>
      <c r="G17" s="1039" t="str">
        <f t="shared" si="0"/>
        <v/>
      </c>
      <c r="H17" s="1038">
        <f t="shared" si="2"/>
        <v>25.531377942000002</v>
      </c>
      <c r="I17" s="1038">
        <f>IF('DIG-2'!AK18="","",'DIG-2'!AK18)</f>
        <v>9.5739780600000035</v>
      </c>
      <c r="J17" s="1044">
        <f>PRESS!L18</f>
        <v>43.753738000000006</v>
      </c>
    </row>
    <row r="18" spans="1:10" ht="23.25" x14ac:dyDescent="0.35">
      <c r="A18" s="1051">
        <v>15</v>
      </c>
      <c r="B18" s="1049">
        <f>IF([1]BP_Lab!D18="","",[1]BP_Lab!D18)</f>
        <v>17.41</v>
      </c>
      <c r="C18" s="1037">
        <f>IF([1]Sldg_Wgt!E18="","",[1]Sldg_Wgt!E18)</f>
        <v>242.20000000000002</v>
      </c>
      <c r="D18" s="1054">
        <f>PRESS!L19</f>
        <v>42.167020000000001</v>
      </c>
      <c r="E18" s="1057">
        <f>IF([1]Lagoon!C18=0,0,IF([1]Lagoon!B18="",[1]Lagoon!C18/1000*8.34*[1]Lagoon!$B$36*10000/2000,[1]Lagoon!C18/1000*8.34*[1]Lagoon!B18*10000)/2000)</f>
        <v>120.22902299999998</v>
      </c>
      <c r="F18" s="1038">
        <f>PRESS!F19</f>
        <v>51.46115334720001</v>
      </c>
      <c r="G18" s="1039">
        <f t="shared" si="0"/>
        <v>81.939516037477816</v>
      </c>
      <c r="H18" s="1038" t="str">
        <f t="shared" si="2"/>
        <v/>
      </c>
      <c r="I18" s="1038">
        <f>IF('DIG-2'!AK19="","",'DIG-2'!AK19)</f>
        <v>12.773952660000003</v>
      </c>
      <c r="J18" s="1044">
        <f>PRESS!L19</f>
        <v>42.167020000000001</v>
      </c>
    </row>
    <row r="19" spans="1:10" ht="23.25" x14ac:dyDescent="0.35">
      <c r="A19" s="1051">
        <v>16</v>
      </c>
      <c r="B19" s="1049">
        <f>IF([1]BP_Lab!D19="","",[1]BP_Lab!D19)</f>
        <v>20.170000000000002</v>
      </c>
      <c r="C19" s="1037">
        <f>IF([1]Sldg_Wgt!E19="","",[1]Sldg_Wgt!E19)</f>
        <v>206.69</v>
      </c>
      <c r="D19" s="1054">
        <f>PRESS!L20</f>
        <v>41.689373000000003</v>
      </c>
      <c r="E19" s="1057">
        <f>IF([1]Lagoon!C19=0,0,IF([1]Lagoon!B19="",[1]Lagoon!C19/1000*8.34*[1]Lagoon!$B$36*10000/2000,[1]Lagoon!C19/1000*8.34*[1]Lagoon!B19*10000)/2000)</f>
        <v>0</v>
      </c>
      <c r="F19" s="1038">
        <f>PRESS!F20</f>
        <v>44.200068789600003</v>
      </c>
      <c r="G19" s="1039">
        <f t="shared" si="0"/>
        <v>94.319701624105278</v>
      </c>
      <c r="H19" s="1038">
        <f t="shared" si="2"/>
        <v>44.200068789600003</v>
      </c>
      <c r="I19" s="1038">
        <f>IF('DIG-2'!AK20="","",'DIG-2'!AK20)</f>
        <v>18.084180780000008</v>
      </c>
      <c r="J19" s="1044">
        <f>PRESS!L20</f>
        <v>41.689373000000003</v>
      </c>
    </row>
    <row r="20" spans="1:10" ht="23.25" x14ac:dyDescent="0.35">
      <c r="A20" s="1051">
        <v>17</v>
      </c>
      <c r="B20" s="1049">
        <f>IF([1]BP_Lab!D20="","",[1]BP_Lab!D20)</f>
        <v>18.27</v>
      </c>
      <c r="C20" s="1037">
        <f>IF([1]Sldg_Wgt!E20="","",[1]Sldg_Wgt!E20)</f>
        <v>170.49</v>
      </c>
      <c r="D20" s="1054">
        <f>PRESS!L21</f>
        <v>31.148523000000001</v>
      </c>
      <c r="E20" s="1057">
        <f>IF([1]Lagoon!C20=0,0,IF([1]Lagoon!B20="",[1]Lagoon!C20/1000*8.34*[1]Lagoon!$B$36*10000/2000,[1]Lagoon!C20/1000*8.34*[1]Lagoon!B20*10000)/2000)</f>
        <v>78.056561999999985</v>
      </c>
      <c r="F20" s="1038">
        <f>PRESS!F21</f>
        <v>42.8521769631</v>
      </c>
      <c r="G20" s="1039">
        <f t="shared" si="0"/>
        <v>72.688309457001424</v>
      </c>
      <c r="H20" s="1038" t="str">
        <f t="shared" si="2"/>
        <v/>
      </c>
      <c r="I20" s="1038">
        <f>IF('DIG-2'!AK21="","",'DIG-2'!AK21)</f>
        <v>12.860438460000001</v>
      </c>
      <c r="J20" s="1044">
        <f>PRESS!L21</f>
        <v>31.148523000000001</v>
      </c>
    </row>
    <row r="21" spans="1:10" ht="23.25" x14ac:dyDescent="0.35">
      <c r="A21" s="1051">
        <v>18</v>
      </c>
      <c r="B21" s="1049">
        <f>IF([1]BP_Lab!D21="","",[1]BP_Lab!D21)</f>
        <v>16.75</v>
      </c>
      <c r="C21" s="1037">
        <f>IF([1]Sldg_Wgt!E21="","",[1]Sldg_Wgt!E21)</f>
        <v>238.83</v>
      </c>
      <c r="D21" s="1054">
        <f>PRESS!L22</f>
        <v>40.004024999999999</v>
      </c>
      <c r="E21" s="1057">
        <f>IF([1]Lagoon!C21=0,0,IF([1]Lagoon!B21="",[1]Lagoon!C21/1000*8.34*[1]Lagoon!$B$36*10000/2000,[1]Lagoon!C21/1000*8.34*[1]Lagoon!B21*10000)/2000)</f>
        <v>21.586004999999993</v>
      </c>
      <c r="F21" s="1038">
        <f>PRESS!F22</f>
        <v>46.331331269999993</v>
      </c>
      <c r="G21" s="1039">
        <f t="shared" si="0"/>
        <v>86.343353198449989</v>
      </c>
      <c r="H21" s="1038">
        <f t="shared" si="2"/>
        <v>24.74532627</v>
      </c>
      <c r="I21" s="1038">
        <f>IF('DIG-2'!AK22="","",'DIG-2'!AK22)</f>
        <v>15.792307080000002</v>
      </c>
      <c r="J21" s="1044">
        <f>PRESS!L22</f>
        <v>40.004024999999999</v>
      </c>
    </row>
    <row r="22" spans="1:10" ht="23.25" x14ac:dyDescent="0.35">
      <c r="A22" s="1051">
        <v>19</v>
      </c>
      <c r="B22" s="1049">
        <f>IF([1]BP_Lab!D22="","",[1]BP_Lab!D22)</f>
        <v>15.63</v>
      </c>
      <c r="C22" s="1037">
        <f>IF([1]Sldg_Wgt!E22="","",[1]Sldg_Wgt!E22)</f>
        <v>200.86</v>
      </c>
      <c r="D22" s="1054">
        <f>PRESS!L23</f>
        <v>31.394418000000005</v>
      </c>
      <c r="E22" s="1057">
        <f>IF([1]Lagoon!C22=0,0,IF([1]Lagoon!B22="",[1]Lagoon!C22/1000*8.34*[1]Lagoon!$B$36*10000/2000,[1]Lagoon!C22/1000*8.34*[1]Lagoon!B22*10000)/2000)</f>
        <v>0</v>
      </c>
      <c r="F22" s="1038">
        <f>PRESS!F23</f>
        <v>63.054240570000005</v>
      </c>
      <c r="G22" s="1039">
        <f t="shared" si="0"/>
        <v>49.789542648043351</v>
      </c>
      <c r="H22" s="1038">
        <f t="shared" si="2"/>
        <v>63.054240570000005</v>
      </c>
      <c r="I22" s="1038">
        <f>IF('DIG-2'!AK23="","",'DIG-2'!AK23)</f>
        <v>10.015055640000002</v>
      </c>
      <c r="J22" s="1044">
        <f>PRESS!L23</f>
        <v>31.394418000000005</v>
      </c>
    </row>
    <row r="23" spans="1:10" ht="23.25" x14ac:dyDescent="0.35">
      <c r="A23" s="1051">
        <v>20</v>
      </c>
      <c r="B23" s="1049">
        <f>IF([1]BP_Lab!D23="","",[1]BP_Lab!D23)</f>
        <v>17.5</v>
      </c>
      <c r="C23" s="1037">
        <f>IF([1]Sldg_Wgt!E23="","",[1]Sldg_Wgt!E23)</f>
        <v>68.12</v>
      </c>
      <c r="D23" s="1054">
        <f>PRESS!L24</f>
        <v>11.921000000000001</v>
      </c>
      <c r="E23" s="1057">
        <f>IF([1]Lagoon!C23=0,0,IF([1]Lagoon!B23="",[1]Lagoon!C23/1000*8.34*[1]Lagoon!$B$36*10000/2000,[1]Lagoon!C23/1000*8.34*[1]Lagoon!B23*10000)/2000)</f>
        <v>0</v>
      </c>
      <c r="F23" s="1038">
        <f>PRESS!F24</f>
        <v>22.754629277099998</v>
      </c>
      <c r="G23" s="1039">
        <f t="shared" si="0"/>
        <v>52.389339570551307</v>
      </c>
      <c r="H23" s="1038">
        <f t="shared" si="2"/>
        <v>22.754629277099998</v>
      </c>
      <c r="I23" s="1038">
        <f>IF('DIG-2'!AK24="","",'DIG-2'!AK24)</f>
        <v>13.586919180000001</v>
      </c>
      <c r="J23" s="1044">
        <f>PRESS!L24</f>
        <v>11.921000000000001</v>
      </c>
    </row>
    <row r="24" spans="1:10" ht="23.25" x14ac:dyDescent="0.35">
      <c r="A24" s="1051">
        <v>21</v>
      </c>
      <c r="B24" s="1049">
        <f>IF([1]BP_Lab!D24="","",[1]BP_Lab!D24)</f>
        <v>18.149999999999999</v>
      </c>
      <c r="C24" s="1037">
        <f>IF([1]Sldg_Wgt!E24="","",[1]Sldg_Wgt!E24)</f>
        <v>271.33</v>
      </c>
      <c r="D24" s="1054">
        <f>PRESS!L25</f>
        <v>49.246394999999993</v>
      </c>
      <c r="E24" s="1057">
        <f>IF([1]Lagoon!C24=0,0,IF([1]Lagoon!B24="",[1]Lagoon!C24/1000*8.34*[1]Lagoon!$B$36*10000/2000,[1]Lagoon!C24/1000*8.34*[1]Lagoon!B24*10000)/2000)</f>
        <v>0</v>
      </c>
      <c r="F24" s="1038">
        <f>PRESS!F25</f>
        <v>39.341503419300004</v>
      </c>
      <c r="G24" s="1039" t="str">
        <f t="shared" si="0"/>
        <v/>
      </c>
      <c r="H24" s="1038">
        <f t="shared" si="2"/>
        <v>39.341503419300004</v>
      </c>
      <c r="I24" s="1038">
        <f>IF('DIG-2'!AK25="","",'DIG-2'!AK25)</f>
        <v>9.7555982400000012</v>
      </c>
      <c r="J24" s="1044">
        <f>PRESS!L25</f>
        <v>49.246394999999993</v>
      </c>
    </row>
    <row r="25" spans="1:10" ht="23.25" x14ac:dyDescent="0.35">
      <c r="A25" s="1051">
        <v>22</v>
      </c>
      <c r="B25" s="1049">
        <f>IF([1]BP_Lab!D25="","",[1]BP_Lab!D25)</f>
        <v>18.3</v>
      </c>
      <c r="C25" s="1037">
        <f>IF([1]Sldg_Wgt!E25="","",[1]Sldg_Wgt!E25)</f>
        <v>240.43</v>
      </c>
      <c r="D25" s="1054">
        <f>PRESS!L26</f>
        <v>43.998690000000003</v>
      </c>
      <c r="E25" s="1057">
        <f>IF([1]Lagoon!C25=0,0,IF([1]Lagoon!B25="",[1]Lagoon!C25/1000*8.34*[1]Lagoon!$B$36*10000/2000,[1]Lagoon!C25/1000*8.34*[1]Lagoon!B25*10000)/2000)</f>
        <v>58.713933599999997</v>
      </c>
      <c r="F25" s="1038">
        <f>PRESS!F26</f>
        <v>60.860323339199994</v>
      </c>
      <c r="G25" s="1039">
        <f t="shared" si="0"/>
        <v>72.294538684549764</v>
      </c>
      <c r="H25" s="1038">
        <f t="shared" si="2"/>
        <v>2.1463897391999964</v>
      </c>
      <c r="I25" s="1038">
        <f>IF('DIG-2'!AK26="","",'DIG-2'!AK26)</f>
        <v>13.941510960000004</v>
      </c>
      <c r="J25" s="1044">
        <f>PRESS!L26</f>
        <v>43.998690000000003</v>
      </c>
    </row>
    <row r="26" spans="1:10" ht="23.25" x14ac:dyDescent="0.35">
      <c r="A26" s="1051">
        <v>23</v>
      </c>
      <c r="B26" s="1049">
        <f>IF([1]BP_Lab!D26="","",[1]BP_Lab!D26)</f>
        <v>18.559999999999999</v>
      </c>
      <c r="C26" s="1037">
        <f>IF([1]Sldg_Wgt!E26="","",[1]Sldg_Wgt!E26)</f>
        <v>241.9</v>
      </c>
      <c r="D26" s="1054">
        <f>PRESS!L27</f>
        <v>44.896639999999998</v>
      </c>
      <c r="E26" s="1057">
        <f>IF([1]Lagoon!C26=0,0,IF([1]Lagoon!B26="",[1]Lagoon!C26/1000*8.34*[1]Lagoon!$B$36*10000/2000,[1]Lagoon!C26/1000*8.34*[1]Lagoon!B26*10000)/2000)</f>
        <v>90.712512000000004</v>
      </c>
      <c r="F26" s="1038">
        <f>PRESS!F27</f>
        <v>61.304744091600014</v>
      </c>
      <c r="G26" s="1039">
        <f t="shared" si="0"/>
        <v>73.235180515420737</v>
      </c>
      <c r="H26" s="1038" t="str">
        <f t="shared" si="2"/>
        <v/>
      </c>
      <c r="I26" s="1038">
        <f>IF('DIG-2'!AK27="","",'DIG-2'!AK27)</f>
        <v>11.243154000000002</v>
      </c>
      <c r="J26" s="1044">
        <f>PRESS!L27</f>
        <v>44.896639999999998</v>
      </c>
    </row>
    <row r="27" spans="1:10" ht="23.25" x14ac:dyDescent="0.35">
      <c r="A27" s="1051">
        <v>24</v>
      </c>
      <c r="B27" s="1049">
        <f>IF([1]BP_Lab!D27="","",[1]BP_Lab!D27)</f>
        <v>18.489999999999998</v>
      </c>
      <c r="C27" s="1037">
        <f>IF([1]Sldg_Wgt!E27="","",[1]Sldg_Wgt!E27)</f>
        <v>206.76999999999998</v>
      </c>
      <c r="D27" s="1054">
        <f>PRESS!L28</f>
        <v>38.231772999999997</v>
      </c>
      <c r="E27" s="1057">
        <f>IF([1]Lagoon!C27=0,0,IF([1]Lagoon!B27="",[1]Lagoon!C27/1000*8.34*[1]Lagoon!$B$36*10000/2000,[1]Lagoon!C27/1000*8.34*[1]Lagoon!B27*10000)/2000)</f>
        <v>107.441301</v>
      </c>
      <c r="F27" s="1038">
        <f>PRESS!F28</f>
        <v>41.904968343599997</v>
      </c>
      <c r="G27" s="1039">
        <f t="shared" si="0"/>
        <v>91.234463385148942</v>
      </c>
      <c r="H27" s="1038" t="str">
        <f t="shared" si="2"/>
        <v/>
      </c>
      <c r="I27" s="1038">
        <f>IF('DIG-2'!AK28="","",'DIG-2'!AK28)</f>
        <v>16.224736080000003</v>
      </c>
      <c r="J27" s="1044">
        <f>PRESS!L28</f>
        <v>38.231772999999997</v>
      </c>
    </row>
    <row r="28" spans="1:10" ht="23.25" x14ac:dyDescent="0.35">
      <c r="A28" s="1051">
        <v>25</v>
      </c>
      <c r="B28" s="1049">
        <f>IF([1]BP_Lab!D28="","",[1]BP_Lab!D28)</f>
        <v>18.739999999999998</v>
      </c>
      <c r="C28" s="1037">
        <f>IF([1]Sldg_Wgt!E28="","",[1]Sldg_Wgt!E28)</f>
        <v>271.79999999999995</v>
      </c>
      <c r="D28" s="1054">
        <f>PRESS!L29</f>
        <v>50.935319999999983</v>
      </c>
      <c r="E28" s="1057">
        <f>IF([1]Lagoon!C28=0,0,IF([1]Lagoon!B28="",[1]Lagoon!C28/1000*8.34*[1]Lagoon!$B$36*10000/2000,[1]Lagoon!C28/1000*8.34*[1]Lagoon!B28*10000)/2000)</f>
        <v>84.312395999999993</v>
      </c>
      <c r="F28" s="1038">
        <f>PRESS!F29</f>
        <v>62.083737079499997</v>
      </c>
      <c r="G28" s="1039">
        <f t="shared" si="0"/>
        <v>82.042934907052796</v>
      </c>
      <c r="H28" s="1038" t="str">
        <f t="shared" si="2"/>
        <v/>
      </c>
      <c r="I28" s="1038">
        <f>IF('DIG-2'!AK29="","",'DIG-2'!AK29)</f>
        <v>10.395593160000001</v>
      </c>
      <c r="J28" s="1044">
        <f>PRESS!L29</f>
        <v>50.935319999999983</v>
      </c>
    </row>
    <row r="29" spans="1:10" ht="23.25" x14ac:dyDescent="0.35">
      <c r="A29" s="1051">
        <v>26</v>
      </c>
      <c r="B29" s="1049">
        <f>IF([1]BP_Lab!D29="","",[1]BP_Lab!D29)</f>
        <v>19.73</v>
      </c>
      <c r="C29" s="1037">
        <f>IF([1]Sldg_Wgt!E29="","",[1]Sldg_Wgt!E29)</f>
        <v>170.38</v>
      </c>
      <c r="D29" s="1054">
        <f>PRESS!L30</f>
        <v>33.615974000000001</v>
      </c>
      <c r="E29" s="1057">
        <f>IF([1]Lagoon!C29=0,0,IF([1]Lagoon!B29="",[1]Lagoon!C29/1000*8.34*[1]Lagoon!$B$36*10000/2000,[1]Lagoon!C29/1000*8.34*[1]Lagoon!B29*10000)/2000)</f>
        <v>0</v>
      </c>
      <c r="F29" s="1038">
        <f>PRESS!F30</f>
        <v>59.117930789399999</v>
      </c>
      <c r="G29" s="1039">
        <f t="shared" si="0"/>
        <v>56.862568684537642</v>
      </c>
      <c r="H29" s="1038">
        <f t="shared" si="2"/>
        <v>59.117930789399999</v>
      </c>
      <c r="I29" s="1038">
        <f>IF('DIG-2'!AK30="","",'DIG-2'!AK30)</f>
        <v>13.543676280000001</v>
      </c>
      <c r="J29" s="1044">
        <f>PRESS!L30</f>
        <v>33.615974000000001</v>
      </c>
    </row>
    <row r="30" spans="1:10" ht="23.25" x14ac:dyDescent="0.35">
      <c r="A30" s="1051">
        <v>27</v>
      </c>
      <c r="B30" s="1049">
        <f>IF([1]BP_Lab!D30="","",[1]BP_Lab!D30)</f>
        <v>18.399999999999999</v>
      </c>
      <c r="C30" s="1037">
        <f>IF([1]Sldg_Wgt!E30="","",[1]Sldg_Wgt!E30)</f>
        <v>67.800000000000011</v>
      </c>
      <c r="D30" s="1054">
        <f>PRESS!L31</f>
        <v>12.475200000000003</v>
      </c>
      <c r="E30" s="1057">
        <f>IF([1]Lagoon!C30=0,0,IF([1]Lagoon!B30="",[1]Lagoon!C30/1000*8.34*[1]Lagoon!$B$36*10000/2000,[1]Lagoon!C30/1000*8.34*[1]Lagoon!B30*10000)/2000)</f>
        <v>0</v>
      </c>
      <c r="F30" s="1038">
        <f>PRESS!F31</f>
        <v>34.047947376300009</v>
      </c>
      <c r="G30" s="1039">
        <f t="shared" si="0"/>
        <v>36.64009422395813</v>
      </c>
      <c r="H30" s="1038">
        <f t="shared" si="2"/>
        <v>34.047947376300009</v>
      </c>
      <c r="I30" s="1038">
        <f>IF('DIG-2'!AK31="","",'DIG-2'!AK31)</f>
        <v>9.9631641600000016</v>
      </c>
      <c r="J30" s="1044">
        <f>PRESS!L31</f>
        <v>12.475200000000003</v>
      </c>
    </row>
    <row r="31" spans="1:10" ht="23.25" x14ac:dyDescent="0.35">
      <c r="A31" s="1051">
        <v>28</v>
      </c>
      <c r="B31" s="1049">
        <f>IF([1]BP_Lab!D31="","",[1]BP_Lab!D31)</f>
        <v>19.37</v>
      </c>
      <c r="C31" s="1037">
        <f>IF([1]Sldg_Wgt!E31="","",[1]Sldg_Wgt!E31)</f>
        <v>236.85999999999999</v>
      </c>
      <c r="D31" s="1054">
        <f>PRESS!L32</f>
        <v>45.879781999999999</v>
      </c>
      <c r="E31" s="1057">
        <f>IF([1]Lagoon!C31=0,0,IF([1]Lagoon!B31="",[1]Lagoon!C31/1000*8.34*[1]Lagoon!$B$36*10000/2000,[1]Lagoon!C31/1000*8.34*[1]Lagoon!B31*10000)/2000)</f>
        <v>76.561199999999999</v>
      </c>
      <c r="F31" s="1038">
        <f>PRESS!F32</f>
        <v>44.281764719099996</v>
      </c>
      <c r="G31" s="1039" t="str">
        <f t="shared" si="0"/>
        <v/>
      </c>
      <c r="H31" s="1038" t="str">
        <f t="shared" si="2"/>
        <v/>
      </c>
      <c r="I31" s="1038">
        <f>IF('DIG-2'!AK32="","",'DIG-2'!AK32)</f>
        <v>9.8334354600000005</v>
      </c>
      <c r="J31" s="1044">
        <f>PRESS!L32</f>
        <v>45.879781999999999</v>
      </c>
    </row>
    <row r="32" spans="1:10" s="1" customFormat="1" ht="21.75" customHeight="1" x14ac:dyDescent="0.35">
      <c r="A32" s="1051">
        <v>29</v>
      </c>
      <c r="B32" s="1049">
        <f>IF([1]BP_Lab!D32="","",[1]BP_Lab!D32)</f>
        <v>18.91</v>
      </c>
      <c r="C32" s="1037">
        <f>IF([1]Sldg_Wgt!E32="","",[1]Sldg_Wgt!E32)</f>
        <v>170.64</v>
      </c>
      <c r="D32" s="1054">
        <f>PRESS!L33</f>
        <v>32.268023999999997</v>
      </c>
      <c r="E32" s="1057">
        <f>IF([1]Lagoon!C32=0,0,IF([1]Lagoon!B32="",[1]Lagoon!C32/1000*8.34*[1]Lagoon!$B$36*10000/2000,[1]Lagoon!C32/1000*8.34*[1]Lagoon!B32*10000)/2000)</f>
        <v>46.236959999999989</v>
      </c>
      <c r="F32" s="1038">
        <f>PRESS!F33</f>
        <v>33.348392388000001</v>
      </c>
      <c r="G32" s="1039">
        <f t="shared" si="0"/>
        <v>96.760358414192225</v>
      </c>
      <c r="H32" s="1038" t="str">
        <f t="shared" si="2"/>
        <v/>
      </c>
      <c r="I32" s="1038">
        <f>IF('DIG-2'!AK33="","",'DIG-2'!AK33)</f>
        <v>10.127487180000001</v>
      </c>
      <c r="J32" s="1044">
        <f>PRESS!L33</f>
        <v>32.268023999999997</v>
      </c>
    </row>
    <row r="33" spans="1:10" ht="23.25" x14ac:dyDescent="0.35">
      <c r="A33" s="1051">
        <v>30</v>
      </c>
      <c r="B33" s="1049">
        <f>IF([1]BP_Lab!D33="","",[1]BP_Lab!D33)</f>
        <v>19.36</v>
      </c>
      <c r="C33" s="1037">
        <f>IF([1]Sldg_Wgt!E33="","",[1]Sldg_Wgt!E33)</f>
        <v>238.97000000000003</v>
      </c>
      <c r="D33" s="1054">
        <f>PRESS!L34</f>
        <v>46.264592</v>
      </c>
      <c r="E33" s="1057">
        <f>IF([1]Lagoon!C33=0,0,IF([1]Lagoon!B33="",[1]Lagoon!C33/1000*8.34*[1]Lagoon!$B$36*10000/2000,[1]Lagoon!C33/1000*8.34*[1]Lagoon!B33*10000)/2000)</f>
        <v>71.704401000000004</v>
      </c>
      <c r="F33" s="1038">
        <f>PRESS!F34</f>
        <v>56.787123884399996</v>
      </c>
      <c r="G33" s="1039">
        <f t="shared" si="0"/>
        <v>81.470215139226937</v>
      </c>
      <c r="H33" s="1038" t="str">
        <f t="shared" ref="H33" si="3">IF(OR(F33="",E33=""),"",IF(F33-E33&lt;=0,"",F33-E33))</f>
        <v/>
      </c>
      <c r="I33" s="1038">
        <f>IF('DIG-2'!AK34="","",'DIG-2'!AK34)</f>
        <v>13.336110360000003</v>
      </c>
      <c r="J33" s="1044">
        <f>PRESS!L34</f>
        <v>46.264592</v>
      </c>
    </row>
    <row r="34" spans="1:10" ht="24" thickBot="1" x14ac:dyDescent="0.4">
      <c r="A34" s="1051">
        <v>31</v>
      </c>
      <c r="B34" s="1049">
        <f>IF([1]BP_Lab!D34="","",[1]BP_Lab!D34)</f>
        <v>18.440000000000001</v>
      </c>
      <c r="C34" s="1037">
        <f>IF([1]Sldg_Wgt!E34="","",[1]Sldg_Wgt!E34)</f>
        <v>205.09999999999997</v>
      </c>
      <c r="D34" s="1054">
        <f>PRESS!L35</f>
        <v>37.820439999999991</v>
      </c>
      <c r="E34" s="1057">
        <f>IF([1]Lagoon!C34=0,0,IF([1]Lagoon!B34="",[1]Lagoon!C34/1000*8.34*[1]Lagoon!$B$36*10000/2000,[1]Lagoon!C34/1000*8.34*[1]Lagoon!B34*10000)/2000)</f>
        <v>101.49863400000001</v>
      </c>
      <c r="F34" s="1038">
        <f>PRESS!F35</f>
        <v>60.954788475900003</v>
      </c>
      <c r="G34" s="1039">
        <f t="shared" ref="G34" si="4">IF(OR(D34="",F34="",D34=0,F34=0),"",IF(D34/F34*100&lt;100,D34/F34*100,""))</f>
        <v>62.046708627252876</v>
      </c>
      <c r="H34" s="1038" t="str">
        <f t="shared" ref="H34" si="5">IF(OR(F34="",E34=""),"",IF(F34-E34&lt;=0,"",F34-E34))</f>
        <v/>
      </c>
      <c r="I34" s="1038">
        <f>IF('DIG-2'!AK35="","",'DIG-2'!AK35)</f>
        <v>5.2496880600000004</v>
      </c>
      <c r="J34" s="1044">
        <f>PRESS!L35</f>
        <v>37.820439999999991</v>
      </c>
    </row>
    <row r="35" spans="1:10" ht="23.25" x14ac:dyDescent="0.35">
      <c r="A35" s="1050" t="s">
        <v>494</v>
      </c>
      <c r="B35" s="1064">
        <f t="shared" ref="B35:J35" si="6">MAX(B4:B34)</f>
        <v>20.170000000000002</v>
      </c>
      <c r="C35" s="1041">
        <f t="shared" si="6"/>
        <v>273.09000000000003</v>
      </c>
      <c r="D35" s="1053">
        <f t="shared" si="6"/>
        <v>52.924842000000005</v>
      </c>
      <c r="E35" s="1056">
        <f t="shared" si="6"/>
        <v>120.22902299999998</v>
      </c>
      <c r="F35" s="1041">
        <f t="shared" si="6"/>
        <v>63.054240570000005</v>
      </c>
      <c r="G35" s="1042">
        <f t="shared" si="6"/>
        <v>96.760358414192225</v>
      </c>
      <c r="H35" s="1041">
        <f t="shared" si="6"/>
        <v>63.054240570000005</v>
      </c>
      <c r="I35" s="1041">
        <f t="shared" si="6"/>
        <v>41.936964420000002</v>
      </c>
      <c r="J35" s="1043">
        <f t="shared" si="6"/>
        <v>52.924842000000005</v>
      </c>
    </row>
    <row r="36" spans="1:10" ht="23.25" x14ac:dyDescent="0.35">
      <c r="A36" s="1051" t="s">
        <v>495</v>
      </c>
      <c r="B36" s="1065">
        <f t="shared" ref="B36:J36" si="7">MIN(B4:B34)</f>
        <v>15.63</v>
      </c>
      <c r="C36" s="1038">
        <f t="shared" si="7"/>
        <v>67.800000000000011</v>
      </c>
      <c r="D36" s="1054">
        <f t="shared" si="7"/>
        <v>11.921000000000001</v>
      </c>
      <c r="E36" s="1057">
        <f t="shared" si="7"/>
        <v>0</v>
      </c>
      <c r="F36" s="1038">
        <f t="shared" si="7"/>
        <v>22.754629277099998</v>
      </c>
      <c r="G36" s="1039">
        <f t="shared" si="7"/>
        <v>36.64009422395813</v>
      </c>
      <c r="H36" s="1038">
        <f t="shared" si="7"/>
        <v>0.28329145199997896</v>
      </c>
      <c r="I36" s="1038">
        <f t="shared" si="7"/>
        <v>5.2496880600000004</v>
      </c>
      <c r="J36" s="1044">
        <f t="shared" si="7"/>
        <v>11.921000000000001</v>
      </c>
    </row>
    <row r="37" spans="1:10" ht="23.25" x14ac:dyDescent="0.35">
      <c r="A37" s="1051" t="s">
        <v>498</v>
      </c>
      <c r="B37" s="1065">
        <f t="shared" ref="B37:I37" si="8">STDEV(B4:B34)</f>
        <v>0.97230719956327627</v>
      </c>
      <c r="C37" s="1038">
        <f t="shared" si="8"/>
        <v>54.915085926961552</v>
      </c>
      <c r="D37" s="1054">
        <f t="shared" si="8"/>
        <v>10.429598086769563</v>
      </c>
      <c r="E37" s="1057">
        <f t="shared" si="8"/>
        <v>40.017822552288465</v>
      </c>
      <c r="F37" s="1038">
        <f t="shared" si="8"/>
        <v>10.314814873952113</v>
      </c>
      <c r="G37" s="1039">
        <f t="shared" si="8"/>
        <v>16.741672776159756</v>
      </c>
      <c r="H37" s="1038">
        <f t="shared" si="8"/>
        <v>18.106616230463391</v>
      </c>
      <c r="I37" s="1038">
        <f t="shared" si="8"/>
        <v>7.1517042730627054</v>
      </c>
      <c r="J37" s="1044">
        <f>STDEV(J4:J34)</f>
        <v>10.429598086769563</v>
      </c>
    </row>
    <row r="38" spans="1:10" ht="23.25" x14ac:dyDescent="0.35">
      <c r="A38" s="1051" t="s">
        <v>497</v>
      </c>
      <c r="B38" s="1065">
        <f>SUM(B4:B34)</f>
        <v>575.58000000000004</v>
      </c>
      <c r="C38" s="1038">
        <f>SUM(C4:C34)</f>
        <v>6279.6400000000012</v>
      </c>
      <c r="D38" s="1054">
        <f>SUM(D4:D34)</f>
        <v>1167.2248729999999</v>
      </c>
      <c r="E38" s="1057">
        <f>SUM(E4:E34)</f>
        <v>1439.5653984</v>
      </c>
      <c r="F38" s="1038">
        <f>SUM(F4:F34)</f>
        <v>1495.3960457148</v>
      </c>
      <c r="G38" s="1039"/>
      <c r="H38" s="1038">
        <f>SUM(H4:H34)</f>
        <v>518.17008161820002</v>
      </c>
      <c r="I38" s="1038">
        <f>SUM(I4:I34)</f>
        <v>429.73064304000002</v>
      </c>
      <c r="J38" s="1044">
        <f>SUM(J4:J34)</f>
        <v>1167.2248729999999</v>
      </c>
    </row>
    <row r="39" spans="1:10" ht="24" thickBot="1" x14ac:dyDescent="0.4">
      <c r="A39" s="1052" t="s">
        <v>496</v>
      </c>
      <c r="B39" s="1066">
        <f t="shared" ref="B39:J39" si="9">AVERAGE(B4:B34)</f>
        <v>18.567096774193551</v>
      </c>
      <c r="C39" s="1045">
        <f t="shared" si="9"/>
        <v>202.56903225806457</v>
      </c>
      <c r="D39" s="1055">
        <f t="shared" si="9"/>
        <v>37.652415258064515</v>
      </c>
      <c r="E39" s="1058">
        <f t="shared" si="9"/>
        <v>46.437593496774198</v>
      </c>
      <c r="F39" s="1045">
        <f t="shared" si="9"/>
        <v>48.238582119832259</v>
      </c>
      <c r="G39" s="1046">
        <f t="shared" si="9"/>
        <v>74.133425683923122</v>
      </c>
      <c r="H39" s="1045">
        <f t="shared" si="9"/>
        <v>28.787226756566668</v>
      </c>
      <c r="I39" s="1045">
        <f t="shared" si="9"/>
        <v>13.862278807741935</v>
      </c>
      <c r="J39" s="1047">
        <f t="shared" si="9"/>
        <v>37.652415258064515</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verticalCentered="1"/>
  <pageMargins left="0.25" right="0.25" top="0.25" bottom="0.25" header="0.25" footer="0.25"/>
  <pageSetup paperSize="3" scale="8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55" zoomScaleNormal="55" workbookViewId="0">
      <selection activeCell="E29" sqref="E29"/>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89" t="s">
        <v>479</v>
      </c>
      <c r="B1" s="1682" t="s">
        <v>63</v>
      </c>
      <c r="C1" s="1683"/>
      <c r="D1" s="1684"/>
      <c r="E1" s="1147"/>
      <c r="F1" s="687" t="s">
        <v>64</v>
      </c>
      <c r="G1" s="1682" t="s">
        <v>678</v>
      </c>
      <c r="H1" s="1683"/>
      <c r="I1" s="1684"/>
      <c r="J1" s="1147"/>
      <c r="K1" s="1682" t="s">
        <v>65</v>
      </c>
      <c r="L1" s="1683"/>
      <c r="M1" s="1683"/>
      <c r="N1" s="1684"/>
      <c r="O1" s="1148"/>
      <c r="P1" s="1688" t="s">
        <v>66</v>
      </c>
      <c r="Q1" s="1688"/>
      <c r="R1" s="1688"/>
      <c r="S1" s="1688"/>
      <c r="T1" s="1688" t="s">
        <v>69</v>
      </c>
      <c r="U1" s="1688"/>
      <c r="V1" s="1688"/>
      <c r="W1" s="1688"/>
      <c r="X1" s="1682" t="s">
        <v>67</v>
      </c>
      <c r="Y1" s="1683"/>
      <c r="Z1" s="1683"/>
      <c r="AA1" s="1684"/>
      <c r="AB1" s="1682" t="s">
        <v>325</v>
      </c>
      <c r="AC1" s="1683"/>
      <c r="AD1" s="1683"/>
      <c r="AE1" s="1684"/>
      <c r="AF1" s="1682" t="s">
        <v>326</v>
      </c>
      <c r="AG1" s="1683"/>
      <c r="AH1" s="1683"/>
      <c r="AI1" s="1684"/>
      <c r="AJ1" s="19"/>
    </row>
    <row r="2" spans="1:74" ht="20.100000000000001" customHeight="1" x14ac:dyDescent="0.3">
      <c r="A2" s="674">
        <f>IF(date!B6="","",date!B6)</f>
        <v>43466</v>
      </c>
      <c r="B2" s="345" t="s">
        <v>599</v>
      </c>
      <c r="C2" s="346" t="s">
        <v>68</v>
      </c>
      <c r="D2" s="347" t="s">
        <v>506</v>
      </c>
      <c r="E2" s="156"/>
      <c r="F2" s="155"/>
      <c r="G2" s="345" t="s">
        <v>599</v>
      </c>
      <c r="H2" s="346" t="s">
        <v>68</v>
      </c>
      <c r="I2" s="347" t="s">
        <v>506</v>
      </c>
      <c r="J2" s="156"/>
      <c r="K2" s="351" t="s">
        <v>78</v>
      </c>
      <c r="L2" s="352" t="s">
        <v>79</v>
      </c>
      <c r="M2" s="353" t="s">
        <v>308</v>
      </c>
      <c r="N2" s="354" t="s">
        <v>84</v>
      </c>
      <c r="O2" s="161"/>
      <c r="P2" s="351" t="s">
        <v>78</v>
      </c>
      <c r="Q2" s="352" t="s">
        <v>79</v>
      </c>
      <c r="R2" s="353" t="s">
        <v>621</v>
      </c>
      <c r="S2" s="354" t="s">
        <v>84</v>
      </c>
      <c r="T2" s="351" t="s">
        <v>78</v>
      </c>
      <c r="U2" s="352" t="s">
        <v>79</v>
      </c>
      <c r="V2" s="353" t="s">
        <v>621</v>
      </c>
      <c r="W2" s="354" t="s">
        <v>84</v>
      </c>
      <c r="X2" s="351" t="s">
        <v>78</v>
      </c>
      <c r="Y2" s="352" t="s">
        <v>79</v>
      </c>
      <c r="Z2" s="353" t="s">
        <v>308</v>
      </c>
      <c r="AA2" s="354" t="s">
        <v>84</v>
      </c>
      <c r="AB2" s="351" t="s">
        <v>78</v>
      </c>
      <c r="AC2" s="352" t="s">
        <v>79</v>
      </c>
      <c r="AD2" s="353" t="s">
        <v>308</v>
      </c>
      <c r="AE2" s="354" t="s">
        <v>84</v>
      </c>
      <c r="AF2" s="351" t="s">
        <v>78</v>
      </c>
      <c r="AG2" s="352" t="s">
        <v>79</v>
      </c>
      <c r="AH2" s="353" t="s">
        <v>308</v>
      </c>
      <c r="AI2" s="354" t="s">
        <v>84</v>
      </c>
      <c r="AJ2" s="150"/>
      <c r="AK2" s="167">
        <f>date!B6</f>
        <v>43466</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43466</v>
      </c>
      <c r="B3" s="348" t="s">
        <v>506</v>
      </c>
      <c r="C3" s="349" t="s">
        <v>506</v>
      </c>
      <c r="D3" s="350" t="s">
        <v>309</v>
      </c>
      <c r="E3" s="158"/>
      <c r="F3" s="157"/>
      <c r="G3" s="348" t="s">
        <v>506</v>
      </c>
      <c r="H3" s="349" t="s">
        <v>506</v>
      </c>
      <c r="I3" s="350" t="s">
        <v>309</v>
      </c>
      <c r="J3" s="158"/>
      <c r="K3" s="355" t="s">
        <v>623</v>
      </c>
      <c r="L3" s="356" t="s">
        <v>623</v>
      </c>
      <c r="M3" s="357" t="s">
        <v>82</v>
      </c>
      <c r="N3" s="358" t="s">
        <v>98</v>
      </c>
      <c r="O3" s="162"/>
      <c r="P3" s="355" t="s">
        <v>623</v>
      </c>
      <c r="Q3" s="356" t="s">
        <v>623</v>
      </c>
      <c r="R3" s="357" t="s">
        <v>82</v>
      </c>
      <c r="S3" s="358" t="s">
        <v>98</v>
      </c>
      <c r="T3" s="355" t="s">
        <v>623</v>
      </c>
      <c r="U3" s="356" t="s">
        <v>623</v>
      </c>
      <c r="V3" s="357" t="s">
        <v>82</v>
      </c>
      <c r="W3" s="358" t="s">
        <v>98</v>
      </c>
      <c r="X3" s="355" t="s">
        <v>623</v>
      </c>
      <c r="Y3" s="356" t="s">
        <v>623</v>
      </c>
      <c r="Z3" s="357" t="s">
        <v>82</v>
      </c>
      <c r="AA3" s="358" t="s">
        <v>98</v>
      </c>
      <c r="AB3" s="355" t="s">
        <v>623</v>
      </c>
      <c r="AC3" s="356" t="s">
        <v>623</v>
      </c>
      <c r="AD3" s="357" t="s">
        <v>82</v>
      </c>
      <c r="AE3" s="358" t="s">
        <v>98</v>
      </c>
      <c r="AF3" s="355" t="s">
        <v>623</v>
      </c>
      <c r="AG3" s="356" t="s">
        <v>623</v>
      </c>
      <c r="AH3" s="357" t="s">
        <v>82</v>
      </c>
      <c r="AI3" s="358" t="s">
        <v>98</v>
      </c>
      <c r="AJ3" s="344"/>
      <c r="AK3" s="536">
        <f>date!B6</f>
        <v>43466</v>
      </c>
      <c r="AL3" s="153"/>
      <c r="AM3" s="153"/>
      <c r="AN3" s="153"/>
      <c r="AO3" s="154"/>
      <c r="AU3" s="1"/>
    </row>
    <row r="4" spans="1:74" ht="20.100000000000001" customHeight="1" x14ac:dyDescent="0.25">
      <c r="A4" s="1087">
        <v>1</v>
      </c>
      <c r="B4" s="1091">
        <f>IF([2]PRI_SLG!B4="","",[2]PRI_SLG!B4)</f>
        <v>4.1900000000000004</v>
      </c>
      <c r="C4" s="1082">
        <f>IF([2]PRI_SLG!C4="","",[2]PRI_SLG!C4)</f>
        <v>3.49</v>
      </c>
      <c r="D4" s="1092">
        <f>IF(OR(B4="",C4="",ISTEXT(B4)=TRUE,ISTEXT(C4)=TRUE),"",(C4/B4)*100)</f>
        <v>83.293556085918851</v>
      </c>
      <c r="E4" s="1089"/>
      <c r="F4" s="937"/>
      <c r="G4" s="937">
        <f>IF([2]TWAS!B4="","",[2]TWAS!B4)</f>
        <v>4.07</v>
      </c>
      <c r="H4" s="1082">
        <f>IF([2]TWAS!C4="","",[2]TWAS!C4)</f>
        <v>3.08</v>
      </c>
      <c r="I4" s="1083">
        <f>IF(OR(G4="",H4="",ISTEXT(G4)=TRUE,ISTEXT(H4)=TRUE),"",(H4/G4)*100)</f>
        <v>75.675675675675663</v>
      </c>
      <c r="J4" s="1095"/>
      <c r="K4" s="1099">
        <f>IF([1]Digesters!C4="","",[1]Digesters!C4*10)</f>
        <v>5720</v>
      </c>
      <c r="L4" s="1084">
        <f>IF([1]Digesters!B4="","",[1]Digesters!B4*10)</f>
        <v>1810</v>
      </c>
      <c r="M4" s="1083">
        <f>IF(OR(K4="",B4="",D4="",L4="",G4="",I4=""),"",(((K4*100)*(B4/100)*(D4/100)*8.34))+(((L4*100)*(G4/100)*(I4/100)*8.34)))</f>
        <v>212983.584</v>
      </c>
      <c r="N4" s="1085">
        <f t="shared" ref="N4:N5" si="0">IF(M4="","",M4/314430)</f>
        <v>0.67736406831409213</v>
      </c>
      <c r="O4" s="1097"/>
      <c r="P4" s="1083">
        <f>IF([1]Digesters!E4="","",[1]Digesters!E4*10)</f>
        <v>5670</v>
      </c>
      <c r="Q4" s="1083">
        <f>IF([1]Digesters!D4="","",[1]Digesters!D4*10)</f>
        <v>1820</v>
      </c>
      <c r="R4" s="1083">
        <f>IF(OR(P4="",$B4="",$D4="",Q4="",$G4="",$I4=""),"",((P4*100)*($B4/100)*($D4/100)*8.34)+((Q4*100)*($G4/100)*($I4/100)*8.34))</f>
        <v>211785.12600000002</v>
      </c>
      <c r="S4" s="1101">
        <f t="shared" ref="S4:S5" si="1">IF(R4="","",R4/314430)</f>
        <v>0.67355254269630771</v>
      </c>
      <c r="T4" s="1105" t="str">
        <f>IF([1]Digesters!G4="","",[1]Digesters!G4*10)</f>
        <v/>
      </c>
      <c r="U4" s="1083">
        <f>IF([1]Digesters!F4="","",[1]Digesters!F4*10)</f>
        <v>11690</v>
      </c>
      <c r="V4" s="1083">
        <f>IF(OR(U4="",$G4="",$I4=""),"",((U4*100)*($G4/100)*($I4/100)*8.34))</f>
        <v>300283.36799999996</v>
      </c>
      <c r="W4" s="1085">
        <f t="shared" ref="W4:W5" si="2">IF(V4="","",V4/314430)</f>
        <v>0.95500864421333831</v>
      </c>
      <c r="X4" s="1103">
        <f>IF([1]Digesters!I4="","",[1]Digesters!I4*10)</f>
        <v>5850</v>
      </c>
      <c r="Y4" s="1083">
        <f>IF([1]Digesters!H4="","",[1]Digesters!H4*10)</f>
        <v>1880</v>
      </c>
      <c r="Z4" s="1083">
        <f>IF(OR(X4="",$B4="",$D4="",Y4="",$G4="",$I4=""),"",((X4*100)*($B4/100)*($D4/100)*8.34)+((Y4*100)*($G4/100)*($I4/100)*8.34))</f>
        <v>218565.546</v>
      </c>
      <c r="AA4" s="1101">
        <f t="shared" ref="AA4:AA5" si="3">IF(Z4="","",Z4/314430)</f>
        <v>0.69511670642114298</v>
      </c>
      <c r="AB4" s="1105">
        <f>IF([1]Digesters!K4="","",[1]Digesters!K4*10)</f>
        <v>5040</v>
      </c>
      <c r="AC4" s="1083">
        <f>IF([1]Digesters!J4="","",[1]Digesters!J4*10)</f>
        <v>1880</v>
      </c>
      <c r="AD4" s="1083">
        <f>IF(OR(AB4="",$B4="",$D4="",AC4="",$G4="",$I4=""),"",((AB4*100)*($B4/100)*($D4/100)*8.34)+((AC4*100)*($G4/100)*($I4/100)*8.34))</f>
        <v>194989.2</v>
      </c>
      <c r="AE4" s="1085">
        <f>IF(AD4="","",AD4/340000)</f>
        <v>0.57349764705882356</v>
      </c>
      <c r="AF4" s="1103">
        <f>IF([1]Digesters!M4="","",[1]Digesters!M4*10)</f>
        <v>5640</v>
      </c>
      <c r="AG4" s="1083">
        <f>IF([1]Digesters!L4="","",[1]Digesters!L4*10)</f>
        <v>1850</v>
      </c>
      <c r="AH4" s="1083">
        <f>IF(OR(AF4="",$B4="",$D4="",AG4="",$G4="",$I4=""),"",((AF4*100)*($B4/100)*($D4/100)*8.34)+((AG4*100)*($G4/100)*($I4/100)*8.34))</f>
        <v>211682.54399999999</v>
      </c>
      <c r="AI4" s="1085">
        <f>IF(AH4="","",AH4/314430)</f>
        <v>0.67322629520083954</v>
      </c>
      <c r="AJ4" s="135"/>
      <c r="AK4" s="546">
        <v>1</v>
      </c>
      <c r="AL4" s="145">
        <f>N4</f>
        <v>0.67736406831409213</v>
      </c>
      <c r="AM4" s="145">
        <f>S4</f>
        <v>0.67355254269630771</v>
      </c>
      <c r="AN4" s="145">
        <f>W4</f>
        <v>0.95500864421333831</v>
      </c>
      <c r="AO4" s="146">
        <f>AA4</f>
        <v>0.69511670642114298</v>
      </c>
      <c r="AR4" s="12" t="s">
        <v>115</v>
      </c>
      <c r="AS4" s="12" t="s">
        <v>103</v>
      </c>
      <c r="AT4" s="198" t="s">
        <v>117</v>
      </c>
      <c r="AU4" s="12" t="s">
        <v>375</v>
      </c>
    </row>
    <row r="5" spans="1:74" ht="20.100000000000001" customHeight="1" x14ac:dyDescent="0.25">
      <c r="A5" s="1088">
        <v>2</v>
      </c>
      <c r="B5" s="1093">
        <f>IF([2]PRI_SLG!B5="","",[2]PRI_SLG!B5)</f>
        <v>3.94</v>
      </c>
      <c r="C5" s="1080">
        <f>IF([2]PRI_SLG!C5="","",[2]PRI_SLG!C5)</f>
        <v>3.39</v>
      </c>
      <c r="D5" s="1094">
        <f>IF(OR(B5="",C5="",ISTEXT(B5)=TRUE,ISTEXT(C5)=TRUE),"",(C5/B5)*100)</f>
        <v>86.040609137055839</v>
      </c>
      <c r="E5" s="1090"/>
      <c r="F5" s="48"/>
      <c r="G5" s="48">
        <f>IF([2]TWAS!B5="","",[2]TWAS!B5)</f>
        <v>4.3600000000000003</v>
      </c>
      <c r="H5" s="1080">
        <f>IF([2]TWAS!C5="","",[2]TWAS!C5)</f>
        <v>3.21</v>
      </c>
      <c r="I5" s="947">
        <f>IF(OR(G5="",H5="",ISTEXT(G5)=TRUE,ISTEXT(H5)=TRUE),"",(H5/G5)*100)</f>
        <v>73.623853211009177</v>
      </c>
      <c r="J5" s="1096"/>
      <c r="K5" s="1100">
        <f>IF([1]Digesters!C5="","",[1]Digesters!C5*10)</f>
        <v>4700</v>
      </c>
      <c r="L5" s="1081">
        <f>IF([1]Digesters!B5="","",[1]Digesters!B5*10)</f>
        <v>1580</v>
      </c>
      <c r="M5" s="947">
        <f>IF(OR(K5="",B5="",D5="",L5="",G5="",I5=""),"",((K5*100)*(B5/100)*(D5/100)*8.34)+((L5*100)*(G5/100)*(I5/100)*8.34))</f>
        <v>175180.03200000001</v>
      </c>
      <c r="N5" s="1086">
        <f t="shared" si="0"/>
        <v>0.55713523518748209</v>
      </c>
      <c r="O5" s="1098"/>
      <c r="P5" s="947">
        <f>IF([1]Digesters!E5="","",[1]Digesters!E5*10)</f>
        <v>5140</v>
      </c>
      <c r="Q5" s="947">
        <f>IF([1]Digesters!D5="","",[1]Digesters!D5*10)</f>
        <v>1600</v>
      </c>
      <c r="R5" s="947">
        <f>IF(OR(P5="",B5="",D5="",Q5="",G5="",I5=""),"",((P5*100)*(B5/100)*(D5/100)*8.34)+((Q5*100)*(G5/100)*(I5/100)*8.34))</f>
        <v>188155.40399999998</v>
      </c>
      <c r="S5" s="1102">
        <f t="shared" si="1"/>
        <v>0.59840156473618922</v>
      </c>
      <c r="T5" s="1106" t="str">
        <f>IF([1]Digesters!G5="","",[1]Digesters!G5*10)</f>
        <v/>
      </c>
      <c r="U5" s="947">
        <f>IF([1]Digesters!F5="","",[1]Digesters!F5*10)</f>
        <v>10790</v>
      </c>
      <c r="V5" s="947">
        <f t="shared" ref="V5" si="4">IF(OR(U5="",$G5="",$I5=""),"",((U5*100)*($G5/100)*($I5/100)*8.34))</f>
        <v>288863.40600000002</v>
      </c>
      <c r="W5" s="1086">
        <f t="shared" si="2"/>
        <v>0.91868907546989798</v>
      </c>
      <c r="X5" s="1104">
        <f>IF([1]Digesters!I5="","",[1]Digesters!I5*10)</f>
        <v>5280</v>
      </c>
      <c r="Y5" s="947">
        <f>IF([1]Digesters!H5="","",[1]Digesters!H5*10)</f>
        <v>1750</v>
      </c>
      <c r="Z5" s="947">
        <f t="shared" ref="Z5" si="5">IF(OR(X5="",$B5="",$D5="",Y5="",$G5="",$I5=""),"",((X5*100)*($B5/100)*($D5/100)*8.34)+((Y5*100)*($G5/100)*($I5/100)*8.34))</f>
        <v>196129.27799999999</v>
      </c>
      <c r="AA5" s="1102">
        <f t="shared" si="3"/>
        <v>0.62376133956683522</v>
      </c>
      <c r="AB5" s="1106">
        <f>IF([1]Digesters!K5="","",[1]Digesters!K5*10)</f>
        <v>5210</v>
      </c>
      <c r="AC5" s="947">
        <f>IF([1]Digesters!J5="","",[1]Digesters!J5*10)</f>
        <v>1750</v>
      </c>
      <c r="AD5" s="947">
        <f t="shared" ref="AD5" si="6">IF(OR(AB5="",$B5="",$D5="",AC5="",$G5="",$I5=""),"",((AB5*100)*($B5/100)*($D5/100)*8.34)+((AC5*100)*($G5/100)*($I5/100)*8.34))</f>
        <v>194150.196</v>
      </c>
      <c r="AE5" s="1086">
        <f>IF(AD5="","",AD5/340000)</f>
        <v>0.57102998823529416</v>
      </c>
      <c r="AF5" s="1104">
        <f>IF([1]Digesters!M5="","",[1]Digesters!M5*10)</f>
        <v>4940</v>
      </c>
      <c r="AG5" s="947">
        <f>IF([1]Digesters!L5="","",[1]Digesters!L5*10)</f>
        <v>1660</v>
      </c>
      <c r="AH5" s="947">
        <f t="shared" ref="AH5" si="7">IF(OR(AF5="",$B5="",$D5="",AG5="",$G5="",$I5=""),"",((AF5*100)*($B5/100)*($D5/100)*8.34)+((AG5*100)*($G5/100)*($I5/100)*8.34))</f>
        <v>184107.16799999998</v>
      </c>
      <c r="AI5" s="1086">
        <f>IF(AH5="","",AH5/314430)</f>
        <v>0.5855267245491842</v>
      </c>
      <c r="AJ5" s="135"/>
      <c r="AK5" s="546">
        <v>2</v>
      </c>
      <c r="AL5" s="145">
        <f t="shared" ref="AL5:AL33" si="8">N5</f>
        <v>0.55713523518748209</v>
      </c>
      <c r="AM5" s="145">
        <f t="shared" ref="AM5:AM33" si="9">S5</f>
        <v>0.59840156473618922</v>
      </c>
      <c r="AN5" s="145">
        <f t="shared" ref="AN5:AN33" si="10">W5</f>
        <v>0.91868907546989798</v>
      </c>
      <c r="AO5" s="146">
        <f t="shared" ref="AO5:AO33" si="11">AA5</f>
        <v>0.62376133956683522</v>
      </c>
      <c r="AR5" s="12" t="s">
        <v>341</v>
      </c>
      <c r="AS5" s="12" t="s">
        <v>113</v>
      </c>
      <c r="AT5" s="198" t="s">
        <v>121</v>
      </c>
      <c r="AU5" s="12" t="s">
        <v>376</v>
      </c>
    </row>
    <row r="6" spans="1:74" ht="20.100000000000001" customHeight="1" x14ac:dyDescent="0.25">
      <c r="A6" s="1088">
        <v>3</v>
      </c>
      <c r="B6" s="1093">
        <f>IF([2]PRI_SLG!B6="","",[2]PRI_SLG!B6)</f>
        <v>4.3</v>
      </c>
      <c r="C6" s="1080">
        <f>IF([2]PRI_SLG!C6="","",[2]PRI_SLG!C6)</f>
        <v>3.61</v>
      </c>
      <c r="D6" s="1094">
        <f t="shared" ref="D6:D32" si="12">IF(OR(B6="",C6="",ISTEXT(B6)=TRUE,ISTEXT(C6)=TRUE),"",(C6/B6)*100)</f>
        <v>83.95348837209302</v>
      </c>
      <c r="E6" s="1090"/>
      <c r="F6" s="48"/>
      <c r="G6" s="48">
        <f>IF([2]TWAS!B6="","",[2]TWAS!B6)</f>
        <v>4.7300000000000004</v>
      </c>
      <c r="H6" s="1080">
        <f>IF([2]TWAS!C6="","",[2]TWAS!C6)</f>
        <v>3.54</v>
      </c>
      <c r="I6" s="947">
        <f t="shared" ref="I6:I32" si="13">IF(OR(G6="",H6="",ISTEXT(G6)=TRUE,ISTEXT(H6)=TRUE),"",(H6/G6)*100)</f>
        <v>74.841437632135296</v>
      </c>
      <c r="J6" s="1096"/>
      <c r="K6" s="1100">
        <f>IF([1]Digesters!C6="","",[1]Digesters!C6*10)</f>
        <v>5620</v>
      </c>
      <c r="L6" s="1081">
        <f>IF([1]Digesters!B6="","",[1]Digesters!B6*10)</f>
        <v>1960</v>
      </c>
      <c r="M6" s="947">
        <f t="shared" ref="M6:M32" si="14">IF(OR(K6="",B6="",D6="",L6="",G6="",I6=""),"",((K6*100)*(B6/100)*(D6/100)*8.34)+((L6*100)*(G6/100)*(I6/100)*8.34))</f>
        <v>227069.84399999995</v>
      </c>
      <c r="N6" s="1086">
        <f t="shared" ref="N6:N32" si="15">IF(M6="","",M6/314430)</f>
        <v>0.72216341952103791</v>
      </c>
      <c r="O6" s="1098"/>
      <c r="P6" s="947">
        <f>IF([1]Digesters!E6="","",[1]Digesters!E6*10)</f>
        <v>5840</v>
      </c>
      <c r="Q6" s="947">
        <f>IF([1]Digesters!D6="","",[1]Digesters!D6*10)</f>
        <v>1960</v>
      </c>
      <c r="R6" s="947">
        <f t="shared" ref="R6:R32" si="16">IF(OR(P6="",B6="",D6="",Q6="",G6="",I6=""),"",((P6*100)*(B6/100)*(D6/100)*8.34)+((Q6*100)*(G6/100)*(I6/100)*8.34))</f>
        <v>233693.47199999998</v>
      </c>
      <c r="S6" s="1102">
        <f t="shared" ref="S6:S32" si="17">IF(R6="","",R6/314430)</f>
        <v>0.74322892853735323</v>
      </c>
      <c r="T6" s="1106" t="str">
        <f>IF([1]Digesters!G6="","",[1]Digesters!G6*10)</f>
        <v/>
      </c>
      <c r="U6" s="947">
        <f>IF([1]Digesters!F6="","",[1]Digesters!F6*10)</f>
        <v>11120</v>
      </c>
      <c r="V6" s="947">
        <f t="shared" ref="V6:V32" si="18">IF(OR(U6="",$G6="",$I6=""),"",((U6*100)*($G6/100)*($I6/100)*8.34))</f>
        <v>328302.43199999997</v>
      </c>
      <c r="W6" s="1086">
        <f t="shared" ref="W6:W32" si="19">IF(V6="","",V6/314430)</f>
        <v>1.0441193015933594</v>
      </c>
      <c r="X6" s="1104">
        <f>IF([1]Digesters!I6="","",[1]Digesters!I6*10)</f>
        <v>5710</v>
      </c>
      <c r="Y6" s="947">
        <f>IF([1]Digesters!H6="","",[1]Digesters!H6*10)</f>
        <v>1890</v>
      </c>
      <c r="Z6" s="947">
        <f t="shared" ref="Z6:Z32" si="20">IF(OR(X6="",$B6="",$D6="",Y6="",$G6="",$I6=""),"",((X6*100)*($B6/100)*($D6/100)*8.34)+((Y6*100)*($G6/100)*($I6/100)*8.34))</f>
        <v>227712.85799999995</v>
      </c>
      <c r="AA6" s="1102">
        <f t="shared" ref="AA6:AA32" si="21">IF(Z6="","",Z6/314430)</f>
        <v>0.72420843430970316</v>
      </c>
      <c r="AB6" s="1106">
        <f>IF([1]Digesters!K6="","",[1]Digesters!K6*10)</f>
        <v>6070</v>
      </c>
      <c r="AC6" s="947">
        <f>IF([1]Digesters!J6="","",[1]Digesters!J6*10)</f>
        <v>1880</v>
      </c>
      <c r="AD6" s="947">
        <f t="shared" ref="AD6:AD32" si="22">IF(OR(AB6="",$B6="",$D6="",AC6="",$G6="",$I6=""),"",((AB6*100)*($B6/100)*($D6/100)*8.34)+((AC6*100)*($G6/100)*($I6/100)*8.34))</f>
        <v>238256.28599999996</v>
      </c>
      <c r="AE6" s="1086">
        <f t="shared" ref="AE6:AE32" si="23">IF(AD6="","",AD6/340000)</f>
        <v>0.70075378235294106</v>
      </c>
      <c r="AF6" s="1104">
        <f>IF([1]Digesters!M6="","",[1]Digesters!M6*10)</f>
        <v>5950</v>
      </c>
      <c r="AG6" s="947">
        <f>IF([1]Digesters!L6="","",[1]Digesters!L6*10)</f>
        <v>3560</v>
      </c>
      <c r="AH6" s="947">
        <f t="shared" ref="AH6:AH32" si="24">IF(OR(AF6="",$B6="",$D6="",AG6="",$G6="",$I6=""),"",((AF6*100)*($B6/100)*($D6/100)*8.34)+((AG6*100)*($G6/100)*($I6/100)*8.34))</f>
        <v>284243.04599999997</v>
      </c>
      <c r="AI6" s="1086">
        <f t="shared" ref="AI6:AI32" si="25">IF(AH6="","",AH6/314430)</f>
        <v>0.90399467608052653</v>
      </c>
      <c r="AJ6" s="135"/>
      <c r="AK6" s="546">
        <v>3</v>
      </c>
      <c r="AL6" s="145">
        <f t="shared" si="8"/>
        <v>0.72216341952103791</v>
      </c>
      <c r="AM6" s="145">
        <f t="shared" si="9"/>
        <v>0.74322892853735323</v>
      </c>
      <c r="AN6" s="145">
        <f t="shared" si="10"/>
        <v>1.0441193015933594</v>
      </c>
      <c r="AO6" s="146">
        <f t="shared" si="11"/>
        <v>0.72420843430970316</v>
      </c>
      <c r="AR6" s="12" t="s">
        <v>124</v>
      </c>
      <c r="AS6" s="12" t="s">
        <v>116</v>
      </c>
      <c r="AT6" s="200" t="s">
        <v>356</v>
      </c>
      <c r="AU6" s="12" t="s">
        <v>380</v>
      </c>
    </row>
    <row r="7" spans="1:74" ht="20.100000000000001" customHeight="1" x14ac:dyDescent="0.25">
      <c r="A7" s="1088">
        <v>4</v>
      </c>
      <c r="B7" s="1093">
        <f>IF([2]PRI_SLG!B7="","",[2]PRI_SLG!B7)</f>
        <v>4.6900000000000004</v>
      </c>
      <c r="C7" s="1080">
        <f>IF([2]PRI_SLG!C7="","",[2]PRI_SLG!C7)</f>
        <v>3.87</v>
      </c>
      <c r="D7" s="1094">
        <f t="shared" si="12"/>
        <v>82.515991471215344</v>
      </c>
      <c r="E7" s="1090"/>
      <c r="F7" s="48"/>
      <c r="G7" s="48">
        <f>IF([2]TWAS!B7="","",[2]TWAS!B7)</f>
        <v>4.0599999999999996</v>
      </c>
      <c r="H7" s="1080">
        <f>IF([2]TWAS!C7="","",[2]TWAS!C7)</f>
        <v>3.05</v>
      </c>
      <c r="I7" s="947">
        <f t="shared" si="13"/>
        <v>75.123152709359601</v>
      </c>
      <c r="J7" s="1096"/>
      <c r="K7" s="1100">
        <f>IF([1]Digesters!C7="","",[1]Digesters!C7*10)</f>
        <v>8430</v>
      </c>
      <c r="L7" s="1081">
        <f>IF([1]Digesters!B7="","",[1]Digesters!B7*10)</f>
        <v>1940</v>
      </c>
      <c r="M7" s="947">
        <f t="shared" si="14"/>
        <v>321432.77399999998</v>
      </c>
      <c r="N7" s="1086">
        <f t="shared" si="15"/>
        <v>1.0222713290716534</v>
      </c>
      <c r="O7" s="1098"/>
      <c r="P7" s="947">
        <f>IF([1]Digesters!E7="","",[1]Digesters!E7*10)</f>
        <v>8730</v>
      </c>
      <c r="Q7" s="947">
        <f>IF([1]Digesters!D7="","",[1]Digesters!D7*10)</f>
        <v>1960</v>
      </c>
      <c r="R7" s="947">
        <f t="shared" si="16"/>
        <v>331624.25399999996</v>
      </c>
      <c r="S7" s="1102">
        <f t="shared" si="17"/>
        <v>1.054683885125465</v>
      </c>
      <c r="T7" s="1106" t="str">
        <f>IF([1]Digesters!G7="","",[1]Digesters!G7*10)</f>
        <v/>
      </c>
      <c r="U7" s="947">
        <f>IF([1]Digesters!F7="","",[1]Digesters!F7*10)</f>
        <v>12270</v>
      </c>
      <c r="V7" s="947">
        <f t="shared" si="18"/>
        <v>312111.98999999993</v>
      </c>
      <c r="W7" s="1086">
        <f t="shared" si="19"/>
        <v>0.99262789810132601</v>
      </c>
      <c r="X7" s="1104">
        <f>IF([1]Digesters!I7="","",[1]Digesters!I7*10)</f>
        <v>8880</v>
      </c>
      <c r="Y7" s="947">
        <f>IF([1]Digesters!H7="","",[1]Digesters!H7*10)</f>
        <v>2000</v>
      </c>
      <c r="Z7" s="947">
        <f t="shared" si="20"/>
        <v>337483.10399999999</v>
      </c>
      <c r="AA7" s="1102">
        <f t="shared" si="21"/>
        <v>1.0733171262284134</v>
      </c>
      <c r="AB7" s="1106">
        <f>IF([1]Digesters!K7="","",[1]Digesters!K7*10)</f>
        <v>8190</v>
      </c>
      <c r="AC7" s="947">
        <f>IF([1]Digesters!J7="","",[1]Digesters!J7*10)</f>
        <v>1960</v>
      </c>
      <c r="AD7" s="947">
        <f t="shared" si="22"/>
        <v>314195.32200000004</v>
      </c>
      <c r="AE7" s="1086">
        <f t="shared" si="23"/>
        <v>0.92410388823529421</v>
      </c>
      <c r="AF7" s="1104">
        <f>IF([1]Digesters!M7="","",[1]Digesters!M7*10)</f>
        <v>8490</v>
      </c>
      <c r="AG7" s="947">
        <f>IF([1]Digesters!L7="","",[1]Digesters!L7*10)</f>
        <v>1960</v>
      </c>
      <c r="AH7" s="947">
        <f t="shared" si="24"/>
        <v>323878.06200000003</v>
      </c>
      <c r="AI7" s="1086">
        <f t="shared" si="25"/>
        <v>1.0300482205896384</v>
      </c>
      <c r="AJ7" s="135"/>
      <c r="AK7" s="546">
        <v>4</v>
      </c>
      <c r="AL7" s="145">
        <f t="shared" si="8"/>
        <v>1.0222713290716534</v>
      </c>
      <c r="AM7" s="145">
        <f t="shared" si="9"/>
        <v>1.054683885125465</v>
      </c>
      <c r="AN7" s="145">
        <f t="shared" si="10"/>
        <v>0.99262789810132601</v>
      </c>
      <c r="AO7" s="146">
        <f t="shared" si="11"/>
        <v>1.0733171262284134</v>
      </c>
      <c r="AR7" s="12" t="s">
        <v>128</v>
      </c>
      <c r="AS7" s="12" t="s">
        <v>129</v>
      </c>
      <c r="AT7" s="201" t="s">
        <v>127</v>
      </c>
      <c r="AU7" s="12" t="s">
        <v>375</v>
      </c>
    </row>
    <row r="8" spans="1:74" ht="20.100000000000001" customHeight="1" x14ac:dyDescent="0.25">
      <c r="A8" s="1088">
        <v>5</v>
      </c>
      <c r="B8" s="1093">
        <f>IF([2]PRI_SLG!B8="","",[2]PRI_SLG!B8)</f>
        <v>3.71</v>
      </c>
      <c r="C8" s="1080">
        <f>IF([2]PRI_SLG!C8="","",[2]PRI_SLG!C8)</f>
        <v>3.06</v>
      </c>
      <c r="D8" s="1094">
        <f t="shared" si="12"/>
        <v>82.479784366576823</v>
      </c>
      <c r="E8" s="1090"/>
      <c r="F8" s="48"/>
      <c r="G8" s="48">
        <f>IF([2]TWAS!B8="","",[2]TWAS!B8)</f>
        <v>4.24</v>
      </c>
      <c r="H8" s="1080">
        <f>IF([2]TWAS!C8="","",[2]TWAS!C8)</f>
        <v>3.16</v>
      </c>
      <c r="I8" s="947">
        <f t="shared" si="13"/>
        <v>74.528301886792448</v>
      </c>
      <c r="J8" s="1096"/>
      <c r="K8" s="1100">
        <f>IF([1]Digesters!C8="","",[1]Digesters!C8*10)</f>
        <v>6800</v>
      </c>
      <c r="L8" s="1081">
        <f>IF([1]Digesters!B8="","",[1]Digesters!B8*10)</f>
        <v>1840</v>
      </c>
      <c r="M8" s="947">
        <f t="shared" si="14"/>
        <v>222030.81599999999</v>
      </c>
      <c r="N8" s="1086">
        <f t="shared" si="15"/>
        <v>0.70613750596317137</v>
      </c>
      <c r="O8" s="1098"/>
      <c r="P8" s="947">
        <f>IF([1]Digesters!E8="","",[1]Digesters!E8*10)</f>
        <v>7060</v>
      </c>
      <c r="Q8" s="947">
        <f>IF([1]Digesters!D8="","",[1]Digesters!D8*10)</f>
        <v>1850</v>
      </c>
      <c r="R8" s="947">
        <f t="shared" si="16"/>
        <v>228929.66399999999</v>
      </c>
      <c r="S8" s="1102">
        <f t="shared" si="17"/>
        <v>0.72807831313805926</v>
      </c>
      <c r="T8" s="1106" t="str">
        <f>IF([1]Digesters!G8="","",[1]Digesters!G8*10)</f>
        <v/>
      </c>
      <c r="U8" s="947">
        <f>IF([1]Digesters!F8="","",[1]Digesters!F8*10)</f>
        <v>11360</v>
      </c>
      <c r="V8" s="947">
        <f t="shared" si="18"/>
        <v>299385.984</v>
      </c>
      <c r="W8" s="1086">
        <f t="shared" si="19"/>
        <v>0.95215464173265907</v>
      </c>
      <c r="X8" s="1104">
        <f>IF([1]Digesters!I8="","",[1]Digesters!I8*10)</f>
        <v>7110</v>
      </c>
      <c r="Y8" s="947">
        <f>IF([1]Digesters!H8="","",[1]Digesters!H8*10)</f>
        <v>1900</v>
      </c>
      <c r="Z8" s="947">
        <f t="shared" si="20"/>
        <v>231523.40400000004</v>
      </c>
      <c r="AA8" s="1102">
        <f t="shared" si="21"/>
        <v>0.73632733517794113</v>
      </c>
      <c r="AB8" s="1106">
        <f>IF([1]Digesters!K8="","",[1]Digesters!K8*10)</f>
        <v>6380</v>
      </c>
      <c r="AC8" s="947">
        <f>IF([1]Digesters!J8="","",[1]Digesters!J8*10)</f>
        <v>1710</v>
      </c>
      <c r="AD8" s="947">
        <f t="shared" si="22"/>
        <v>207886.17600000001</v>
      </c>
      <c r="AE8" s="1086">
        <f t="shared" si="23"/>
        <v>0.61142992941176477</v>
      </c>
      <c r="AF8" s="1104">
        <f>IF([1]Digesters!M8="","",[1]Digesters!M8*10)</f>
        <v>7030</v>
      </c>
      <c r="AG8" s="947">
        <f>IF([1]Digesters!L8="","",[1]Digesters!L8*10)</f>
        <v>1850</v>
      </c>
      <c r="AH8" s="947">
        <f t="shared" si="24"/>
        <v>228164.05199999997</v>
      </c>
      <c r="AI8" s="1086">
        <f t="shared" si="25"/>
        <v>0.72564339280602985</v>
      </c>
      <c r="AJ8" s="135"/>
      <c r="AK8" s="546">
        <v>5</v>
      </c>
      <c r="AL8" s="145">
        <f t="shared" si="8"/>
        <v>0.70613750596317137</v>
      </c>
      <c r="AM8" s="145">
        <f t="shared" si="9"/>
        <v>0.72807831313805926</v>
      </c>
      <c r="AN8" s="145">
        <f t="shared" si="10"/>
        <v>0.95215464173265907</v>
      </c>
      <c r="AO8" s="146">
        <f t="shared" si="11"/>
        <v>0.73632733517794113</v>
      </c>
      <c r="AR8" s="12" t="s">
        <v>131</v>
      </c>
      <c r="AS8" s="12" t="s">
        <v>132</v>
      </c>
      <c r="AT8" s="198" t="s">
        <v>133</v>
      </c>
      <c r="AU8" s="12" t="s">
        <v>376</v>
      </c>
    </row>
    <row r="9" spans="1:74" ht="20.100000000000001" customHeight="1" x14ac:dyDescent="0.25">
      <c r="A9" s="1088">
        <v>6</v>
      </c>
      <c r="B9" s="1093">
        <f>IF([2]PRI_SLG!B9="","",[2]PRI_SLG!B9)</f>
        <v>4.4800000000000004</v>
      </c>
      <c r="C9" s="1080">
        <f>IF([2]PRI_SLG!C9="","",[2]PRI_SLG!C9)</f>
        <v>3.55</v>
      </c>
      <c r="D9" s="1094">
        <f t="shared" si="12"/>
        <v>79.241071428571416</v>
      </c>
      <c r="E9" s="1090"/>
      <c r="F9" s="48"/>
      <c r="G9" s="48">
        <f>IF([2]TWAS!B9="","",[2]TWAS!B9)</f>
        <v>4.0199999999999996</v>
      </c>
      <c r="H9" s="1080">
        <f>IF([2]TWAS!C9="","",[2]TWAS!C9)</f>
        <v>3</v>
      </c>
      <c r="I9" s="947">
        <f t="shared" si="13"/>
        <v>74.626865671641795</v>
      </c>
      <c r="J9" s="1096"/>
      <c r="K9" s="1100">
        <f>IF([1]Digesters!C9="","",[1]Digesters!C9*10)</f>
        <v>7450</v>
      </c>
      <c r="L9" s="1081">
        <f>IF([1]Digesters!B9="","",[1]Digesters!B9*10)</f>
        <v>1600</v>
      </c>
      <c r="M9" s="947">
        <f t="shared" si="14"/>
        <v>260604.15000000002</v>
      </c>
      <c r="N9" s="1086">
        <f t="shared" si="15"/>
        <v>0.82881452151512269</v>
      </c>
      <c r="O9" s="1098"/>
      <c r="P9" s="947">
        <f>IF([1]Digesters!E9="","",[1]Digesters!E9*10)</f>
        <v>7690</v>
      </c>
      <c r="Q9" s="947">
        <f>IF([1]Digesters!D9="","",[1]Digesters!D9*10)</f>
        <v>1610</v>
      </c>
      <c r="R9" s="947">
        <f t="shared" si="16"/>
        <v>267960.02999999997</v>
      </c>
      <c r="S9" s="1102">
        <f t="shared" si="17"/>
        <v>0.85220885411697345</v>
      </c>
      <c r="T9" s="1106" t="str">
        <f>IF([1]Digesters!G9="","",[1]Digesters!G9*10)</f>
        <v/>
      </c>
      <c r="U9" s="947">
        <f>IF([1]Digesters!F9="","",[1]Digesters!F9*10)</f>
        <v>9760</v>
      </c>
      <c r="V9" s="947">
        <f t="shared" si="18"/>
        <v>244195.19999999992</v>
      </c>
      <c r="W9" s="1086">
        <f t="shared" si="19"/>
        <v>0.77662818433355574</v>
      </c>
      <c r="X9" s="1104">
        <f>IF([1]Digesters!I9="","",[1]Digesters!I9*10)</f>
        <v>7900</v>
      </c>
      <c r="Y9" s="947">
        <f>IF([1]Digesters!H9="","",[1]Digesters!H9*10)</f>
        <v>1610</v>
      </c>
      <c r="Z9" s="947">
        <f t="shared" si="20"/>
        <v>274177.5</v>
      </c>
      <c r="AA9" s="1102">
        <f t="shared" si="21"/>
        <v>0.87198263524472852</v>
      </c>
      <c r="AB9" s="1106">
        <f>IF([1]Digesters!K9="","",[1]Digesters!K9*10)</f>
        <v>7490</v>
      </c>
      <c r="AC9" s="947">
        <f>IF([1]Digesters!J9="","",[1]Digesters!J9*10)</f>
        <v>1620</v>
      </c>
      <c r="AD9" s="947">
        <f t="shared" si="22"/>
        <v>262288.82999999996</v>
      </c>
      <c r="AE9" s="1086">
        <f t="shared" si="23"/>
        <v>0.77143773529411752</v>
      </c>
      <c r="AF9" s="1104">
        <f>IF([1]Digesters!M9="","",[1]Digesters!M9*10)</f>
        <v>7700</v>
      </c>
      <c r="AG9" s="947">
        <f>IF([1]Digesters!L9="","",[1]Digesters!L9*10)</f>
        <v>1600</v>
      </c>
      <c r="AH9" s="947">
        <f t="shared" si="24"/>
        <v>268005.90000000002</v>
      </c>
      <c r="AI9" s="1086">
        <f t="shared" si="25"/>
        <v>0.85235473714340237</v>
      </c>
      <c r="AJ9" s="135"/>
      <c r="AK9" s="546">
        <v>6</v>
      </c>
      <c r="AL9" s="145">
        <f t="shared" si="8"/>
        <v>0.82881452151512269</v>
      </c>
      <c r="AM9" s="145">
        <f t="shared" si="9"/>
        <v>0.85220885411697345</v>
      </c>
      <c r="AN9" s="145">
        <f t="shared" si="10"/>
        <v>0.77662818433355574</v>
      </c>
      <c r="AO9" s="146">
        <f t="shared" si="11"/>
        <v>0.87198263524472852</v>
      </c>
      <c r="AR9" s="12" t="s">
        <v>135</v>
      </c>
      <c r="AS9" s="12" t="s">
        <v>519</v>
      </c>
      <c r="AT9" s="200" t="s">
        <v>136</v>
      </c>
      <c r="AU9" s="12" t="s">
        <v>380</v>
      </c>
    </row>
    <row r="10" spans="1:74" ht="20.100000000000001" customHeight="1" x14ac:dyDescent="0.25">
      <c r="A10" s="1088">
        <v>7</v>
      </c>
      <c r="B10" s="1093">
        <f>IF([2]PRI_SLG!B10="","",[2]PRI_SLG!B10)</f>
        <v>4.1500000000000004</v>
      </c>
      <c r="C10" s="1080">
        <f>IF([2]PRI_SLG!C10="","",[2]PRI_SLG!C10)</f>
        <v>3.23</v>
      </c>
      <c r="D10" s="1094">
        <f t="shared" si="12"/>
        <v>77.831325301204814</v>
      </c>
      <c r="E10" s="1090"/>
      <c r="F10" s="48"/>
      <c r="G10" s="48">
        <f>IF([2]TWAS!B10="","",[2]TWAS!B10)</f>
        <v>4.05</v>
      </c>
      <c r="H10" s="1080">
        <f>IF([2]TWAS!C10="","",[2]TWAS!C10)</f>
        <v>3.09</v>
      </c>
      <c r="I10" s="947">
        <f t="shared" si="13"/>
        <v>76.296296296296291</v>
      </c>
      <c r="J10" s="1096"/>
      <c r="K10" s="1100">
        <f>IF([1]Digesters!C10="","",[1]Digesters!C10*10)</f>
        <v>8000</v>
      </c>
      <c r="L10" s="1081">
        <f>IF([1]Digesters!B10="","",[1]Digesters!B10*10)</f>
        <v>1820</v>
      </c>
      <c r="M10" s="947">
        <f t="shared" si="14"/>
        <v>262408.09199999995</v>
      </c>
      <c r="N10" s="1086">
        <f t="shared" si="15"/>
        <v>0.83455170308176685</v>
      </c>
      <c r="O10" s="1098"/>
      <c r="P10" s="947">
        <f>IF([1]Digesters!E10="","",[1]Digesters!E10*10)</f>
        <v>8050</v>
      </c>
      <c r="Q10" s="947">
        <f>IF([1]Digesters!D10="","",[1]Digesters!D10*10)</f>
        <v>1800</v>
      </c>
      <c r="R10" s="947">
        <f t="shared" si="16"/>
        <v>263239.58999999997</v>
      </c>
      <c r="S10" s="1102">
        <f t="shared" si="17"/>
        <v>0.83719616448812129</v>
      </c>
      <c r="T10" s="1106" t="str">
        <f>IF([1]Digesters!G10="","",[1]Digesters!G10*10)</f>
        <v/>
      </c>
      <c r="U10" s="947">
        <f>IF([1]Digesters!F10="","",[1]Digesters!F10*10)</f>
        <v>11490</v>
      </c>
      <c r="V10" s="947">
        <f t="shared" si="18"/>
        <v>296104.19399999996</v>
      </c>
      <c r="W10" s="1086">
        <f t="shared" si="19"/>
        <v>0.94171737429634561</v>
      </c>
      <c r="X10" s="1104">
        <f>IF([1]Digesters!I10="","",[1]Digesters!I10*10)</f>
        <v>8000</v>
      </c>
      <c r="Y10" s="947">
        <f>IF([1]Digesters!H10="","",[1]Digesters!H10*10)</f>
        <v>1880</v>
      </c>
      <c r="Z10" s="947">
        <f t="shared" si="20"/>
        <v>263954.32799999998</v>
      </c>
      <c r="AA10" s="1102">
        <f t="shared" si="21"/>
        <v>0.83946928728174786</v>
      </c>
      <c r="AB10" s="1106">
        <f>IF([1]Digesters!K10="","",[1]Digesters!K10*10)</f>
        <v>8000</v>
      </c>
      <c r="AC10" s="947">
        <f>IF([1]Digesters!J10="","",[1]Digesters!J10*10)</f>
        <v>1880</v>
      </c>
      <c r="AD10" s="947">
        <f t="shared" si="22"/>
        <v>263954.32799999998</v>
      </c>
      <c r="AE10" s="1086">
        <f t="shared" si="23"/>
        <v>0.7763362588235293</v>
      </c>
      <c r="AF10" s="1104">
        <f>IF([1]Digesters!M10="","",[1]Digesters!M10*10)</f>
        <v>7990</v>
      </c>
      <c r="AG10" s="947">
        <f>IF([1]Digesters!L10="","",[1]Digesters!L10*10)</f>
        <v>1840</v>
      </c>
      <c r="AH10" s="947">
        <f t="shared" si="24"/>
        <v>262654.12199999997</v>
      </c>
      <c r="AI10" s="1086">
        <f t="shared" si="25"/>
        <v>0.83533416658715764</v>
      </c>
      <c r="AJ10" s="135"/>
      <c r="AK10" s="546">
        <v>7</v>
      </c>
      <c r="AL10" s="145">
        <f t="shared" si="8"/>
        <v>0.83455170308176685</v>
      </c>
      <c r="AM10" s="145">
        <f t="shared" si="9"/>
        <v>0.83719616448812129</v>
      </c>
      <c r="AN10" s="145">
        <f t="shared" si="10"/>
        <v>0.94171737429634561</v>
      </c>
      <c r="AO10" s="146">
        <f t="shared" si="11"/>
        <v>0.83946928728174786</v>
      </c>
      <c r="AR10" s="12" t="s">
        <v>149</v>
      </c>
      <c r="AS10" s="12" t="s">
        <v>144</v>
      </c>
      <c r="AT10" s="202" t="s">
        <v>357</v>
      </c>
      <c r="AU10" s="12" t="s">
        <v>381</v>
      </c>
    </row>
    <row r="11" spans="1:74" ht="20.100000000000001" customHeight="1" x14ac:dyDescent="0.25">
      <c r="A11" s="1088">
        <v>8</v>
      </c>
      <c r="B11" s="1093">
        <f>IF([2]PRI_SLG!B11="","",[2]PRI_SLG!B11)</f>
        <v>3.85</v>
      </c>
      <c r="C11" s="1080">
        <f>IF([2]PRI_SLG!C11="","",[2]PRI_SLG!C11)</f>
        <v>3.1</v>
      </c>
      <c r="D11" s="1094">
        <f t="shared" si="12"/>
        <v>80.519480519480524</v>
      </c>
      <c r="E11" s="1090"/>
      <c r="F11" s="48"/>
      <c r="G11" s="48">
        <f>IF([2]TWAS!B11="","",[2]TWAS!B11)</f>
        <v>4.25</v>
      </c>
      <c r="H11" s="1080">
        <f>IF([2]TWAS!C11="","",[2]TWAS!C11)</f>
        <v>3.3</v>
      </c>
      <c r="I11" s="947">
        <f t="shared" si="13"/>
        <v>77.647058823529406</v>
      </c>
      <c r="J11" s="1096"/>
      <c r="K11" s="1100">
        <f>IF([1]Digesters!C11="","",[1]Digesters!C11*10)</f>
        <v>5940</v>
      </c>
      <c r="L11" s="1081">
        <f>IF([1]Digesters!B11="","",[1]Digesters!B11*10)</f>
        <v>1580</v>
      </c>
      <c r="M11" s="947">
        <f t="shared" si="14"/>
        <v>197057.52000000002</v>
      </c>
      <c r="N11" s="1086">
        <f t="shared" si="15"/>
        <v>0.6267134815380212</v>
      </c>
      <c r="O11" s="1098"/>
      <c r="P11" s="947">
        <f>IF([1]Digesters!E11="","",[1]Digesters!E11*10)</f>
        <v>5920</v>
      </c>
      <c r="Q11" s="947">
        <f>IF([1]Digesters!D11="","",[1]Digesters!D11*10)</f>
        <v>1600</v>
      </c>
      <c r="R11" s="947">
        <f t="shared" si="16"/>
        <v>197090.88</v>
      </c>
      <c r="S11" s="1102">
        <f t="shared" si="17"/>
        <v>0.62681957828451484</v>
      </c>
      <c r="T11" s="1106" t="str">
        <f>IF([1]Digesters!G11="","",[1]Digesters!G11*10)</f>
        <v/>
      </c>
      <c r="U11" s="947">
        <f>IF([1]Digesters!F11="","",[1]Digesters!F11*10)</f>
        <v>10500</v>
      </c>
      <c r="V11" s="947">
        <f t="shared" si="18"/>
        <v>288980.99999999994</v>
      </c>
      <c r="W11" s="1086">
        <f t="shared" si="19"/>
        <v>0.91906306650128788</v>
      </c>
      <c r="X11" s="1104">
        <f>IF([1]Digesters!I11="","",[1]Digesters!I11*10)</f>
        <v>6050</v>
      </c>
      <c r="Y11" s="947">
        <f>IF([1]Digesters!H11="","",[1]Digesters!H11*10)</f>
        <v>1610</v>
      </c>
      <c r="Z11" s="947">
        <f t="shared" si="20"/>
        <v>200727.12</v>
      </c>
      <c r="AA11" s="1102">
        <f t="shared" si="21"/>
        <v>0.63838412365232322</v>
      </c>
      <c r="AB11" s="1106">
        <f>IF([1]Digesters!K11="","",[1]Digesters!K11*10)</f>
        <v>5430</v>
      </c>
      <c r="AC11" s="947">
        <f>IF([1]Digesters!J11="","",[1]Digesters!J11*10)</f>
        <v>1360</v>
      </c>
      <c r="AD11" s="947">
        <f t="shared" si="22"/>
        <v>177817.13999999998</v>
      </c>
      <c r="AE11" s="1086">
        <f t="shared" si="23"/>
        <v>0.52299158823529412</v>
      </c>
      <c r="AF11" s="1104">
        <f>IF([1]Digesters!M11="","",[1]Digesters!M11*10)</f>
        <v>6220</v>
      </c>
      <c r="AG11" s="947">
        <f>IF([1]Digesters!L11="","",[1]Digesters!L11*10)</f>
        <v>1590</v>
      </c>
      <c r="AH11" s="947">
        <f t="shared" si="24"/>
        <v>204571.86</v>
      </c>
      <c r="AI11" s="1086">
        <f t="shared" si="25"/>
        <v>0.65061177368571699</v>
      </c>
      <c r="AJ11" s="135"/>
      <c r="AK11" s="546">
        <v>8</v>
      </c>
      <c r="AL11" s="145">
        <f t="shared" si="8"/>
        <v>0.6267134815380212</v>
      </c>
      <c r="AM11" s="145">
        <f t="shared" si="9"/>
        <v>0.62681957828451484</v>
      </c>
      <c r="AN11" s="145">
        <f t="shared" si="10"/>
        <v>0.91906306650128788</v>
      </c>
      <c r="AO11" s="146">
        <f t="shared" si="11"/>
        <v>0.63838412365232322</v>
      </c>
      <c r="AR11" s="12" t="s">
        <v>152</v>
      </c>
      <c r="AS11" s="12" t="s">
        <v>148</v>
      </c>
      <c r="AT11" s="202" t="s">
        <v>358</v>
      </c>
      <c r="AU11" s="12" t="s">
        <v>382</v>
      </c>
    </row>
    <row r="12" spans="1:74" ht="20.100000000000001" customHeight="1" x14ac:dyDescent="0.25">
      <c r="A12" s="1088">
        <v>9</v>
      </c>
      <c r="B12" s="1093">
        <f>IF([2]PRI_SLG!B12="","",[2]PRI_SLG!B12)</f>
        <v>3.68</v>
      </c>
      <c r="C12" s="1080">
        <f>IF([2]PRI_SLG!C12="","",[2]PRI_SLG!C12)</f>
        <v>2.96</v>
      </c>
      <c r="D12" s="1094">
        <f t="shared" si="12"/>
        <v>80.434782608695642</v>
      </c>
      <c r="E12" s="1090"/>
      <c r="F12" s="48"/>
      <c r="G12" s="48">
        <f>IF([2]TWAS!B12="","",[2]TWAS!B12)</f>
        <v>4.17</v>
      </c>
      <c r="H12" s="1080">
        <f>IF([2]TWAS!C12="","",[2]TWAS!C12)</f>
        <v>3.21</v>
      </c>
      <c r="I12" s="947">
        <f t="shared" si="13"/>
        <v>76.978417266187051</v>
      </c>
      <c r="J12" s="1096"/>
      <c r="K12" s="1100">
        <f>IF([1]Digesters!C12="","",[1]Digesters!C12*10)</f>
        <v>5440</v>
      </c>
      <c r="L12" s="1081">
        <f>IF([1]Digesters!B12="","",[1]Digesters!B12*10)</f>
        <v>1480</v>
      </c>
      <c r="M12" s="947">
        <f t="shared" si="14"/>
        <v>173915.68799999999</v>
      </c>
      <c r="N12" s="1086">
        <f t="shared" si="15"/>
        <v>0.55311416849537254</v>
      </c>
      <c r="O12" s="1098"/>
      <c r="P12" s="947">
        <f>IF([1]Digesters!E12="","",[1]Digesters!E12*10)</f>
        <v>5980</v>
      </c>
      <c r="Q12" s="947">
        <f>IF([1]Digesters!D12="","",[1]Digesters!D12*10)</f>
        <v>1450</v>
      </c>
      <c r="R12" s="947">
        <f t="shared" si="16"/>
        <v>186443.20199999996</v>
      </c>
      <c r="S12" s="1102">
        <f t="shared" si="17"/>
        <v>0.59295614922240236</v>
      </c>
      <c r="T12" s="1106" t="str">
        <f>IF([1]Digesters!G12="","",[1]Digesters!G12*10)</f>
        <v/>
      </c>
      <c r="U12" s="947">
        <f>IF([1]Digesters!F12="","",[1]Digesters!F12*10)</f>
        <v>9170</v>
      </c>
      <c r="V12" s="947">
        <f t="shared" si="18"/>
        <v>245493.73800000001</v>
      </c>
      <c r="W12" s="1086">
        <f t="shared" si="19"/>
        <v>0.78075800019082153</v>
      </c>
      <c r="X12" s="1104">
        <f>IF([1]Digesters!I12="","",[1]Digesters!I12*10)</f>
        <v>5980</v>
      </c>
      <c r="Y12" s="947">
        <f>IF([1]Digesters!H12="","",[1]Digesters!H12*10)</f>
        <v>1620</v>
      </c>
      <c r="Z12" s="947">
        <f t="shared" si="20"/>
        <v>190994.33999999997</v>
      </c>
      <c r="AA12" s="1102">
        <f t="shared" si="21"/>
        <v>0.60743039786279929</v>
      </c>
      <c r="AB12" s="1106">
        <f>IF([1]Digesters!K12="","",[1]Digesters!K12*10)</f>
        <v>5740</v>
      </c>
      <c r="AC12" s="947">
        <f>IF([1]Digesters!J12="","",[1]Digesters!J12*10)</f>
        <v>1580</v>
      </c>
      <c r="AD12" s="947">
        <f t="shared" si="22"/>
        <v>183998.74799999999</v>
      </c>
      <c r="AE12" s="1086">
        <f t="shared" si="23"/>
        <v>0.54117278823529413</v>
      </c>
      <c r="AF12" s="1104">
        <f>IF([1]Digesters!M12="","",[1]Digesters!M12*10)</f>
        <v>5240</v>
      </c>
      <c r="AG12" s="947">
        <f>IF([1]Digesters!L12="","",[1]Digesters!L12*10)</f>
        <v>1590</v>
      </c>
      <c r="AH12" s="947">
        <f t="shared" si="24"/>
        <v>171923.26199999999</v>
      </c>
      <c r="AI12" s="1086">
        <f t="shared" si="25"/>
        <v>0.54677754031103898</v>
      </c>
      <c r="AJ12" s="135"/>
      <c r="AK12" s="546">
        <v>9</v>
      </c>
      <c r="AL12" s="145">
        <f t="shared" si="8"/>
        <v>0.55311416849537254</v>
      </c>
      <c r="AM12" s="145">
        <f t="shared" si="9"/>
        <v>0.59295614922240236</v>
      </c>
      <c r="AN12" s="145">
        <f t="shared" si="10"/>
        <v>0.78075800019082153</v>
      </c>
      <c r="AO12" s="146">
        <f t="shared" si="11"/>
        <v>0.60743039786279929</v>
      </c>
      <c r="AR12" s="12" t="s">
        <v>342</v>
      </c>
      <c r="AS12" s="12" t="s">
        <v>153</v>
      </c>
      <c r="AT12" s="200" t="s">
        <v>359</v>
      </c>
      <c r="AU12" s="12" t="s">
        <v>383</v>
      </c>
    </row>
    <row r="13" spans="1:74" ht="20.100000000000001" customHeight="1" x14ac:dyDescent="0.25">
      <c r="A13" s="1088">
        <v>10</v>
      </c>
      <c r="B13" s="1093">
        <f>IF([2]PRI_SLG!B13="","",[2]PRI_SLG!B13)</f>
        <v>4.1900000000000004</v>
      </c>
      <c r="C13" s="1080">
        <f>IF([2]PRI_SLG!C13="","",[2]PRI_SLG!C13)</f>
        <v>3.45</v>
      </c>
      <c r="D13" s="1094">
        <f t="shared" si="12"/>
        <v>82.338902147971353</v>
      </c>
      <c r="E13" s="1090"/>
      <c r="F13" s="48"/>
      <c r="G13" s="48">
        <f>IF([2]TWAS!B13="","",[2]TWAS!B13)</f>
        <v>4.01</v>
      </c>
      <c r="H13" s="1080">
        <f>IF([2]TWAS!C13="","",[2]TWAS!C13)</f>
        <v>3.07</v>
      </c>
      <c r="I13" s="947">
        <f t="shared" si="13"/>
        <v>76.558603491271825</v>
      </c>
      <c r="J13" s="1096"/>
      <c r="K13" s="1100">
        <f>IF([1]Digesters!C13="","",[1]Digesters!C13*10)</f>
        <v>4820</v>
      </c>
      <c r="L13" s="1081">
        <f>IF([1]Digesters!B13="","",[1]Digesters!B13*10)</f>
        <v>1550</v>
      </c>
      <c r="M13" s="947">
        <f t="shared" si="14"/>
        <v>178371.75</v>
      </c>
      <c r="N13" s="1086">
        <f t="shared" si="15"/>
        <v>0.56728604140826255</v>
      </c>
      <c r="O13" s="1098"/>
      <c r="P13" s="947">
        <f>IF([1]Digesters!E13="","",[1]Digesters!E13*10)</f>
        <v>4870</v>
      </c>
      <c r="Q13" s="947">
        <f>IF([1]Digesters!D13="","",[1]Digesters!D13*10)</f>
        <v>1600</v>
      </c>
      <c r="R13" s="947">
        <f t="shared" si="16"/>
        <v>181090.59000000003</v>
      </c>
      <c r="S13" s="1102">
        <f t="shared" si="17"/>
        <v>0.57593292624749559</v>
      </c>
      <c r="T13" s="1106" t="str">
        <f>IF([1]Digesters!G13="","",[1]Digesters!G13*10)</f>
        <v/>
      </c>
      <c r="U13" s="947">
        <f>IF([1]Digesters!F13="","",[1]Digesters!F13*10)</f>
        <v>11240</v>
      </c>
      <c r="V13" s="947">
        <f t="shared" si="18"/>
        <v>287786.71199999994</v>
      </c>
      <c r="W13" s="1086">
        <f t="shared" si="19"/>
        <v>0.91526480297681501</v>
      </c>
      <c r="X13" s="1104">
        <f>IF([1]Digesters!I13="","",[1]Digesters!I13*10)</f>
        <v>5080</v>
      </c>
      <c r="Y13" s="947">
        <f>IF([1]Digesters!H13="","",[1]Digesters!H13*10)</f>
        <v>1500</v>
      </c>
      <c r="Z13" s="947">
        <f t="shared" si="20"/>
        <v>184572.53999999998</v>
      </c>
      <c r="AA13" s="1102">
        <f t="shared" si="21"/>
        <v>0.58700677416277069</v>
      </c>
      <c r="AB13" s="1106">
        <f>IF([1]Digesters!K13="","",[1]Digesters!K13*10)</f>
        <v>5010</v>
      </c>
      <c r="AC13" s="947">
        <f>IF([1]Digesters!J13="","",[1]Digesters!J13*10)</f>
        <v>1380</v>
      </c>
      <c r="AD13" s="947">
        <f t="shared" si="22"/>
        <v>179485.97399999999</v>
      </c>
      <c r="AE13" s="1086">
        <f t="shared" si="23"/>
        <v>0.52789992352941173</v>
      </c>
      <c r="AF13" s="1104">
        <f>IF([1]Digesters!M13="","",[1]Digesters!M13*10)</f>
        <v>4790</v>
      </c>
      <c r="AG13" s="947">
        <f>IF([1]Digesters!L13="","",[1]Digesters!L13*10)</f>
        <v>1460</v>
      </c>
      <c r="AH13" s="947">
        <f t="shared" si="24"/>
        <v>175204.21799999999</v>
      </c>
      <c r="AI13" s="1086">
        <f t="shared" si="25"/>
        <v>0.55721215532868995</v>
      </c>
      <c r="AJ13" s="135"/>
      <c r="AK13" s="546">
        <v>10</v>
      </c>
      <c r="AL13" s="145">
        <f t="shared" si="8"/>
        <v>0.56728604140826255</v>
      </c>
      <c r="AM13" s="145">
        <f t="shared" si="9"/>
        <v>0.57593292624749559</v>
      </c>
      <c r="AN13" s="145">
        <f t="shared" si="10"/>
        <v>0.91526480297681501</v>
      </c>
      <c r="AO13" s="146">
        <f t="shared" si="11"/>
        <v>0.58700677416277069</v>
      </c>
      <c r="AR13" s="12" t="s">
        <v>343</v>
      </c>
      <c r="AS13" s="12" t="s">
        <v>156</v>
      </c>
      <c r="AT13" s="203" t="s">
        <v>360</v>
      </c>
      <c r="AU13" s="12" t="s">
        <v>386</v>
      </c>
    </row>
    <row r="14" spans="1:74" ht="20.100000000000001" customHeight="1" x14ac:dyDescent="0.25">
      <c r="A14" s="1088">
        <v>11</v>
      </c>
      <c r="B14" s="1093">
        <f>IF([2]PRI_SLG!B14="","",[2]PRI_SLG!B14)</f>
        <v>3.52</v>
      </c>
      <c r="C14" s="1080">
        <f>IF([2]PRI_SLG!C14="","",[2]PRI_SLG!C14)</f>
        <v>2.94</v>
      </c>
      <c r="D14" s="1094">
        <f t="shared" si="12"/>
        <v>83.522727272727266</v>
      </c>
      <c r="E14" s="1090"/>
      <c r="F14" s="48"/>
      <c r="G14" s="48">
        <f>IF([2]TWAS!B14="","",[2]TWAS!B14)</f>
        <v>3.73</v>
      </c>
      <c r="H14" s="1080">
        <f>IF([2]TWAS!C14="","",[2]TWAS!C14)</f>
        <v>2.79</v>
      </c>
      <c r="I14" s="947">
        <f t="shared" si="13"/>
        <v>74.798927613941018</v>
      </c>
      <c r="J14" s="1096"/>
      <c r="K14" s="1100">
        <f>IF([1]Digesters!C14="","",[1]Digesters!C14*10)</f>
        <v>6210</v>
      </c>
      <c r="L14" s="1081">
        <f>IF([1]Digesters!B14="","",[1]Digesters!B14*10)</f>
        <v>2340</v>
      </c>
      <c r="M14" s="947">
        <f t="shared" si="14"/>
        <v>206715.24000000002</v>
      </c>
      <c r="N14" s="1086">
        <f t="shared" si="15"/>
        <v>0.65742848964793443</v>
      </c>
      <c r="O14" s="1098"/>
      <c r="P14" s="947">
        <f>IF([1]Digesters!E14="","",[1]Digesters!E14*10)</f>
        <v>6260</v>
      </c>
      <c r="Q14" s="947">
        <f>IF([1]Digesters!D14="","",[1]Digesters!D14*10)</f>
        <v>2320</v>
      </c>
      <c r="R14" s="947">
        <f t="shared" si="16"/>
        <v>207475.848</v>
      </c>
      <c r="S14" s="1102">
        <f t="shared" si="17"/>
        <v>0.65984749546798971</v>
      </c>
      <c r="T14" s="1106" t="str">
        <f>IF([1]Digesters!G14="","",[1]Digesters!G14*10)</f>
        <v/>
      </c>
      <c r="U14" s="947">
        <f>IF([1]Digesters!F14="","",[1]Digesters!F14*10)</f>
        <v>17770</v>
      </c>
      <c r="V14" s="947">
        <f t="shared" si="18"/>
        <v>413483.022</v>
      </c>
      <c r="W14" s="1086">
        <f t="shared" si="19"/>
        <v>1.3150240816715961</v>
      </c>
      <c r="X14" s="1104">
        <f>IF([1]Digesters!I14="","",[1]Digesters!I14*10)</f>
        <v>6320</v>
      </c>
      <c r="Y14" s="947">
        <f>IF([1]Digesters!H14="","",[1]Digesters!H14*10)</f>
        <v>2530</v>
      </c>
      <c r="Z14" s="947">
        <f t="shared" si="20"/>
        <v>213833.43</v>
      </c>
      <c r="AA14" s="1102">
        <f t="shared" si="21"/>
        <v>0.68006688293101802</v>
      </c>
      <c r="AB14" s="1106">
        <f>IF([1]Digesters!K14="","",[1]Digesters!K14*10)</f>
        <v>6250</v>
      </c>
      <c r="AC14" s="947">
        <f>IF([1]Digesters!J14="","",[1]Digesters!J14*10)</f>
        <v>2310</v>
      </c>
      <c r="AD14" s="947">
        <f t="shared" si="22"/>
        <v>206997.96599999999</v>
      </c>
      <c r="AE14" s="1086">
        <f t="shared" si="23"/>
        <v>0.60881754705882352</v>
      </c>
      <c r="AF14" s="1104">
        <f>IF([1]Digesters!M14="","",[1]Digesters!M14*10)</f>
        <v>6440</v>
      </c>
      <c r="AG14" s="947">
        <f>IF([1]Digesters!L14="","",[1]Digesters!L14*10)</f>
        <v>2470</v>
      </c>
      <c r="AH14" s="947">
        <f t="shared" si="24"/>
        <v>215379.66600000003</v>
      </c>
      <c r="AI14" s="1086">
        <f t="shared" si="25"/>
        <v>0.68498446713099903</v>
      </c>
      <c r="AJ14" s="135"/>
      <c r="AK14" s="546">
        <v>11</v>
      </c>
      <c r="AL14" s="145">
        <f t="shared" si="8"/>
        <v>0.65742848964793443</v>
      </c>
      <c r="AM14" s="145">
        <f t="shared" si="9"/>
        <v>0.65984749546798971</v>
      </c>
      <c r="AN14" s="145">
        <f t="shared" si="10"/>
        <v>1.3150240816715961</v>
      </c>
      <c r="AO14" s="146">
        <f t="shared" si="11"/>
        <v>0.68006688293101802</v>
      </c>
      <c r="AR14" s="12" t="s">
        <v>200</v>
      </c>
      <c r="AS14" s="12" t="s">
        <v>187</v>
      </c>
      <c r="AT14" s="200" t="s">
        <v>361</v>
      </c>
      <c r="AU14" s="12" t="s">
        <v>381</v>
      </c>
    </row>
    <row r="15" spans="1:74" ht="20.100000000000001" customHeight="1" x14ac:dyDescent="0.25">
      <c r="A15" s="1088">
        <v>12</v>
      </c>
      <c r="B15" s="1093">
        <f>IF([2]PRI_SLG!B15="","",[2]PRI_SLG!B15)</f>
        <v>3.96</v>
      </c>
      <c r="C15" s="1080">
        <f>IF([2]PRI_SLG!C15="","",[2]PRI_SLG!C15)</f>
        <v>3.33</v>
      </c>
      <c r="D15" s="1094">
        <f t="shared" si="12"/>
        <v>84.090909090909093</v>
      </c>
      <c r="E15" s="1090"/>
      <c r="F15" s="48"/>
      <c r="G15" s="48">
        <f>IF([2]TWAS!B15="","",[2]TWAS!B15)</f>
        <v>4.07</v>
      </c>
      <c r="H15" s="1080">
        <f>IF([2]TWAS!C15="","",[2]TWAS!C15)</f>
        <v>3.07</v>
      </c>
      <c r="I15" s="947">
        <f t="shared" si="13"/>
        <v>75.429975429975414</v>
      </c>
      <c r="J15" s="1096"/>
      <c r="K15" s="1100">
        <f>IF([1]Digesters!C15="","",[1]Digesters!C15*10)</f>
        <v>6340</v>
      </c>
      <c r="L15" s="1081">
        <f>IF([1]Digesters!B15="","",[1]Digesters!B15*10)</f>
        <v>1590</v>
      </c>
      <c r="M15" s="947">
        <f t="shared" si="14"/>
        <v>216785.78999999998</v>
      </c>
      <c r="N15" s="1086">
        <f t="shared" si="15"/>
        <v>0.68945644499570646</v>
      </c>
      <c r="O15" s="1098"/>
      <c r="P15" s="947">
        <f>IF([1]Digesters!E15="","",[1]Digesters!E15*10)</f>
        <v>6370</v>
      </c>
      <c r="Q15" s="947">
        <f>IF([1]Digesters!D15="","",[1]Digesters!D15*10)</f>
        <v>1590</v>
      </c>
      <c r="R15" s="947">
        <f t="shared" si="16"/>
        <v>217618.95599999998</v>
      </c>
      <c r="S15" s="1102">
        <f t="shared" si="17"/>
        <v>0.69210621123938543</v>
      </c>
      <c r="T15" s="1106" t="str">
        <f>IF([1]Digesters!G15="","",[1]Digesters!G15*10)</f>
        <v/>
      </c>
      <c r="U15" s="947">
        <f>IF([1]Digesters!F15="","",[1]Digesters!F15*10)</f>
        <v>9490</v>
      </c>
      <c r="V15" s="947">
        <f t="shared" si="18"/>
        <v>242980.06199999995</v>
      </c>
      <c r="W15" s="1086">
        <f t="shared" si="19"/>
        <v>0.77276361034252439</v>
      </c>
      <c r="X15" s="1104">
        <f>IF([1]Digesters!I15="","",[1]Digesters!I15*10)</f>
        <v>6500</v>
      </c>
      <c r="Y15" s="947">
        <f>IF([1]Digesters!H15="","",[1]Digesters!H15*10)</f>
        <v>1500</v>
      </c>
      <c r="Z15" s="947">
        <f t="shared" si="20"/>
        <v>218924.99999999994</v>
      </c>
      <c r="AA15" s="1102">
        <f t="shared" si="21"/>
        <v>0.69625989886461193</v>
      </c>
      <c r="AB15" s="1106">
        <f>IF([1]Digesters!K15="","",[1]Digesters!K15*10)</f>
        <v>6250</v>
      </c>
      <c r="AC15" s="947">
        <f>IF([1]Digesters!J15="","",[1]Digesters!J15*10)</f>
        <v>1500</v>
      </c>
      <c r="AD15" s="947">
        <f t="shared" si="22"/>
        <v>211981.94999999995</v>
      </c>
      <c r="AE15" s="1086">
        <f t="shared" si="23"/>
        <v>0.62347632352941162</v>
      </c>
      <c r="AF15" s="1104">
        <f>IF([1]Digesters!M15="","",[1]Digesters!M15*10)</f>
        <v>6620</v>
      </c>
      <c r="AG15" s="947">
        <f>IF([1]Digesters!L15="","",[1]Digesters!L15*10)</f>
        <v>1480</v>
      </c>
      <c r="AH15" s="947">
        <f t="shared" si="24"/>
        <v>221745.58799999999</v>
      </c>
      <c r="AI15" s="1086">
        <f t="shared" si="25"/>
        <v>0.70523037878065065</v>
      </c>
      <c r="AJ15" s="135"/>
      <c r="AK15" s="546">
        <v>12</v>
      </c>
      <c r="AL15" s="145">
        <f t="shared" si="8"/>
        <v>0.68945644499570646</v>
      </c>
      <c r="AM15" s="145">
        <f t="shared" si="9"/>
        <v>0.69210621123938543</v>
      </c>
      <c r="AN15" s="145">
        <f t="shared" si="10"/>
        <v>0.77276361034252439</v>
      </c>
      <c r="AO15" s="146">
        <f t="shared" si="11"/>
        <v>0.69625989886461193</v>
      </c>
      <c r="AR15" s="12" t="s">
        <v>201</v>
      </c>
      <c r="AS15" s="12" t="s">
        <v>191</v>
      </c>
      <c r="AT15" s="200" t="s">
        <v>362</v>
      </c>
      <c r="AU15" s="12" t="s">
        <v>382</v>
      </c>
    </row>
    <row r="16" spans="1:74" ht="20.100000000000001" customHeight="1" x14ac:dyDescent="0.25">
      <c r="A16" s="1088">
        <v>13</v>
      </c>
      <c r="B16" s="1093">
        <f>IF([2]PRI_SLG!B16="","",[2]PRI_SLG!B16)</f>
        <v>3.67</v>
      </c>
      <c r="C16" s="1080">
        <f>IF([2]PRI_SLG!C16="","",[2]PRI_SLG!C16)</f>
        <v>3.12</v>
      </c>
      <c r="D16" s="1094">
        <f t="shared" si="12"/>
        <v>85.013623978201636</v>
      </c>
      <c r="E16" s="1090"/>
      <c r="F16" s="48"/>
      <c r="G16" s="48">
        <f>IF([2]TWAS!B16="","",[2]TWAS!B16)</f>
        <v>3.95</v>
      </c>
      <c r="H16" s="1080">
        <f>IF([2]TWAS!C16="","",[2]TWAS!C16)</f>
        <v>2.98</v>
      </c>
      <c r="I16" s="947">
        <f t="shared" si="13"/>
        <v>75.443037974683534</v>
      </c>
      <c r="J16" s="1096"/>
      <c r="K16" s="1100">
        <f>IF([1]Digesters!C16="","",[1]Digesters!C16*10)</f>
        <v>9090</v>
      </c>
      <c r="L16" s="1081">
        <f>IF([1]Digesters!B16="","",[1]Digesters!B16*10)</f>
        <v>1700</v>
      </c>
      <c r="M16" s="947">
        <f t="shared" si="14"/>
        <v>278779.51199999993</v>
      </c>
      <c r="N16" s="1086">
        <f t="shared" si="15"/>
        <v>0.88661868142352807</v>
      </c>
      <c r="O16" s="1098"/>
      <c r="P16" s="947">
        <f>IF([1]Digesters!E16="","",[1]Digesters!E16*10)</f>
        <v>9380</v>
      </c>
      <c r="Q16" s="947">
        <f>IF([1]Digesters!D16="","",[1]Digesters!D16*10)</f>
        <v>1710</v>
      </c>
      <c r="R16" s="947">
        <f t="shared" si="16"/>
        <v>286574.076</v>
      </c>
      <c r="S16" s="1102">
        <f t="shared" si="17"/>
        <v>0.91140818624177078</v>
      </c>
      <c r="T16" s="1106" t="str">
        <f>IF([1]Digesters!G16="","",[1]Digesters!G16*10)</f>
        <v/>
      </c>
      <c r="U16" s="947">
        <f>IF([1]Digesters!F16="","",[1]Digesters!F16*10)</f>
        <v>12030</v>
      </c>
      <c r="V16" s="947">
        <f t="shared" si="18"/>
        <v>298983.99599999993</v>
      </c>
      <c r="W16" s="1086">
        <f t="shared" si="19"/>
        <v>0.95087617593741036</v>
      </c>
      <c r="X16" s="1104">
        <f>IF([1]Digesters!I16="","",[1]Digesters!I16*10)</f>
        <v>9590</v>
      </c>
      <c r="Y16" s="947">
        <f>IF([1]Digesters!H16="","",[1]Digesters!H16*10)</f>
        <v>1880</v>
      </c>
      <c r="Z16" s="947">
        <f t="shared" si="20"/>
        <v>296263.48799999995</v>
      </c>
      <c r="AA16" s="1102">
        <f t="shared" si="21"/>
        <v>0.9422239862608528</v>
      </c>
      <c r="AB16" s="1106">
        <f>IF([1]Digesters!K16="","",[1]Digesters!K16*10)</f>
        <v>8860</v>
      </c>
      <c r="AC16" s="947">
        <f>IF([1]Digesters!J16="","",[1]Digesters!J16*10)</f>
        <v>1790</v>
      </c>
      <c r="AD16" s="947">
        <f t="shared" si="22"/>
        <v>275031.51599999995</v>
      </c>
      <c r="AE16" s="1086">
        <f t="shared" si="23"/>
        <v>0.80891622352941162</v>
      </c>
      <c r="AF16" s="1104">
        <f>IF([1]Digesters!M16="","",[1]Digesters!M16*10)</f>
        <v>9100</v>
      </c>
      <c r="AG16" s="947">
        <f>IF([1]Digesters!L16="","",[1]Digesters!L16*10)</f>
        <v>1770</v>
      </c>
      <c r="AH16" s="947">
        <f t="shared" si="24"/>
        <v>280779.44400000002</v>
      </c>
      <c r="AI16" s="1086">
        <f t="shared" si="25"/>
        <v>0.89297918137582299</v>
      </c>
      <c r="AJ16" s="135"/>
      <c r="AK16" s="546">
        <v>13</v>
      </c>
      <c r="AL16" s="145">
        <f t="shared" si="8"/>
        <v>0.88661868142352807</v>
      </c>
      <c r="AM16" s="145">
        <f t="shared" si="9"/>
        <v>0.91140818624177078</v>
      </c>
      <c r="AN16" s="145">
        <f t="shared" si="10"/>
        <v>0.95087617593741036</v>
      </c>
      <c r="AO16" s="146">
        <f t="shared" si="11"/>
        <v>0.9422239862608528</v>
      </c>
      <c r="AR16" s="12" t="s">
        <v>344</v>
      </c>
      <c r="AS16" s="12" t="s">
        <v>196</v>
      </c>
      <c r="AT16" s="204" t="s">
        <v>363</v>
      </c>
      <c r="AU16" s="12" t="s">
        <v>383</v>
      </c>
    </row>
    <row r="17" spans="1:47" ht="20.100000000000001" customHeight="1" x14ac:dyDescent="0.25">
      <c r="A17" s="1088">
        <v>14</v>
      </c>
      <c r="B17" s="1093">
        <f>IF([2]PRI_SLG!B17="","",[2]PRI_SLG!B17)</f>
        <v>3.2</v>
      </c>
      <c r="C17" s="1080">
        <f>IF([2]PRI_SLG!C17="","",[2]PRI_SLG!C17)</f>
        <v>2.78</v>
      </c>
      <c r="D17" s="1094">
        <f t="shared" si="12"/>
        <v>86.874999999999986</v>
      </c>
      <c r="E17" s="1090"/>
      <c r="F17" s="48"/>
      <c r="G17" s="48">
        <f>IF([2]TWAS!B17="","",[2]TWAS!B17)</f>
        <v>3.66</v>
      </c>
      <c r="H17" s="1080">
        <f>IF([2]TWAS!C17="","",[2]TWAS!C17)</f>
        <v>2.77</v>
      </c>
      <c r="I17" s="947">
        <f t="shared" si="13"/>
        <v>75.683060109289613</v>
      </c>
      <c r="J17" s="1096"/>
      <c r="K17" s="1100">
        <f>IF([1]Digesters!C17="","",[1]Digesters!C17*10)</f>
        <v>6010</v>
      </c>
      <c r="L17" s="1081">
        <f>IF([1]Digesters!B17="","",[1]Digesters!B17*10)</f>
        <v>1710</v>
      </c>
      <c r="M17" s="947">
        <f t="shared" si="14"/>
        <v>178847.13</v>
      </c>
      <c r="N17" s="1086">
        <f t="shared" si="15"/>
        <v>0.56879792004579721</v>
      </c>
      <c r="O17" s="1098"/>
      <c r="P17" s="947">
        <f>IF([1]Digesters!E17="","",[1]Digesters!E17*10)</f>
        <v>6250</v>
      </c>
      <c r="Q17" s="947">
        <f>IF([1]Digesters!D17="","",[1]Digesters!D17*10)</f>
        <v>1720</v>
      </c>
      <c r="R17" s="947">
        <f t="shared" si="16"/>
        <v>184642.59599999999</v>
      </c>
      <c r="S17" s="1102">
        <f t="shared" si="17"/>
        <v>0.58722957733040737</v>
      </c>
      <c r="T17" s="1106" t="str">
        <f>IF([1]Digesters!G17="","",[1]Digesters!G17*10)</f>
        <v/>
      </c>
      <c r="U17" s="947">
        <f>IF([1]Digesters!F17="","",[1]Digesters!F17*10)</f>
        <v>10170</v>
      </c>
      <c r="V17" s="947">
        <f t="shared" si="18"/>
        <v>234945.30599999998</v>
      </c>
      <c r="W17" s="1086">
        <f t="shared" si="19"/>
        <v>0.74721020894952761</v>
      </c>
      <c r="X17" s="1104">
        <f>IF([1]Digesters!I17="","",[1]Digesters!I17*10)</f>
        <v>6370</v>
      </c>
      <c r="Y17" s="947">
        <f>IF([1]Digesters!H17="","",[1]Digesters!H17*10)</f>
        <v>1630</v>
      </c>
      <c r="Z17" s="947">
        <f t="shared" si="20"/>
        <v>185345.658</v>
      </c>
      <c r="AA17" s="1102">
        <f t="shared" si="21"/>
        <v>0.58946556626276114</v>
      </c>
      <c r="AB17" s="1106">
        <f>IF([1]Digesters!K17="","",[1]Digesters!K17*10)</f>
        <v>6270</v>
      </c>
      <c r="AC17" s="947">
        <f>IF([1]Digesters!J17="","",[1]Digesters!J17*10)</f>
        <v>1500</v>
      </c>
      <c r="AD17" s="947">
        <f t="shared" si="22"/>
        <v>180023.90399999998</v>
      </c>
      <c r="AE17" s="1086">
        <f t="shared" si="23"/>
        <v>0.52948207058823527</v>
      </c>
      <c r="AF17" s="1104">
        <f>IF([1]Digesters!M17="","",[1]Digesters!M17*10)</f>
        <v>6170</v>
      </c>
      <c r="AG17" s="947">
        <f>IF([1]Digesters!L17="","",[1]Digesters!L17*10)</f>
        <v>1670</v>
      </c>
      <c r="AH17" s="947">
        <f t="shared" si="24"/>
        <v>181632.68999999997</v>
      </c>
      <c r="AI17" s="1086">
        <f t="shared" si="25"/>
        <v>0.57765699837801732</v>
      </c>
      <c r="AJ17" s="135"/>
      <c r="AK17" s="546">
        <v>14</v>
      </c>
      <c r="AL17" s="145">
        <f t="shared" si="8"/>
        <v>0.56879792004579721</v>
      </c>
      <c r="AM17" s="145">
        <f t="shared" si="9"/>
        <v>0.58722957733040737</v>
      </c>
      <c r="AN17" s="145">
        <f t="shared" si="10"/>
        <v>0.74721020894952761</v>
      </c>
      <c r="AO17" s="146">
        <f t="shared" si="11"/>
        <v>0.58946556626276114</v>
      </c>
      <c r="AR17" s="12" t="s">
        <v>345</v>
      </c>
      <c r="AS17" s="12" t="s">
        <v>207</v>
      </c>
      <c r="AT17" s="198" t="s">
        <v>364</v>
      </c>
      <c r="AU17" s="12" t="s">
        <v>384</v>
      </c>
    </row>
    <row r="18" spans="1:47" ht="20.100000000000001" customHeight="1" x14ac:dyDescent="0.25">
      <c r="A18" s="1088">
        <v>15</v>
      </c>
      <c r="B18" s="1093">
        <f>IF([2]PRI_SLG!B18="","",[2]PRI_SLG!B18)</f>
        <v>2.29</v>
      </c>
      <c r="C18" s="1080">
        <f>IF([2]PRI_SLG!C18="","",[2]PRI_SLG!C18)</f>
        <v>2</v>
      </c>
      <c r="D18" s="1094">
        <f t="shared" si="12"/>
        <v>87.336244541484717</v>
      </c>
      <c r="E18" s="1090"/>
      <c r="F18" s="48"/>
      <c r="G18" s="48">
        <f>IF([2]TWAS!B18="","",[2]TWAS!B18)</f>
        <v>3.85</v>
      </c>
      <c r="H18" s="1080">
        <f>IF([2]TWAS!C18="","",[2]TWAS!C18)</f>
        <v>2.86</v>
      </c>
      <c r="I18" s="947">
        <f t="shared" si="13"/>
        <v>74.285714285714278</v>
      </c>
      <c r="J18" s="1096"/>
      <c r="K18" s="1100">
        <f>IF([1]Digesters!C18="","",[1]Digesters!C18*10)</f>
        <v>7840</v>
      </c>
      <c r="L18" s="1081">
        <f>IF([1]Digesters!B18="","",[1]Digesters!B18*10)</f>
        <v>1580</v>
      </c>
      <c r="M18" s="947">
        <f t="shared" si="14"/>
        <v>168457.992</v>
      </c>
      <c r="N18" s="1086">
        <f t="shared" si="15"/>
        <v>0.53575674076901059</v>
      </c>
      <c r="O18" s="1098"/>
      <c r="P18" s="947">
        <f>IF([1]Digesters!E18="","",[1]Digesters!E18*10)</f>
        <v>7870</v>
      </c>
      <c r="Q18" s="947">
        <f>IF([1]Digesters!D18="","",[1]Digesters!D18*10)</f>
        <v>1590</v>
      </c>
      <c r="R18" s="947">
        <f t="shared" si="16"/>
        <v>169196.916</v>
      </c>
      <c r="S18" s="1102">
        <f t="shared" si="17"/>
        <v>0.53810678370384502</v>
      </c>
      <c r="T18" s="1106" t="str">
        <f>IF([1]Digesters!G18="","",[1]Digesters!G18*10)</f>
        <v/>
      </c>
      <c r="U18" s="947">
        <f>IF([1]Digesters!F18="","",[1]Digesters!F18*10)</f>
        <v>11780</v>
      </c>
      <c r="V18" s="947">
        <f t="shared" si="18"/>
        <v>280981.27199999994</v>
      </c>
      <c r="W18" s="1086">
        <f t="shared" si="19"/>
        <v>0.89362106669210939</v>
      </c>
      <c r="X18" s="1104">
        <f>IF([1]Digesters!I18="","",[1]Digesters!I18*10)</f>
        <v>8180</v>
      </c>
      <c r="Y18" s="947">
        <f>IF([1]Digesters!H18="","",[1]Digesters!H18*10)</f>
        <v>1750</v>
      </c>
      <c r="Z18" s="947">
        <f t="shared" si="20"/>
        <v>178184.1</v>
      </c>
      <c r="AA18" s="1102">
        <f t="shared" si="21"/>
        <v>0.56668924720923575</v>
      </c>
      <c r="AB18" s="1106">
        <f>IF([1]Digesters!K18="","",[1]Digesters!K18*10)</f>
        <v>7920</v>
      </c>
      <c r="AC18" s="947">
        <f>IF([1]Digesters!J18="","",[1]Digesters!J18*10)</f>
        <v>1730</v>
      </c>
      <c r="AD18" s="947">
        <f t="shared" si="22"/>
        <v>173370.25200000001</v>
      </c>
      <c r="AE18" s="1086">
        <f t="shared" si="23"/>
        <v>0.50991250588235293</v>
      </c>
      <c r="AF18" s="1104">
        <f>IF([1]Digesters!M18="","",[1]Digesters!M18*10)</f>
        <v>8000</v>
      </c>
      <c r="AG18" s="947">
        <f>IF([1]Digesters!L18="","",[1]Digesters!L18*10)</f>
        <v>1470</v>
      </c>
      <c r="AH18" s="947">
        <f t="shared" si="24"/>
        <v>168503.02799999999</v>
      </c>
      <c r="AI18" s="1086">
        <f t="shared" si="25"/>
        <v>0.53589997137677703</v>
      </c>
      <c r="AJ18" s="135"/>
      <c r="AK18" s="546">
        <v>15</v>
      </c>
      <c r="AL18" s="145">
        <f t="shared" si="8"/>
        <v>0.53575674076901059</v>
      </c>
      <c r="AM18" s="145">
        <f t="shared" si="9"/>
        <v>0.53810678370384502</v>
      </c>
      <c r="AN18" s="145">
        <f t="shared" si="10"/>
        <v>0.89362106669210939</v>
      </c>
      <c r="AO18" s="146">
        <f t="shared" si="11"/>
        <v>0.56668924720923575</v>
      </c>
      <c r="AR18" s="12" t="s">
        <v>264</v>
      </c>
      <c r="AS18" s="12" t="s">
        <v>208</v>
      </c>
      <c r="AT18" s="200" t="s">
        <v>365</v>
      </c>
      <c r="AU18" s="12" t="s">
        <v>382</v>
      </c>
    </row>
    <row r="19" spans="1:47" ht="20.100000000000001" customHeight="1" x14ac:dyDescent="0.25">
      <c r="A19" s="1088">
        <v>16</v>
      </c>
      <c r="B19" s="1093">
        <f>IF([2]PRI_SLG!B19="","",[2]PRI_SLG!B19)</f>
        <v>2.8</v>
      </c>
      <c r="C19" s="1080">
        <f>IF([2]PRI_SLG!C19="","",[2]PRI_SLG!C19)</f>
        <v>2.27</v>
      </c>
      <c r="D19" s="1094">
        <f t="shared" si="12"/>
        <v>81.071428571428569</v>
      </c>
      <c r="E19" s="1090"/>
      <c r="F19" s="48"/>
      <c r="G19" s="48">
        <f>IF([2]TWAS!B19="","",[2]TWAS!B19)</f>
        <v>4.05</v>
      </c>
      <c r="H19" s="1080">
        <f>IF([2]TWAS!C19="","",[2]TWAS!C19)</f>
        <v>3</v>
      </c>
      <c r="I19" s="947">
        <f t="shared" si="13"/>
        <v>74.074074074074076</v>
      </c>
      <c r="J19" s="1096"/>
      <c r="K19" s="1100">
        <f>IF([1]Digesters!C19="","",[1]Digesters!C19*10)</f>
        <v>7700</v>
      </c>
      <c r="L19" s="1081">
        <f>IF([1]Digesters!B19="","",[1]Digesters!B19*10)</f>
        <v>1590</v>
      </c>
      <c r="M19" s="947">
        <f t="shared" si="14"/>
        <v>185556.65999999997</v>
      </c>
      <c r="N19" s="1086">
        <f t="shared" si="15"/>
        <v>0.59013662818433343</v>
      </c>
      <c r="O19" s="1098"/>
      <c r="P19" s="947">
        <f>IF([1]Digesters!E19="","",[1]Digesters!E19*10)</f>
        <v>7810</v>
      </c>
      <c r="Q19" s="947">
        <f>IF([1]Digesters!D19="","",[1]Digesters!D19*10)</f>
        <v>1590</v>
      </c>
      <c r="R19" s="947">
        <f t="shared" si="16"/>
        <v>187639.158</v>
      </c>
      <c r="S19" s="1102">
        <f t="shared" si="17"/>
        <v>0.59675971758419999</v>
      </c>
      <c r="T19" s="1106" t="str">
        <f>IF([1]Digesters!G19="","",[1]Digesters!G19*10)</f>
        <v/>
      </c>
      <c r="U19" s="947">
        <f>IF([1]Digesters!F19="","",[1]Digesters!F19*10)</f>
        <v>9520</v>
      </c>
      <c r="V19" s="947">
        <f t="shared" si="18"/>
        <v>238190.40000000002</v>
      </c>
      <c r="W19" s="1086">
        <f t="shared" si="19"/>
        <v>0.75753076996469815</v>
      </c>
      <c r="X19" s="1104">
        <f>IF([1]Digesters!I19="","",[1]Digesters!I19*10)</f>
        <v>8150</v>
      </c>
      <c r="Y19" s="947">
        <f>IF([1]Digesters!H19="","",[1]Digesters!H19*10)</f>
        <v>1490</v>
      </c>
      <c r="Z19" s="947">
        <f t="shared" si="20"/>
        <v>191573.96999999997</v>
      </c>
      <c r="AA19" s="1102">
        <f t="shared" si="21"/>
        <v>0.60927382883312653</v>
      </c>
      <c r="AB19" s="1106">
        <f>IF([1]Digesters!K19="","",[1]Digesters!K19*10)</f>
        <v>8120</v>
      </c>
      <c r="AC19" s="947">
        <f>IF([1]Digesters!J19="","",[1]Digesters!J19*10)</f>
        <v>1500</v>
      </c>
      <c r="AD19" s="947">
        <f t="shared" si="22"/>
        <v>191256.21599999999</v>
      </c>
      <c r="AE19" s="1086">
        <f t="shared" si="23"/>
        <v>0.5625182823529411</v>
      </c>
      <c r="AF19" s="1104">
        <f>IF([1]Digesters!M19="","",[1]Digesters!M19*10)</f>
        <v>7940</v>
      </c>
      <c r="AG19" s="947">
        <f>IF([1]Digesters!L19="","",[1]Digesters!L19*10)</f>
        <v>1590</v>
      </c>
      <c r="AH19" s="947">
        <f t="shared" si="24"/>
        <v>190100.29199999996</v>
      </c>
      <c r="AI19" s="1086">
        <f t="shared" si="25"/>
        <v>0.60458700505676921</v>
      </c>
      <c r="AJ19" s="135"/>
      <c r="AK19" s="546">
        <v>16</v>
      </c>
      <c r="AL19" s="145">
        <f t="shared" si="8"/>
        <v>0.59013662818433343</v>
      </c>
      <c r="AM19" s="145">
        <f t="shared" si="9"/>
        <v>0.59675971758419999</v>
      </c>
      <c r="AN19" s="145">
        <f t="shared" si="10"/>
        <v>0.75753076996469815</v>
      </c>
      <c r="AO19" s="146">
        <f t="shared" si="11"/>
        <v>0.60927382883312653</v>
      </c>
      <c r="AR19" s="12" t="s">
        <v>346</v>
      </c>
      <c r="AS19" s="12" t="s">
        <v>209</v>
      </c>
      <c r="AT19" s="200" t="s">
        <v>366</v>
      </c>
      <c r="AU19" s="12" t="s">
        <v>385</v>
      </c>
    </row>
    <row r="20" spans="1:47" ht="20.100000000000001" customHeight="1" x14ac:dyDescent="0.25">
      <c r="A20" s="1088">
        <v>17</v>
      </c>
      <c r="B20" s="1093">
        <f>IF([2]PRI_SLG!B20="","",[2]PRI_SLG!B20)</f>
        <v>5.2</v>
      </c>
      <c r="C20" s="1080">
        <f>IF([2]PRI_SLG!C20="","",[2]PRI_SLG!C20)</f>
        <v>3.92</v>
      </c>
      <c r="D20" s="1094">
        <f t="shared" si="12"/>
        <v>75.384615384615387</v>
      </c>
      <c r="E20" s="1090"/>
      <c r="F20" s="48"/>
      <c r="G20" s="48">
        <f>IF([2]TWAS!B20="","",[2]TWAS!B20)</f>
        <v>3.78</v>
      </c>
      <c r="H20" s="1080">
        <f>IF([2]TWAS!C20="","",[2]TWAS!C20)</f>
        <v>2.88</v>
      </c>
      <c r="I20" s="947">
        <f t="shared" si="13"/>
        <v>76.19047619047619</v>
      </c>
      <c r="J20" s="1096"/>
      <c r="K20" s="1100">
        <f>IF([1]Digesters!C20="","",[1]Digesters!C20*10)</f>
        <v>10360</v>
      </c>
      <c r="L20" s="1081">
        <f>IF([1]Digesters!B20="","",[1]Digesters!B20*10)</f>
        <v>2060</v>
      </c>
      <c r="M20" s="947">
        <f t="shared" si="14"/>
        <v>388176.96000000008</v>
      </c>
      <c r="N20" s="1086">
        <f t="shared" si="15"/>
        <v>1.2345417422001721</v>
      </c>
      <c r="O20" s="1098"/>
      <c r="P20" s="947">
        <f>IF([1]Digesters!E20="","",[1]Digesters!E20*10)</f>
        <v>10520</v>
      </c>
      <c r="Q20" s="947">
        <f>IF([1]Digesters!D20="","",[1]Digesters!D20*10)</f>
        <v>2080</v>
      </c>
      <c r="R20" s="947">
        <f t="shared" si="16"/>
        <v>393888.19199999998</v>
      </c>
      <c r="S20" s="1102">
        <f t="shared" si="17"/>
        <v>1.2527055051998854</v>
      </c>
      <c r="T20" s="1106" t="str">
        <f>IF([1]Digesters!G20="","",[1]Digesters!G20*10)</f>
        <v/>
      </c>
      <c r="U20" s="947">
        <f>IF([1]Digesters!F20="","",[1]Digesters!F20*10)</f>
        <v>13810</v>
      </c>
      <c r="V20" s="947">
        <f t="shared" si="18"/>
        <v>331705.152</v>
      </c>
      <c r="W20" s="1086">
        <f t="shared" si="19"/>
        <v>1.0549411697357123</v>
      </c>
      <c r="X20" s="1104">
        <f>IF([1]Digesters!I20="","",[1]Digesters!I20*10)</f>
        <v>10980</v>
      </c>
      <c r="Y20" s="947">
        <f>IF([1]Digesters!H20="","",[1]Digesters!H20*10)</f>
        <v>2140</v>
      </c>
      <c r="Z20" s="947">
        <f t="shared" si="20"/>
        <v>410368.03200000001</v>
      </c>
      <c r="AA20" s="1102">
        <f t="shared" si="21"/>
        <v>1.3051172979677512</v>
      </c>
      <c r="AB20" s="1106">
        <f>IF([1]Digesters!K20="","",[1]Digesters!K20*10)</f>
        <v>10720</v>
      </c>
      <c r="AC20" s="947">
        <f>IF([1]Digesters!J20="","",[1]Digesters!J20*10)</f>
        <v>2130</v>
      </c>
      <c r="AD20" s="947">
        <f t="shared" si="22"/>
        <v>401627.712</v>
      </c>
      <c r="AE20" s="1086">
        <f t="shared" si="23"/>
        <v>1.1812579764705882</v>
      </c>
      <c r="AF20" s="1104">
        <f>IF([1]Digesters!M20="","",[1]Digesters!M20*10)</f>
        <v>10500</v>
      </c>
      <c r="AG20" s="947">
        <f>IF([1]Digesters!L20="","",[1]Digesters!L20*10)</f>
        <v>2100</v>
      </c>
      <c r="AH20" s="947">
        <f t="shared" si="24"/>
        <v>393714.72000000009</v>
      </c>
      <c r="AI20" s="1086">
        <f t="shared" si="25"/>
        <v>1.2521538021181189</v>
      </c>
      <c r="AJ20" s="135"/>
      <c r="AK20" s="546">
        <v>17</v>
      </c>
      <c r="AL20" s="145">
        <f t="shared" si="8"/>
        <v>1.2345417422001721</v>
      </c>
      <c r="AM20" s="145">
        <f t="shared" si="9"/>
        <v>1.2527055051998854</v>
      </c>
      <c r="AN20" s="145">
        <f t="shared" si="10"/>
        <v>1.0549411697357123</v>
      </c>
      <c r="AO20" s="146">
        <f t="shared" si="11"/>
        <v>1.3051172979677512</v>
      </c>
      <c r="AR20" s="12" t="s">
        <v>347</v>
      </c>
      <c r="AS20" s="12" t="s">
        <v>210</v>
      </c>
      <c r="AT20" s="203" t="s">
        <v>367</v>
      </c>
      <c r="AU20" s="12" t="s">
        <v>386</v>
      </c>
    </row>
    <row r="21" spans="1:47" ht="20.100000000000001" customHeight="1" x14ac:dyDescent="0.25">
      <c r="A21" s="1088">
        <v>18</v>
      </c>
      <c r="B21" s="1093">
        <f>IF([2]PRI_SLG!B21="","",[2]PRI_SLG!B21)</f>
        <v>3.46</v>
      </c>
      <c r="C21" s="1080">
        <f>IF([2]PRI_SLG!C21="","",[2]PRI_SLG!C21)</f>
        <v>2.91</v>
      </c>
      <c r="D21" s="1094">
        <f t="shared" si="12"/>
        <v>84.104046242774572</v>
      </c>
      <c r="E21" s="1090"/>
      <c r="F21" s="48"/>
      <c r="G21" s="48">
        <f>IF([2]TWAS!B21="","",[2]TWAS!B21)</f>
        <v>3.63</v>
      </c>
      <c r="H21" s="1080">
        <f>IF([2]TWAS!C21="","",[2]TWAS!C21)</f>
        <v>2.71</v>
      </c>
      <c r="I21" s="947">
        <f t="shared" si="13"/>
        <v>74.655647382920108</v>
      </c>
      <c r="J21" s="1096"/>
      <c r="K21" s="1100">
        <f>IF([1]Digesters!C21="","",[1]Digesters!C21*10)</f>
        <v>5370</v>
      </c>
      <c r="L21" s="1081">
        <f>IF([1]Digesters!B21="","",[1]Digesters!B21*10)</f>
        <v>2090</v>
      </c>
      <c r="M21" s="947">
        <f t="shared" si="14"/>
        <v>177563.60400000002</v>
      </c>
      <c r="N21" s="1086">
        <f t="shared" si="15"/>
        <v>0.56471584772445382</v>
      </c>
      <c r="O21" s="1098"/>
      <c r="P21" s="947">
        <f>IF([1]Digesters!E21="","",[1]Digesters!E21*10)</f>
        <v>5460</v>
      </c>
      <c r="Q21" s="947">
        <f>IF([1]Digesters!D21="","",[1]Digesters!D21*10)</f>
        <v>2040</v>
      </c>
      <c r="R21" s="947">
        <f t="shared" si="16"/>
        <v>178617.78</v>
      </c>
      <c r="S21" s="1102">
        <f t="shared" si="17"/>
        <v>0.56806850491365324</v>
      </c>
      <c r="T21" s="1106" t="str">
        <f>IF([1]Digesters!G21="","",[1]Digesters!G21*10)</f>
        <v/>
      </c>
      <c r="U21" s="947">
        <f>IF([1]Digesters!F21="","",[1]Digesters!F21*10)</f>
        <v>14970</v>
      </c>
      <c r="V21" s="947">
        <f t="shared" si="18"/>
        <v>338342.95799999998</v>
      </c>
      <c r="W21" s="1086">
        <f t="shared" si="19"/>
        <v>1.0760517698692873</v>
      </c>
      <c r="X21" s="1104">
        <f>IF([1]Digesters!I21="","",[1]Digesters!I21*10)</f>
        <v>5550</v>
      </c>
      <c r="Y21" s="947">
        <f>IF([1]Digesters!H21="","",[1]Digesters!H21*10)</f>
        <v>2160</v>
      </c>
      <c r="Z21" s="947">
        <f t="shared" si="20"/>
        <v>183514.19400000002</v>
      </c>
      <c r="AA21" s="1102">
        <f t="shared" si="21"/>
        <v>0.58364085488025952</v>
      </c>
      <c r="AB21" s="1106">
        <f>IF([1]Digesters!K21="","",[1]Digesters!K21*10)</f>
        <v>5450</v>
      </c>
      <c r="AC21" s="947">
        <f>IF([1]Digesters!J21="","",[1]Digesters!J21*10)</f>
        <v>2140</v>
      </c>
      <c r="AD21" s="947">
        <f t="shared" si="22"/>
        <v>180635.22600000002</v>
      </c>
      <c r="AE21" s="1086">
        <f t="shared" si="23"/>
        <v>0.53128007647058828</v>
      </c>
      <c r="AF21" s="1104">
        <f>IF([1]Digesters!M21="","",[1]Digesters!M21*10)</f>
        <v>5400</v>
      </c>
      <c r="AG21" s="947">
        <f>IF([1]Digesters!L21="","",[1]Digesters!L21*10)</f>
        <v>2090</v>
      </c>
      <c r="AH21" s="947">
        <f t="shared" si="24"/>
        <v>178291.68600000002</v>
      </c>
      <c r="AI21" s="1086">
        <f t="shared" si="25"/>
        <v>0.56703140921667783</v>
      </c>
      <c r="AJ21" s="135"/>
      <c r="AK21" s="546">
        <v>18</v>
      </c>
      <c r="AL21" s="145">
        <f t="shared" si="8"/>
        <v>0.56471584772445382</v>
      </c>
      <c r="AM21" s="145">
        <f t="shared" si="9"/>
        <v>0.56806850491365324</v>
      </c>
      <c r="AN21" s="145">
        <f t="shared" si="10"/>
        <v>1.0760517698692873</v>
      </c>
      <c r="AO21" s="146">
        <f t="shared" si="11"/>
        <v>0.58364085488025952</v>
      </c>
      <c r="AR21" s="12" t="s">
        <v>311</v>
      </c>
      <c r="AS21" s="12" t="s">
        <v>211</v>
      </c>
      <c r="AT21" s="200" t="s">
        <v>370</v>
      </c>
      <c r="AU21" s="12" t="s">
        <v>381</v>
      </c>
    </row>
    <row r="22" spans="1:47" ht="20.100000000000001" customHeight="1" x14ac:dyDescent="0.25">
      <c r="A22" s="1088">
        <v>19</v>
      </c>
      <c r="B22" s="1093">
        <f>IF([2]PRI_SLG!B22="","",[2]PRI_SLG!B22)</f>
        <v>4.6100000000000003</v>
      </c>
      <c r="C22" s="1080">
        <f>IF([2]PRI_SLG!C22="","",[2]PRI_SLG!C22)</f>
        <v>2.91</v>
      </c>
      <c r="D22" s="1094">
        <f t="shared" si="12"/>
        <v>63.123644251626899</v>
      </c>
      <c r="E22" s="1090"/>
      <c r="F22" s="48"/>
      <c r="G22" s="48">
        <f>IF([2]TWAS!B22="","",[2]TWAS!B22)</f>
        <v>3.96</v>
      </c>
      <c r="H22" s="1080">
        <f>IF([2]TWAS!C22="","",[2]TWAS!C22)</f>
        <v>2.95</v>
      </c>
      <c r="I22" s="947">
        <f t="shared" si="13"/>
        <v>74.494949494949509</v>
      </c>
      <c r="J22" s="1096"/>
      <c r="K22" s="1100">
        <f>IF([1]Digesters!C22="","",[1]Digesters!C22*10)</f>
        <v>11050</v>
      </c>
      <c r="L22" s="1081">
        <f>IF([1]Digesters!B22="","",[1]Digesters!B22*10)</f>
        <v>1630</v>
      </c>
      <c r="M22" s="947">
        <f t="shared" si="14"/>
        <v>308279.76</v>
      </c>
      <c r="N22" s="1086">
        <f t="shared" si="15"/>
        <v>0.98044003434786764</v>
      </c>
      <c r="O22" s="1098"/>
      <c r="P22" s="947">
        <f>IF([1]Digesters!E22="","",[1]Digesters!E22*10)</f>
        <v>11180</v>
      </c>
      <c r="Q22" s="947">
        <f>IF([1]Digesters!D22="","",[1]Digesters!D22*10)</f>
        <v>1650</v>
      </c>
      <c r="R22" s="947">
        <f t="shared" si="16"/>
        <v>311926.842</v>
      </c>
      <c r="S22" s="1102">
        <f t="shared" si="17"/>
        <v>0.99203906115828644</v>
      </c>
      <c r="T22" s="1106" t="str">
        <f>IF([1]Digesters!G22="","",[1]Digesters!G22*10)</f>
        <v/>
      </c>
      <c r="U22" s="947">
        <f>IF([1]Digesters!F22="","",[1]Digesters!F22*10)</f>
        <v>10030</v>
      </c>
      <c r="V22" s="947">
        <f t="shared" si="18"/>
        <v>246768.09000000003</v>
      </c>
      <c r="W22" s="1086">
        <f t="shared" si="19"/>
        <v>0.78481089590687925</v>
      </c>
      <c r="X22" s="1104">
        <f>IF([1]Digesters!I22="","",[1]Digesters!I22*10)</f>
        <v>11750</v>
      </c>
      <c r="Y22" s="947">
        <f>IF([1]Digesters!H22="","",[1]Digesters!H22*10)</f>
        <v>1760</v>
      </c>
      <c r="Z22" s="947">
        <f t="shared" si="20"/>
        <v>328466.73000000004</v>
      </c>
      <c r="AA22" s="1102">
        <f t="shared" si="21"/>
        <v>1.0446418280698408</v>
      </c>
      <c r="AB22" s="1106">
        <f>IF([1]Digesters!K22="","",[1]Digesters!K22*10)</f>
        <v>11400</v>
      </c>
      <c r="AC22" s="947">
        <f>IF([1]Digesters!J22="","",[1]Digesters!J22*10)</f>
        <v>1630</v>
      </c>
      <c r="AD22" s="947">
        <f t="shared" si="22"/>
        <v>316774.05</v>
      </c>
      <c r="AE22" s="1086">
        <f t="shared" si="23"/>
        <v>0.93168838235294116</v>
      </c>
      <c r="AF22" s="1104">
        <f>IF([1]Digesters!M22="","",[1]Digesters!M22*10)</f>
        <v>11230</v>
      </c>
      <c r="AG22" s="947">
        <f>IF([1]Digesters!L22="","",[1]Digesters!L22*10)</f>
        <v>1730</v>
      </c>
      <c r="AH22" s="947">
        <f t="shared" si="24"/>
        <v>315108.55200000003</v>
      </c>
      <c r="AI22" s="1086">
        <f t="shared" si="25"/>
        <v>1.002158038355119</v>
      </c>
      <c r="AJ22" s="135"/>
      <c r="AK22" s="546">
        <v>19</v>
      </c>
      <c r="AL22" s="145">
        <f t="shared" si="8"/>
        <v>0.98044003434786764</v>
      </c>
      <c r="AM22" s="145">
        <f t="shared" si="9"/>
        <v>0.99203906115828644</v>
      </c>
      <c r="AN22" s="145">
        <f t="shared" si="10"/>
        <v>0.78481089590687925</v>
      </c>
      <c r="AO22" s="146">
        <f t="shared" si="11"/>
        <v>1.0446418280698408</v>
      </c>
      <c r="AR22" s="12" t="s">
        <v>317</v>
      </c>
      <c r="AS22" s="12" t="s">
        <v>551</v>
      </c>
      <c r="AT22" s="200" t="s">
        <v>371</v>
      </c>
      <c r="AU22" s="12" t="s">
        <v>382</v>
      </c>
    </row>
    <row r="23" spans="1:47" ht="20.100000000000001" customHeight="1" x14ac:dyDescent="0.25">
      <c r="A23" s="1088">
        <v>20</v>
      </c>
      <c r="B23" s="1093">
        <f>IF([2]PRI_SLG!B23="","",[2]PRI_SLG!B23)</f>
        <v>4.59</v>
      </c>
      <c r="C23" s="1080">
        <f>IF([2]PRI_SLG!C23="","",[2]PRI_SLG!C23)</f>
        <v>2.95</v>
      </c>
      <c r="D23" s="1094">
        <f t="shared" si="12"/>
        <v>64.270152505446632</v>
      </c>
      <c r="E23" s="1090"/>
      <c r="F23" s="48"/>
      <c r="G23" s="48">
        <f>IF([2]TWAS!B23="","",[2]TWAS!B23)</f>
        <v>4.53</v>
      </c>
      <c r="H23" s="1080">
        <f>IF([2]TWAS!C23="","",[2]TWAS!C23)</f>
        <v>3.36</v>
      </c>
      <c r="I23" s="947">
        <f t="shared" si="13"/>
        <v>74.172185430463571</v>
      </c>
      <c r="J23" s="1096"/>
      <c r="K23" s="1100">
        <f>IF([1]Digesters!C23="","",[1]Digesters!C23*10)</f>
        <v>7920</v>
      </c>
      <c r="L23" s="1081">
        <f>IF([1]Digesters!B23="","",[1]Digesters!B23*10)</f>
        <v>2040</v>
      </c>
      <c r="M23" s="947">
        <f t="shared" si="14"/>
        <v>252021.45600000001</v>
      </c>
      <c r="N23" s="1086">
        <f t="shared" si="15"/>
        <v>0.80151848106096746</v>
      </c>
      <c r="O23" s="1098"/>
      <c r="P23" s="947">
        <f>IF([1]Digesters!E23="","",[1]Digesters!E23*10)</f>
        <v>7960</v>
      </c>
      <c r="Q23" s="947">
        <f>IF([1]Digesters!D23="","",[1]Digesters!D23*10)</f>
        <v>2090</v>
      </c>
      <c r="R23" s="947">
        <f t="shared" si="16"/>
        <v>254406.696</v>
      </c>
      <c r="S23" s="1102">
        <f t="shared" si="17"/>
        <v>0.80910439843526383</v>
      </c>
      <c r="T23" s="1106" t="str">
        <f>IF([1]Digesters!G23="","",[1]Digesters!G23*10)</f>
        <v/>
      </c>
      <c r="U23" s="947">
        <f>IF([1]Digesters!F23="","",[1]Digesters!F23*10)</f>
        <v>16570</v>
      </c>
      <c r="V23" s="947">
        <f t="shared" si="18"/>
        <v>464331.16799999995</v>
      </c>
      <c r="W23" s="1086">
        <f t="shared" si="19"/>
        <v>1.4767393950958876</v>
      </c>
      <c r="X23" s="1104">
        <f>IF([1]Digesters!I23="","",[1]Digesters!I23*10)</f>
        <v>7980</v>
      </c>
      <c r="Y23" s="947">
        <f>IF([1]Digesters!H23="","",[1]Digesters!H23*10)</f>
        <v>2020</v>
      </c>
      <c r="Z23" s="947">
        <f t="shared" si="20"/>
        <v>252937.18799999999</v>
      </c>
      <c r="AA23" s="1102">
        <f t="shared" si="21"/>
        <v>0.80443083675221827</v>
      </c>
      <c r="AB23" s="1106">
        <f>IF([1]Digesters!K23="","",[1]Digesters!K23*10)</f>
        <v>8160</v>
      </c>
      <c r="AC23" s="947">
        <f>IF([1]Digesters!J23="","",[1]Digesters!J23*10)</f>
        <v>2000</v>
      </c>
      <c r="AD23" s="947">
        <f t="shared" si="22"/>
        <v>256805.28</v>
      </c>
      <c r="AE23" s="1086">
        <f t="shared" si="23"/>
        <v>0.75530964705882353</v>
      </c>
      <c r="AF23" s="1104">
        <f>IF([1]Digesters!M23="","",[1]Digesters!M23*10)</f>
        <v>8040</v>
      </c>
      <c r="AG23" s="947">
        <f>IF([1]Digesters!L23="","",[1]Digesters!L23*10)</f>
        <v>1970</v>
      </c>
      <c r="AH23" s="947">
        <f t="shared" si="24"/>
        <v>253012.24800000002</v>
      </c>
      <c r="AI23" s="1086">
        <f t="shared" si="25"/>
        <v>0.80466955443182908</v>
      </c>
      <c r="AJ23" s="135"/>
      <c r="AK23" s="546">
        <v>20</v>
      </c>
      <c r="AL23" s="145">
        <f t="shared" si="8"/>
        <v>0.80151848106096746</v>
      </c>
      <c r="AM23" s="145">
        <f t="shared" si="9"/>
        <v>0.80910439843526383</v>
      </c>
      <c r="AN23" s="145">
        <f t="shared" si="10"/>
        <v>1.4767393950958876</v>
      </c>
      <c r="AO23" s="146">
        <f t="shared" si="11"/>
        <v>0.80443083675221827</v>
      </c>
      <c r="AR23" s="12" t="s">
        <v>354</v>
      </c>
      <c r="AS23" s="12" t="s">
        <v>212</v>
      </c>
      <c r="AT23" s="200" t="s">
        <v>373</v>
      </c>
      <c r="AU23" s="12" t="s">
        <v>383</v>
      </c>
    </row>
    <row r="24" spans="1:47" ht="20.100000000000001" customHeight="1" x14ac:dyDescent="0.25">
      <c r="A24" s="1088">
        <v>21</v>
      </c>
      <c r="B24" s="1093">
        <f>IF([2]PRI_SLG!B24="","",[2]PRI_SLG!B24)</f>
        <v>3.56</v>
      </c>
      <c r="C24" s="1080">
        <f>IF([2]PRI_SLG!C24="","",[2]PRI_SLG!C24)</f>
        <v>2.59</v>
      </c>
      <c r="D24" s="1094">
        <f t="shared" si="12"/>
        <v>72.752808988764045</v>
      </c>
      <c r="E24" s="1090"/>
      <c r="F24" s="48"/>
      <c r="G24" s="48">
        <f>IF([2]TWAS!B24="","",[2]TWAS!B24)</f>
        <v>4.87</v>
      </c>
      <c r="H24" s="1080">
        <f>IF([2]TWAS!C24="","",[2]TWAS!C24)</f>
        <v>3.6</v>
      </c>
      <c r="I24" s="947">
        <f t="shared" si="13"/>
        <v>73.921971252566735</v>
      </c>
      <c r="J24" s="1096"/>
      <c r="K24" s="1100">
        <f>IF([1]Digesters!C24="","",[1]Digesters!C24*10)</f>
        <v>5470</v>
      </c>
      <c r="L24" s="1081">
        <f>IF([1]Digesters!B24="","",[1]Digesters!B24*10)</f>
        <v>1460</v>
      </c>
      <c r="M24" s="947">
        <f t="shared" si="14"/>
        <v>161990.32199999999</v>
      </c>
      <c r="N24" s="1086">
        <f t="shared" si="15"/>
        <v>0.51518723404255318</v>
      </c>
      <c r="O24" s="1098"/>
      <c r="P24" s="947">
        <f>IF([1]Digesters!E24="","",[1]Digesters!E24*10)</f>
        <v>5550</v>
      </c>
      <c r="Q24" s="947">
        <f>IF([1]Digesters!D24="","",[1]Digesters!D24*10)</f>
        <v>1460</v>
      </c>
      <c r="R24" s="947">
        <f t="shared" si="16"/>
        <v>163718.37</v>
      </c>
      <c r="S24" s="1102">
        <f t="shared" si="17"/>
        <v>0.52068304551092448</v>
      </c>
      <c r="T24" s="1106" t="str">
        <f>IF([1]Digesters!G24="","",[1]Digesters!G24*10)</f>
        <v/>
      </c>
      <c r="U24" s="947">
        <f>IF([1]Digesters!F24="","",[1]Digesters!F24*10)</f>
        <v>9540</v>
      </c>
      <c r="V24" s="947">
        <f t="shared" si="18"/>
        <v>286428.96000000002</v>
      </c>
      <c r="W24" s="1086">
        <f t="shared" si="19"/>
        <v>0.91094666539452351</v>
      </c>
      <c r="X24" s="1104">
        <f>IF([1]Digesters!I24="","",[1]Digesters!I24*10)</f>
        <v>5670</v>
      </c>
      <c r="Y24" s="947">
        <f>IF([1]Digesters!H24="","",[1]Digesters!H24*10)</f>
        <v>1510</v>
      </c>
      <c r="Z24" s="947">
        <f t="shared" si="20"/>
        <v>167811.64199999999</v>
      </c>
      <c r="AA24" s="1102">
        <f t="shared" si="21"/>
        <v>0.53370111630569594</v>
      </c>
      <c r="AB24" s="1106">
        <f>IF([1]Digesters!K24="","",[1]Digesters!K24*10)</f>
        <v>5730</v>
      </c>
      <c r="AC24" s="947">
        <f>IF([1]Digesters!J24="","",[1]Digesters!J24*10)</f>
        <v>1500</v>
      </c>
      <c r="AD24" s="947">
        <f t="shared" si="22"/>
        <v>168807.43799999999</v>
      </c>
      <c r="AE24" s="1086">
        <f t="shared" si="23"/>
        <v>0.49649246470588232</v>
      </c>
      <c r="AF24" s="1104">
        <f>IF([1]Digesters!M24="","",[1]Digesters!M24*10)</f>
        <v>5590</v>
      </c>
      <c r="AG24" s="947">
        <f>IF([1]Digesters!L24="","",[1]Digesters!L24*10)</f>
        <v>1480</v>
      </c>
      <c r="AH24" s="947">
        <f t="shared" si="24"/>
        <v>165182.87400000001</v>
      </c>
      <c r="AI24" s="1086">
        <f t="shared" si="25"/>
        <v>0.52534069268199601</v>
      </c>
      <c r="AJ24" s="135"/>
      <c r="AK24" s="546">
        <v>21</v>
      </c>
      <c r="AL24" s="145">
        <f t="shared" si="8"/>
        <v>0.51518723404255318</v>
      </c>
      <c r="AM24" s="145">
        <f t="shared" si="9"/>
        <v>0.52068304551092448</v>
      </c>
      <c r="AN24" s="145">
        <f t="shared" si="10"/>
        <v>0.91094666539452351</v>
      </c>
      <c r="AO24" s="146">
        <f t="shared" si="11"/>
        <v>0.53370111630569594</v>
      </c>
      <c r="AR24" s="12" t="s">
        <v>355</v>
      </c>
      <c r="AS24" s="12" t="s">
        <v>340</v>
      </c>
      <c r="AT24" s="203" t="s">
        <v>374</v>
      </c>
      <c r="AU24" s="12" t="s">
        <v>386</v>
      </c>
    </row>
    <row r="25" spans="1:47" ht="20.100000000000001" customHeight="1" x14ac:dyDescent="0.25">
      <c r="A25" s="1088">
        <v>22</v>
      </c>
      <c r="B25" s="1093">
        <f>IF([2]PRI_SLG!B25="","",[2]PRI_SLG!B25)</f>
        <v>4.3099999999999996</v>
      </c>
      <c r="C25" s="1080">
        <f>IF([2]PRI_SLG!C25="","",[2]PRI_SLG!C25)</f>
        <v>3.64</v>
      </c>
      <c r="D25" s="1094">
        <f t="shared" si="12"/>
        <v>84.45475638051046</v>
      </c>
      <c r="E25" s="1090"/>
      <c r="F25" s="48"/>
      <c r="G25" s="48">
        <f>IF([2]TWAS!B25="","",[2]TWAS!B25)</f>
        <v>4.29</v>
      </c>
      <c r="H25" s="1080">
        <f>IF([2]TWAS!C25="","",[2]TWAS!C25)</f>
        <v>3.16</v>
      </c>
      <c r="I25" s="947">
        <f t="shared" si="13"/>
        <v>73.659673659673658</v>
      </c>
      <c r="J25" s="1096"/>
      <c r="K25" s="1100">
        <f>IF([1]Digesters!C25="","",[1]Digesters!C25*10)</f>
        <v>5670</v>
      </c>
      <c r="L25" s="1081">
        <f>IF([1]Digesters!B25="","",[1]Digesters!B25*10)</f>
        <v>1720</v>
      </c>
      <c r="M25" s="947">
        <f t="shared" si="14"/>
        <v>217457.16000000006</v>
      </c>
      <c r="N25" s="1086">
        <f t="shared" si="15"/>
        <v>0.69159164201889156</v>
      </c>
      <c r="O25" s="1098"/>
      <c r="P25" s="947">
        <f>IF([1]Digesters!E25="","",[1]Digesters!E25*10)</f>
        <v>5800</v>
      </c>
      <c r="Q25" s="947">
        <f>IF([1]Digesters!D25="","",[1]Digesters!D25*10)</f>
        <v>1720</v>
      </c>
      <c r="R25" s="947">
        <f t="shared" si="16"/>
        <v>221403.64800000004</v>
      </c>
      <c r="S25" s="1102">
        <f t="shared" si="17"/>
        <v>0.7041428871290909</v>
      </c>
      <c r="T25" s="1106" t="str">
        <f>IF([1]Digesters!G25="","",[1]Digesters!G25*10)</f>
        <v/>
      </c>
      <c r="U25" s="947">
        <f>IF([1]Digesters!F25="","",[1]Digesters!F25*10)</f>
        <v>10570</v>
      </c>
      <c r="V25" s="947">
        <f t="shared" si="18"/>
        <v>278566.00799999997</v>
      </c>
      <c r="W25" s="1086">
        <f t="shared" si="19"/>
        <v>0.88593966224596876</v>
      </c>
      <c r="X25" s="1104">
        <f>IF([1]Digesters!I25="","",[1]Digesters!I25*10)</f>
        <v>6090</v>
      </c>
      <c r="Y25" s="947">
        <f>IF([1]Digesters!H25="","",[1]Digesters!H25*10)</f>
        <v>1760</v>
      </c>
      <c r="Z25" s="947">
        <f t="shared" si="20"/>
        <v>231261.52800000005</v>
      </c>
      <c r="AA25" s="1102">
        <f t="shared" si="21"/>
        <v>0.735494475717966</v>
      </c>
      <c r="AB25" s="1106">
        <f>IF([1]Digesters!K25="","",[1]Digesters!K25*10)</f>
        <v>6040</v>
      </c>
      <c r="AC25" s="947">
        <f>IF([1]Digesters!J25="","",[1]Digesters!J25*10)</f>
        <v>1740</v>
      </c>
      <c r="AD25" s="947">
        <f t="shared" si="22"/>
        <v>229216.56000000003</v>
      </c>
      <c r="AE25" s="1086">
        <f t="shared" si="23"/>
        <v>0.67416635294117655</v>
      </c>
      <c r="AF25" s="1104">
        <f>IF([1]Digesters!M25="","",[1]Digesters!M25*10)</f>
        <v>5790</v>
      </c>
      <c r="AG25" s="947">
        <f>IF([1]Digesters!L25="","",[1]Digesters!L25*10)</f>
        <v>1720</v>
      </c>
      <c r="AH25" s="947">
        <f t="shared" si="24"/>
        <v>221100.07200000004</v>
      </c>
      <c r="AI25" s="1086">
        <f t="shared" si="25"/>
        <v>0.7031774067359986</v>
      </c>
      <c r="AJ25" s="135"/>
      <c r="AK25" s="546">
        <v>22</v>
      </c>
      <c r="AL25" s="145">
        <f t="shared" si="8"/>
        <v>0.69159164201889156</v>
      </c>
      <c r="AM25" s="145">
        <f t="shared" si="9"/>
        <v>0.7041428871290909</v>
      </c>
      <c r="AN25" s="145">
        <f t="shared" si="10"/>
        <v>0.88593966224596876</v>
      </c>
      <c r="AO25" s="146">
        <f t="shared" si="11"/>
        <v>0.735494475717966</v>
      </c>
      <c r="AR25" s="12"/>
      <c r="AS25" s="12"/>
    </row>
    <row r="26" spans="1:47" ht="20.100000000000001" customHeight="1" x14ac:dyDescent="0.25">
      <c r="A26" s="1088">
        <v>23</v>
      </c>
      <c r="B26" s="1093">
        <f>IF([2]PRI_SLG!B26="","",[2]PRI_SLG!B26)</f>
        <v>4</v>
      </c>
      <c r="C26" s="1080">
        <f>IF([2]PRI_SLG!C26="","",[2]PRI_SLG!C26)</f>
        <v>3.05</v>
      </c>
      <c r="D26" s="1094">
        <f t="shared" si="12"/>
        <v>76.25</v>
      </c>
      <c r="E26" s="1090"/>
      <c r="F26" s="48"/>
      <c r="G26" s="48">
        <f>IF([2]TWAS!B26="","",[2]TWAS!B26)</f>
        <v>4.26</v>
      </c>
      <c r="H26" s="1080">
        <f>IF([2]TWAS!C26="","",[2]TWAS!C26)</f>
        <v>3.2</v>
      </c>
      <c r="I26" s="947">
        <f t="shared" si="13"/>
        <v>75.117370892018783</v>
      </c>
      <c r="J26" s="1096"/>
      <c r="K26" s="1100">
        <f>IF([1]Digesters!C26="","",[1]Digesters!C26*10)</f>
        <v>7700</v>
      </c>
      <c r="L26" s="1081">
        <f>IF([1]Digesters!B26="","",[1]Digesters!B26*10)</f>
        <v>1840</v>
      </c>
      <c r="M26" s="947">
        <f t="shared" si="14"/>
        <v>244970.82</v>
      </c>
      <c r="N26" s="1086">
        <f t="shared" si="15"/>
        <v>0.77909493368953342</v>
      </c>
      <c r="O26" s="1098"/>
      <c r="P26" s="947">
        <f>IF([1]Digesters!E26="","",[1]Digesters!E26*10)</f>
        <v>7770</v>
      </c>
      <c r="Q26" s="947">
        <f>IF([1]Digesters!D26="","",[1]Digesters!D26*10)</f>
        <v>1830</v>
      </c>
      <c r="R26" s="947">
        <f t="shared" si="16"/>
        <v>246484.53</v>
      </c>
      <c r="S26" s="1102">
        <f t="shared" si="17"/>
        <v>0.78390907356168305</v>
      </c>
      <c r="T26" s="1106" t="str">
        <f>IF([1]Digesters!G26="","",[1]Digesters!G26*10)</f>
        <v/>
      </c>
      <c r="U26" s="947">
        <f>IF([1]Digesters!F26="","",[1]Digesters!F26*10)</f>
        <v>12170</v>
      </c>
      <c r="V26" s="947">
        <f t="shared" si="18"/>
        <v>324792.96000000002</v>
      </c>
      <c r="W26" s="1086">
        <f t="shared" si="19"/>
        <v>1.0329579238622268</v>
      </c>
      <c r="X26" s="1104">
        <f>IF([1]Digesters!I26="","",[1]Digesters!I26*10)</f>
        <v>7840</v>
      </c>
      <c r="Y26" s="947">
        <f>IF([1]Digesters!H26="","",[1]Digesters!H26*10)</f>
        <v>1890</v>
      </c>
      <c r="Z26" s="947">
        <f t="shared" si="20"/>
        <v>249866.4</v>
      </c>
      <c r="AA26" s="1102">
        <f t="shared" si="21"/>
        <v>0.79466463123747733</v>
      </c>
      <c r="AB26" s="1106">
        <f>IF([1]Digesters!K26="","",[1]Digesters!K26*10)</f>
        <v>7730</v>
      </c>
      <c r="AC26" s="947">
        <f>IF([1]Digesters!J26="","",[1]Digesters!J26*10)</f>
        <v>1740</v>
      </c>
      <c r="AD26" s="947">
        <f t="shared" si="22"/>
        <v>243065.13</v>
      </c>
      <c r="AE26" s="1086">
        <f t="shared" si="23"/>
        <v>0.71489744117647058</v>
      </c>
      <c r="AF26" s="1104">
        <f>IF([1]Digesters!M26="","",[1]Digesters!M26*10)</f>
        <v>7850</v>
      </c>
      <c r="AG26" s="947">
        <f>IF([1]Digesters!L26="","",[1]Digesters!L26*10)</f>
        <v>1840</v>
      </c>
      <c r="AH26" s="947">
        <f t="shared" si="24"/>
        <v>248786.37</v>
      </c>
      <c r="AI26" s="1086">
        <f t="shared" si="25"/>
        <v>0.79122974906974519</v>
      </c>
      <c r="AJ26" s="135"/>
      <c r="AK26" s="546">
        <v>23</v>
      </c>
      <c r="AL26" s="145">
        <f t="shared" si="8"/>
        <v>0.77909493368953342</v>
      </c>
      <c r="AM26" s="145">
        <f t="shared" si="9"/>
        <v>0.78390907356168305</v>
      </c>
      <c r="AN26" s="145">
        <f t="shared" si="10"/>
        <v>1.0329579238622268</v>
      </c>
      <c r="AO26" s="146">
        <f t="shared" si="11"/>
        <v>0.79466463123747733</v>
      </c>
      <c r="AR26" s="12"/>
      <c r="AS26" s="12"/>
    </row>
    <row r="27" spans="1:47" ht="20.100000000000001" customHeight="1" x14ac:dyDescent="0.25">
      <c r="A27" s="1088">
        <v>24</v>
      </c>
      <c r="B27" s="1093">
        <f>IF([2]PRI_SLG!B27="","",[2]PRI_SLG!B27)</f>
        <v>3.86</v>
      </c>
      <c r="C27" s="1080">
        <f>IF([2]PRI_SLG!C27="","",[2]PRI_SLG!C27)</f>
        <v>3.02</v>
      </c>
      <c r="D27" s="1094">
        <f t="shared" si="12"/>
        <v>78.238341968911911</v>
      </c>
      <c r="E27" s="1090"/>
      <c r="F27" s="48"/>
      <c r="G27" s="48">
        <f>IF([2]TWAS!B27="","",[2]TWAS!B27)</f>
        <v>4.41</v>
      </c>
      <c r="H27" s="1080">
        <f>IF([2]TWAS!C27="","",[2]TWAS!C27)</f>
        <v>3.28</v>
      </c>
      <c r="I27" s="947">
        <f t="shared" si="13"/>
        <v>74.37641723356009</v>
      </c>
      <c r="J27" s="1096"/>
      <c r="K27" s="1100">
        <f>IF([1]Digesters!C27="","",[1]Digesters!C27*10)</f>
        <v>7370</v>
      </c>
      <c r="L27" s="1081">
        <f>IF([1]Digesters!B27="","",[1]Digesters!B27*10)</f>
        <v>2210</v>
      </c>
      <c r="M27" s="947">
        <f t="shared" si="14"/>
        <v>246081.70799999996</v>
      </c>
      <c r="N27" s="1086">
        <f t="shared" si="15"/>
        <v>0.78262795534777196</v>
      </c>
      <c r="O27" s="1098"/>
      <c r="P27" s="947">
        <f>IF([1]Digesters!E27="","",[1]Digesters!E27*10)</f>
        <v>7600</v>
      </c>
      <c r="Q27" s="947">
        <f>IF([1]Digesters!D27="","",[1]Digesters!D27*10)</f>
        <v>2220</v>
      </c>
      <c r="R27" s="947">
        <f t="shared" si="16"/>
        <v>252148.22399999993</v>
      </c>
      <c r="S27" s="1102">
        <f t="shared" si="17"/>
        <v>0.80192164869764315</v>
      </c>
      <c r="T27" s="1106" t="str">
        <f>IF([1]Digesters!G27="","",[1]Digesters!G27*10)</f>
        <v/>
      </c>
      <c r="U27" s="947">
        <f>IF([1]Digesters!F27="","",[1]Digesters!F27*10)</f>
        <v>17290</v>
      </c>
      <c r="V27" s="947">
        <f t="shared" si="18"/>
        <v>472971.408</v>
      </c>
      <c r="W27" s="1086">
        <f t="shared" si="19"/>
        <v>1.5042184524377444</v>
      </c>
      <c r="X27" s="1104">
        <f>IF([1]Digesters!I27="","",[1]Digesters!I27*10)</f>
        <v>7810</v>
      </c>
      <c r="Y27" s="947">
        <f>IF([1]Digesters!H27="","",[1]Digesters!H27*10)</f>
        <v>2390</v>
      </c>
      <c r="Z27" s="947">
        <f t="shared" si="20"/>
        <v>262087.83599999995</v>
      </c>
      <c r="AA27" s="1102">
        <f t="shared" si="21"/>
        <v>0.83353317431542773</v>
      </c>
      <c r="AB27" s="1106">
        <f>IF([1]Digesters!K27="","",[1]Digesters!K27*10)</f>
        <v>7720</v>
      </c>
      <c r="AC27" s="947">
        <f>IF([1]Digesters!J27="","",[1]Digesters!J27*10)</f>
        <v>2300</v>
      </c>
      <c r="AD27" s="947">
        <f t="shared" si="22"/>
        <v>257359.05599999995</v>
      </c>
      <c r="AE27" s="1086">
        <f t="shared" si="23"/>
        <v>0.7569383999999999</v>
      </c>
      <c r="AF27" s="1104">
        <f>IF([1]Digesters!M27="","",[1]Digesters!M27*10)</f>
        <v>7650</v>
      </c>
      <c r="AG27" s="947">
        <f>IF([1]Digesters!L27="","",[1]Digesters!L27*10)</f>
        <v>2220</v>
      </c>
      <c r="AH27" s="947">
        <f t="shared" si="24"/>
        <v>253407.56399999993</v>
      </c>
      <c r="AI27" s="1086">
        <f t="shared" si="25"/>
        <v>0.80592680087777857</v>
      </c>
      <c r="AJ27" s="135"/>
      <c r="AK27" s="546">
        <v>24</v>
      </c>
      <c r="AL27" s="145">
        <f t="shared" si="8"/>
        <v>0.78262795534777196</v>
      </c>
      <c r="AM27" s="145">
        <f t="shared" si="9"/>
        <v>0.80192164869764315</v>
      </c>
      <c r="AN27" s="145">
        <f t="shared" si="10"/>
        <v>1.5042184524377444</v>
      </c>
      <c r="AO27" s="146">
        <f t="shared" si="11"/>
        <v>0.83353317431542773</v>
      </c>
      <c r="AR27" s="12"/>
      <c r="AS27" s="12"/>
    </row>
    <row r="28" spans="1:47" ht="20.100000000000001" customHeight="1" x14ac:dyDescent="0.25">
      <c r="A28" s="1088">
        <v>25</v>
      </c>
      <c r="B28" s="1093">
        <f>IF([2]PRI_SLG!B28="","",[2]PRI_SLG!B28)</f>
        <v>4.0199999999999996</v>
      </c>
      <c r="C28" s="1080">
        <f>IF([2]PRI_SLG!C28="","",[2]PRI_SLG!C28)</f>
        <v>3.4</v>
      </c>
      <c r="D28" s="1094">
        <f t="shared" si="12"/>
        <v>84.577114427860707</v>
      </c>
      <c r="E28" s="1090"/>
      <c r="F28" s="48"/>
      <c r="G28" s="48">
        <f>IF([2]TWAS!B28="","",[2]TWAS!B28)</f>
        <v>3.82</v>
      </c>
      <c r="H28" s="1080">
        <f>IF([2]TWAS!C28="","",[2]TWAS!C28)</f>
        <v>2.84</v>
      </c>
      <c r="I28" s="947">
        <f t="shared" si="13"/>
        <v>74.345549738219901</v>
      </c>
      <c r="J28" s="1096"/>
      <c r="K28" s="1100">
        <f>IF([1]Digesters!C28="","",[1]Digesters!C28*10)</f>
        <v>5470</v>
      </c>
      <c r="L28" s="1081">
        <f>IF([1]Digesters!B28="","",[1]Digesters!B28*10)</f>
        <v>1960</v>
      </c>
      <c r="M28" s="947">
        <f t="shared" si="14"/>
        <v>201531.09600000002</v>
      </c>
      <c r="N28" s="1086">
        <f t="shared" si="15"/>
        <v>0.64094105524282041</v>
      </c>
      <c r="O28" s="1098"/>
      <c r="P28" s="947">
        <f>IF([1]Digesters!E28="","",[1]Digesters!E28*10)</f>
        <v>5630</v>
      </c>
      <c r="Q28" s="947">
        <f>IF([1]Digesters!D28="","",[1]Digesters!D28*10)</f>
        <v>1980</v>
      </c>
      <c r="R28" s="947">
        <f t="shared" si="16"/>
        <v>206541.76799999998</v>
      </c>
      <c r="S28" s="1102">
        <f t="shared" si="17"/>
        <v>0.65687678656616733</v>
      </c>
      <c r="T28" s="1106" t="str">
        <f>IF([1]Digesters!G28="","",[1]Digesters!G28*10)</f>
        <v/>
      </c>
      <c r="U28" s="947">
        <f>IF([1]Digesters!F28="","",[1]Digesters!F28*10)</f>
        <v>14140</v>
      </c>
      <c r="V28" s="947">
        <f t="shared" si="18"/>
        <v>334914.38399999996</v>
      </c>
      <c r="W28" s="1086">
        <f t="shared" si="19"/>
        <v>1.0651476767484018</v>
      </c>
      <c r="X28" s="1104">
        <f>IF([1]Digesters!I28="","",[1]Digesters!I28*10)</f>
        <v>5530</v>
      </c>
      <c r="Y28" s="947">
        <f>IF([1]Digesters!H28="","",[1]Digesters!H28*10)</f>
        <v>2030</v>
      </c>
      <c r="Z28" s="947">
        <f t="shared" si="20"/>
        <v>204890.44799999997</v>
      </c>
      <c r="AA28" s="1102">
        <f t="shared" si="21"/>
        <v>0.65162499761473136</v>
      </c>
      <c r="AB28" s="1106">
        <f>IF([1]Digesters!K28="","",[1]Digesters!K28*10)</f>
        <v>5830</v>
      </c>
      <c r="AC28" s="947">
        <f>IF([1]Digesters!J28="","",[1]Digesters!J28*10)</f>
        <v>2060</v>
      </c>
      <c r="AD28" s="947">
        <f t="shared" si="22"/>
        <v>214107.81599999999</v>
      </c>
      <c r="AE28" s="1086">
        <f t="shared" si="23"/>
        <v>0.62972887058823523</v>
      </c>
      <c r="AF28" s="1104">
        <f>IF([1]Digesters!M28="","",[1]Digesters!M28*10)</f>
        <v>5740</v>
      </c>
      <c r="AG28" s="947">
        <f>IF([1]Digesters!L28="","",[1]Digesters!L28*10)</f>
        <v>1980</v>
      </c>
      <c r="AH28" s="947">
        <f t="shared" si="24"/>
        <v>209660.92800000001</v>
      </c>
      <c r="AI28" s="1086">
        <f t="shared" si="25"/>
        <v>0.66679683236332421</v>
      </c>
      <c r="AJ28" s="135"/>
      <c r="AK28" s="546">
        <v>25</v>
      </c>
      <c r="AL28" s="145">
        <f t="shared" si="8"/>
        <v>0.64094105524282041</v>
      </c>
      <c r="AM28" s="145">
        <f t="shared" si="9"/>
        <v>0.65687678656616733</v>
      </c>
      <c r="AN28" s="145">
        <f t="shared" si="10"/>
        <v>1.0651476767484018</v>
      </c>
      <c r="AO28" s="146">
        <f t="shared" si="11"/>
        <v>0.65162499761473136</v>
      </c>
      <c r="AR28" s="12"/>
      <c r="AS28" s="12"/>
    </row>
    <row r="29" spans="1:47" ht="20.100000000000001" customHeight="1" x14ac:dyDescent="0.25">
      <c r="A29" s="1088">
        <v>26</v>
      </c>
      <c r="B29" s="1093">
        <f>IF([2]PRI_SLG!B29="","",[2]PRI_SLG!B29)</f>
        <v>4.57</v>
      </c>
      <c r="C29" s="1080">
        <f>IF([2]PRI_SLG!C29="","",[2]PRI_SLG!C29)</f>
        <v>3.79</v>
      </c>
      <c r="D29" s="1094">
        <f t="shared" si="12"/>
        <v>82.93216630196936</v>
      </c>
      <c r="E29" s="1090"/>
      <c r="F29" s="48"/>
      <c r="G29" s="48">
        <f>IF([2]TWAS!B29="","",[2]TWAS!B29)</f>
        <v>3.6</v>
      </c>
      <c r="H29" s="1080">
        <f>IF([2]TWAS!C29="","",[2]TWAS!C29)</f>
        <v>2.73</v>
      </c>
      <c r="I29" s="947">
        <f t="shared" si="13"/>
        <v>75.833333333333329</v>
      </c>
      <c r="J29" s="1096"/>
      <c r="K29" s="1100">
        <f>IF([1]Digesters!C29="","",[1]Digesters!C29*10)</f>
        <v>70220</v>
      </c>
      <c r="L29" s="1081">
        <f>IF([1]Digesters!B29="","",[1]Digesters!B29*10)</f>
        <v>1720</v>
      </c>
      <c r="M29" s="947">
        <f t="shared" si="14"/>
        <v>2258717.196</v>
      </c>
      <c r="N29" s="1086">
        <f t="shared" si="15"/>
        <v>7.1835295487071846</v>
      </c>
      <c r="O29" s="1098"/>
      <c r="P29" s="947">
        <f>IF([1]Digesters!E29="","",[1]Digesters!E29*10)</f>
        <v>7090</v>
      </c>
      <c r="Q29" s="947">
        <f>IF([1]Digesters!D29="","",[1]Digesters!D29*10)</f>
        <v>1730</v>
      </c>
      <c r="R29" s="947">
        <f t="shared" si="16"/>
        <v>263493.95999999996</v>
      </c>
      <c r="S29" s="1102">
        <f t="shared" si="17"/>
        <v>0.83800515218013538</v>
      </c>
      <c r="T29" s="1106" t="str">
        <f>IF([1]Digesters!G29="","",[1]Digesters!G29*10)</f>
        <v/>
      </c>
      <c r="U29" s="947">
        <f>IF([1]Digesters!F29="","",[1]Digesters!F29*10)</f>
        <v>13060</v>
      </c>
      <c r="V29" s="947">
        <f t="shared" si="18"/>
        <v>297352.69200000004</v>
      </c>
      <c r="W29" s="1086">
        <f t="shared" si="19"/>
        <v>0.94568804503387094</v>
      </c>
      <c r="X29" s="1104">
        <f>IF([1]Digesters!I29="","",[1]Digesters!I29*10)</f>
        <v>7270</v>
      </c>
      <c r="Y29" s="947">
        <f>IF([1]Digesters!H29="","",[1]Digesters!H29*10)</f>
        <v>1630</v>
      </c>
      <c r="Z29" s="947">
        <f t="shared" si="20"/>
        <v>266906.68800000002</v>
      </c>
      <c r="AA29" s="1102">
        <f t="shared" si="21"/>
        <v>0.84885884934643652</v>
      </c>
      <c r="AB29" s="1106">
        <f>IF([1]Digesters!K29="","",[1]Digesters!K29*10)</f>
        <v>7210</v>
      </c>
      <c r="AC29" s="947">
        <f>IF([1]Digesters!J29="","",[1]Digesters!J29*10)</f>
        <v>1660</v>
      </c>
      <c r="AD29" s="947">
        <f t="shared" si="22"/>
        <v>265693.21799999999</v>
      </c>
      <c r="AE29" s="1086">
        <f t="shared" si="23"/>
        <v>0.78145064117647056</v>
      </c>
      <c r="AF29" s="1104">
        <f>IF([1]Digesters!M29="","",[1]Digesters!M29*10)</f>
        <v>6990</v>
      </c>
      <c r="AG29" s="947">
        <f>IF([1]Digesters!L29="","",[1]Digesters!L29*10)</f>
        <v>1720</v>
      </c>
      <c r="AH29" s="947">
        <f t="shared" si="24"/>
        <v>260105.41799999998</v>
      </c>
      <c r="AI29" s="1086">
        <f t="shared" si="25"/>
        <v>0.82722837515504233</v>
      </c>
      <c r="AJ29" s="135"/>
      <c r="AK29" s="546">
        <v>26</v>
      </c>
      <c r="AL29" s="145">
        <f t="shared" si="8"/>
        <v>7.1835295487071846</v>
      </c>
      <c r="AM29" s="145">
        <f t="shared" si="9"/>
        <v>0.83800515218013538</v>
      </c>
      <c r="AN29" s="145">
        <f t="shared" si="10"/>
        <v>0.94568804503387094</v>
      </c>
      <c r="AO29" s="146">
        <f t="shared" si="11"/>
        <v>0.84885884934643652</v>
      </c>
      <c r="AR29" s="12"/>
      <c r="AS29" s="12"/>
    </row>
    <row r="30" spans="1:47" ht="20.100000000000001" customHeight="1" x14ac:dyDescent="0.25">
      <c r="A30" s="1088">
        <v>27</v>
      </c>
      <c r="B30" s="1093">
        <f>IF([2]PRI_SLG!B30="","",[2]PRI_SLG!B30)</f>
        <v>2.79</v>
      </c>
      <c r="C30" s="1080">
        <f>IF([2]PRI_SLG!C30="","",[2]PRI_SLG!C30)</f>
        <v>2.39</v>
      </c>
      <c r="D30" s="1094">
        <f t="shared" si="12"/>
        <v>85.663082437275989</v>
      </c>
      <c r="E30" s="1090"/>
      <c r="F30" s="48"/>
      <c r="G30" s="48">
        <f>IF([2]TWAS!B30="","",[2]TWAS!B30)</f>
        <v>4.2699999999999996</v>
      </c>
      <c r="H30" s="1080">
        <f>IF([2]TWAS!C30="","",[2]TWAS!C30)</f>
        <v>3.21</v>
      </c>
      <c r="I30" s="947">
        <f t="shared" si="13"/>
        <v>75.175644028103051</v>
      </c>
      <c r="J30" s="1096"/>
      <c r="K30" s="1100">
        <f>IF([1]Digesters!C30="","",[1]Digesters!C30*10)</f>
        <v>8180</v>
      </c>
      <c r="L30" s="1081">
        <f>IF([1]Digesters!B30="","",[1]Digesters!B30*10)</f>
        <v>1710</v>
      </c>
      <c r="M30" s="947">
        <f t="shared" si="14"/>
        <v>208827.76199999999</v>
      </c>
      <c r="N30" s="1086">
        <f t="shared" si="15"/>
        <v>0.66414706611964502</v>
      </c>
      <c r="O30" s="1098"/>
      <c r="P30" s="947">
        <f>IF([1]Digesters!E30="","",[1]Digesters!E30*10)</f>
        <v>8230</v>
      </c>
      <c r="Q30" s="947">
        <f>IF([1]Digesters!D30="","",[1]Digesters!D30*10)</f>
        <v>1700</v>
      </c>
      <c r="R30" s="947">
        <f t="shared" si="16"/>
        <v>209556.67800000001</v>
      </c>
      <c r="S30" s="1102">
        <f t="shared" si="17"/>
        <v>0.66646528003053152</v>
      </c>
      <c r="T30" s="1106" t="str">
        <f>IF([1]Digesters!G30="","",[1]Digesters!G30*10)</f>
        <v/>
      </c>
      <c r="U30" s="947">
        <f>IF([1]Digesters!F30="","",[1]Digesters!F30*10)</f>
        <v>11590</v>
      </c>
      <c r="V30" s="947">
        <f t="shared" si="18"/>
        <v>310280.52600000001</v>
      </c>
      <c r="W30" s="1086">
        <f t="shared" si="19"/>
        <v>0.98680318671882461</v>
      </c>
      <c r="X30" s="1104">
        <f>IF([1]Digesters!I30="","",[1]Digesters!I30*10)</f>
        <v>8480</v>
      </c>
      <c r="Y30" s="947">
        <f>IF([1]Digesters!H30="","",[1]Digesters!H30*10)</f>
        <v>1750</v>
      </c>
      <c r="Z30" s="947">
        <f t="shared" si="20"/>
        <v>215878.39799999999</v>
      </c>
      <c r="AA30" s="1102">
        <f t="shared" si="21"/>
        <v>0.68657061349107906</v>
      </c>
      <c r="AB30" s="1106">
        <f>IF([1]Digesters!K30="","",[1]Digesters!K30*10)</f>
        <v>8250</v>
      </c>
      <c r="AC30" s="947">
        <f>IF([1]Digesters!J30="","",[1]Digesters!J30*10)</f>
        <v>1620</v>
      </c>
      <c r="AD30" s="947">
        <f t="shared" si="22"/>
        <v>207813.61800000002</v>
      </c>
      <c r="AE30" s="1086">
        <f t="shared" si="23"/>
        <v>0.6112165235294118</v>
      </c>
      <c r="AF30" s="1104">
        <f>IF([1]Digesters!M30="","",[1]Digesters!M30*10)</f>
        <v>8020</v>
      </c>
      <c r="AG30" s="947">
        <f>IF([1]Digesters!L30="","",[1]Digesters!L30*10)</f>
        <v>1720</v>
      </c>
      <c r="AH30" s="947">
        <f t="shared" si="24"/>
        <v>205906.25999999998</v>
      </c>
      <c r="AI30" s="1086">
        <f t="shared" si="25"/>
        <v>0.65485564354546311</v>
      </c>
      <c r="AJ30" s="135"/>
      <c r="AK30" s="546">
        <v>27</v>
      </c>
      <c r="AL30" s="145">
        <f t="shared" si="8"/>
        <v>0.66414706611964502</v>
      </c>
      <c r="AM30" s="145">
        <f t="shared" si="9"/>
        <v>0.66646528003053152</v>
      </c>
      <c r="AN30" s="145">
        <f t="shared" si="10"/>
        <v>0.98680318671882461</v>
      </c>
      <c r="AO30" s="146">
        <f t="shared" si="11"/>
        <v>0.68657061349107906</v>
      </c>
      <c r="AR30" s="12"/>
      <c r="AS30" s="12"/>
    </row>
    <row r="31" spans="1:47" ht="20.100000000000001" customHeight="1" x14ac:dyDescent="0.25">
      <c r="A31" s="1088">
        <v>28</v>
      </c>
      <c r="B31" s="1093">
        <f>IF([2]PRI_SLG!B31="","",[2]PRI_SLG!B31)</f>
        <v>4.29</v>
      </c>
      <c r="C31" s="1080">
        <f>IF([2]PRI_SLG!C31="","",[2]PRI_SLG!C31)</f>
        <v>3.77</v>
      </c>
      <c r="D31" s="1094">
        <f t="shared" si="12"/>
        <v>87.878787878787875</v>
      </c>
      <c r="E31" s="1090"/>
      <c r="F31" s="48"/>
      <c r="G31" s="48">
        <f>IF([2]TWAS!B31="","",[2]TWAS!B31)</f>
        <v>4.2300000000000004</v>
      </c>
      <c r="H31" s="1080">
        <f>IF([2]TWAS!C31="","",[2]TWAS!C31)</f>
        <v>3.2</v>
      </c>
      <c r="I31" s="947">
        <f t="shared" si="13"/>
        <v>75.650118203309688</v>
      </c>
      <c r="J31" s="1096"/>
      <c r="K31" s="1100">
        <f>IF([1]Digesters!C31="","",[1]Digesters!C31*10)</f>
        <v>5030</v>
      </c>
      <c r="L31" s="1081">
        <f>IF([1]Digesters!B31="","",[1]Digesters!B31*10)</f>
        <v>1470</v>
      </c>
      <c r="M31" s="947">
        <f t="shared" si="14"/>
        <v>197383.614</v>
      </c>
      <c r="N31" s="1086">
        <f t="shared" si="15"/>
        <v>0.62775057723499672</v>
      </c>
      <c r="O31" s="1098"/>
      <c r="P31" s="947">
        <f>IF([1]Digesters!E31="","",[1]Digesters!E31*10)</f>
        <v>4470</v>
      </c>
      <c r="Q31" s="947">
        <f>IF([1]Digesters!D31="","",[1]Digesters!D31*10)</f>
        <v>1460</v>
      </c>
      <c r="R31" s="947">
        <f t="shared" si="16"/>
        <v>179509.326</v>
      </c>
      <c r="S31" s="1102">
        <f t="shared" si="17"/>
        <v>0.57090394046369619</v>
      </c>
      <c r="T31" s="1106" t="str">
        <f>IF([1]Digesters!G31="","",[1]Digesters!G31*10)</f>
        <v/>
      </c>
      <c r="U31" s="947">
        <f>IF([1]Digesters!F31="","",[1]Digesters!F31*10)</f>
        <v>8800</v>
      </c>
      <c r="V31" s="947">
        <f t="shared" si="18"/>
        <v>234854.40000000002</v>
      </c>
      <c r="W31" s="1086">
        <f t="shared" si="19"/>
        <v>0.74692109531533257</v>
      </c>
      <c r="X31" s="1104">
        <f>IF([1]Digesters!I31="","",[1]Digesters!I31*10)</f>
        <v>5180</v>
      </c>
      <c r="Y31" s="947">
        <f>IF([1]Digesters!H31="","",[1]Digesters!H31*10)</f>
        <v>1490</v>
      </c>
      <c r="Z31" s="947">
        <f t="shared" si="20"/>
        <v>202633.644</v>
      </c>
      <c r="AA31" s="1102">
        <f t="shared" si="21"/>
        <v>0.64444755271443566</v>
      </c>
      <c r="AB31" s="1106">
        <f>IF([1]Digesters!K31="","",[1]Digesters!K31*10)</f>
        <v>4960</v>
      </c>
      <c r="AC31" s="947">
        <f>IF([1]Digesters!J31="","",[1]Digesters!J31*10)</f>
        <v>1370</v>
      </c>
      <c r="AD31" s="947">
        <f t="shared" si="22"/>
        <v>192513.88800000001</v>
      </c>
      <c r="AE31" s="1086">
        <f t="shared" si="23"/>
        <v>0.56621731764705885</v>
      </c>
      <c r="AF31" s="1104">
        <f>IF([1]Digesters!M31="","",[1]Digesters!M31*10)</f>
        <v>5130</v>
      </c>
      <c r="AG31" s="947">
        <f>IF([1]Digesters!L31="","",[1]Digesters!L31*10)</f>
        <v>1470</v>
      </c>
      <c r="AH31" s="947">
        <f t="shared" si="24"/>
        <v>200527.79399999999</v>
      </c>
      <c r="AI31" s="1086">
        <f t="shared" si="25"/>
        <v>0.63775019559202362</v>
      </c>
      <c r="AJ31" s="135"/>
      <c r="AK31" s="546">
        <v>28</v>
      </c>
      <c r="AL31" s="145">
        <f t="shared" si="8"/>
        <v>0.62775057723499672</v>
      </c>
      <c r="AM31" s="145">
        <f t="shared" si="9"/>
        <v>0.57090394046369619</v>
      </c>
      <c r="AN31" s="145">
        <f t="shared" si="10"/>
        <v>0.74692109531533257</v>
      </c>
      <c r="AO31" s="146">
        <f t="shared" si="11"/>
        <v>0.64444755271443566</v>
      </c>
      <c r="AR31" s="12"/>
      <c r="AS31" s="12"/>
    </row>
    <row r="32" spans="1:47" ht="20.100000000000001" customHeight="1" x14ac:dyDescent="0.25">
      <c r="A32" s="1088">
        <v>29</v>
      </c>
      <c r="B32" s="1093">
        <f>IF([2]PRI_SLG!B32="","",[2]PRI_SLG!B32)</f>
        <v>3.47</v>
      </c>
      <c r="C32" s="1080">
        <f>IF([2]PRI_SLG!C32="","",[2]PRI_SLG!C32)</f>
        <v>3.02</v>
      </c>
      <c r="D32" s="1094">
        <f t="shared" si="12"/>
        <v>87.031700288184439</v>
      </c>
      <c r="E32" s="1090"/>
      <c r="F32" s="48"/>
      <c r="G32" s="48">
        <f>IF([2]TWAS!B32="","",[2]TWAS!B32)</f>
        <v>4.24</v>
      </c>
      <c r="H32" s="1080">
        <f>IF([2]TWAS!C32="","",[2]TWAS!C32)</f>
        <v>3.17</v>
      </c>
      <c r="I32" s="947">
        <f t="shared" si="13"/>
        <v>74.764150943396217</v>
      </c>
      <c r="J32" s="1096"/>
      <c r="K32" s="1100">
        <f>IF([1]Digesters!C32="","",[1]Digesters!C32*10)</f>
        <v>7110</v>
      </c>
      <c r="L32" s="1081">
        <f>IF([1]Digesters!B32="","",[1]Digesters!B32*10)</f>
        <v>1470</v>
      </c>
      <c r="M32" s="947">
        <f t="shared" si="14"/>
        <v>217941.71400000001</v>
      </c>
      <c r="N32" s="1086">
        <f t="shared" si="15"/>
        <v>0.69313269726171167</v>
      </c>
      <c r="O32" s="1098"/>
      <c r="P32" s="947">
        <f>IF([1]Digesters!E32="","",[1]Digesters!E32*10)</f>
        <v>7150</v>
      </c>
      <c r="Q32" s="947">
        <f>IF([1]Digesters!D32="","",[1]Digesters!D32*10)</f>
        <v>1480</v>
      </c>
      <c r="R32" s="947">
        <f t="shared" si="16"/>
        <v>219213.56399999998</v>
      </c>
      <c r="S32" s="1102">
        <f t="shared" si="17"/>
        <v>0.69717763572178226</v>
      </c>
      <c r="T32" s="1106" t="str">
        <f>IF([1]Digesters!G32="","",[1]Digesters!G32*10)</f>
        <v/>
      </c>
      <c r="U32" s="947">
        <f>IF([1]Digesters!F32="","",[1]Digesters!F32*10)</f>
        <v>9830</v>
      </c>
      <c r="V32" s="947">
        <f t="shared" si="18"/>
        <v>259883.57399999994</v>
      </c>
      <c r="W32" s="1086">
        <f t="shared" si="19"/>
        <v>0.82652283179085939</v>
      </c>
      <c r="X32" s="1104">
        <f>IF([1]Digesters!I32="","",[1]Digesters!I32*10)</f>
        <v>7160</v>
      </c>
      <c r="Y32" s="947">
        <f>IF([1]Digesters!H32="","",[1]Digesters!H32*10)</f>
        <v>1510</v>
      </c>
      <c r="Z32" s="947">
        <f t="shared" si="20"/>
        <v>220258.56599999999</v>
      </c>
      <c r="AA32" s="1102">
        <f t="shared" si="21"/>
        <v>0.700501116305696</v>
      </c>
      <c r="AB32" s="1106">
        <f>IF([1]Digesters!K32="","",[1]Digesters!K32*10)</f>
        <v>6930</v>
      </c>
      <c r="AC32" s="947">
        <f>IF([1]Digesters!J32="","",[1]Digesters!J32*10)</f>
        <v>1490</v>
      </c>
      <c r="AD32" s="947">
        <f t="shared" si="22"/>
        <v>213936.84599999999</v>
      </c>
      <c r="AE32" s="1086">
        <f t="shared" si="23"/>
        <v>0.62922601764705877</v>
      </c>
      <c r="AF32" s="1104">
        <f>IF([1]Digesters!M32="","",[1]Digesters!M32*10)</f>
        <v>7240</v>
      </c>
      <c r="AG32" s="947">
        <f>IF([1]Digesters!L32="","",[1]Digesters!L32*10)</f>
        <v>1470</v>
      </c>
      <c r="AH32" s="947">
        <f t="shared" si="24"/>
        <v>221215.99800000002</v>
      </c>
      <c r="AI32" s="1086">
        <f t="shared" si="25"/>
        <v>0.70354609293006398</v>
      </c>
      <c r="AJ32" s="135"/>
      <c r="AK32" s="546">
        <v>29</v>
      </c>
      <c r="AL32" s="145">
        <f t="shared" si="8"/>
        <v>0.69313269726171167</v>
      </c>
      <c r="AM32" s="145">
        <f t="shared" si="9"/>
        <v>0.69717763572178226</v>
      </c>
      <c r="AN32" s="145">
        <f t="shared" si="10"/>
        <v>0.82652283179085939</v>
      </c>
      <c r="AO32" s="146">
        <f t="shared" si="11"/>
        <v>0.700501116305696</v>
      </c>
      <c r="AR32" s="12"/>
      <c r="AS32" s="12"/>
    </row>
    <row r="33" spans="1:46" ht="20.100000000000001" customHeight="1" x14ac:dyDescent="0.25">
      <c r="A33" s="1088">
        <v>30</v>
      </c>
      <c r="B33" s="1093">
        <f>IF([2]PRI_SLG!B33="","",[2]PRI_SLG!B33)</f>
        <v>3.59</v>
      </c>
      <c r="C33" s="1080">
        <f>IF([2]PRI_SLG!C33="","",[2]PRI_SLG!C33)</f>
        <v>3.1</v>
      </c>
      <c r="D33" s="1094">
        <f t="shared" ref="D33" si="26">IF(OR(B33="",C33="",ISTEXT(B33)=TRUE,ISTEXT(C33)=TRUE),"",(C33/B33)*100)</f>
        <v>86.350974930362128</v>
      </c>
      <c r="E33" s="1090"/>
      <c r="F33" s="48"/>
      <c r="G33" s="48">
        <f>IF([2]TWAS!B33="","",[2]TWAS!B33)</f>
        <v>3.84</v>
      </c>
      <c r="H33" s="1080">
        <f>IF([2]TWAS!C33="","",[2]TWAS!C33)</f>
        <v>2.85</v>
      </c>
      <c r="I33" s="947">
        <f t="shared" ref="I33" si="27">IF(OR(G33="",H33="",ISTEXT(G33)=TRUE,ISTEXT(H33)=TRUE),"",(H33/G33)*100)</f>
        <v>74.21875</v>
      </c>
      <c r="J33" s="1096"/>
      <c r="K33" s="1100">
        <f>IF([1]Digesters!C33="","",[1]Digesters!C33*10)</f>
        <v>6360</v>
      </c>
      <c r="L33" s="1081">
        <f>IF([1]Digesters!B33="","",[1]Digesters!B33*10)</f>
        <v>1840</v>
      </c>
      <c r="M33" s="947">
        <f t="shared" ref="M33" si="28">IF(OR(K33="",B33="",D33="",L33="",G33="",I33=""),"",((K33*100)*(B33/100)*(D33/100)*8.34)+((L33*100)*(G33/100)*(I33/100)*8.34))</f>
        <v>208166.40000000002</v>
      </c>
      <c r="N33" s="1086">
        <f t="shared" ref="N33" si="29">IF(M33="","",M33/314430)</f>
        <v>0.66204369812040842</v>
      </c>
      <c r="O33" s="1098"/>
      <c r="P33" s="947">
        <f>IF([1]Digesters!E33="","",[1]Digesters!E33*10)</f>
        <v>6360</v>
      </c>
      <c r="Q33" s="947">
        <f>IF([1]Digesters!D33="","",[1]Digesters!D33*10)</f>
        <v>1830</v>
      </c>
      <c r="R33" s="947">
        <f t="shared" ref="R33" si="30">IF(OR(P33="",B33="",D33="",Q33="",G33="",I33=""),"",((P33*100)*(B33/100)*(D33/100)*8.34)+((Q33*100)*(G33/100)*(I33/100)*8.34))</f>
        <v>207928.71000000002</v>
      </c>
      <c r="S33" s="1102">
        <f t="shared" ref="S33" si="31">IF(R33="","",R33/314430)</f>
        <v>0.66128775880164115</v>
      </c>
      <c r="T33" s="1106" t="str">
        <f>IF([1]Digesters!G33="","",[1]Digesters!G33*10)</f>
        <v/>
      </c>
      <c r="U33" s="947">
        <f>IF([1]Digesters!F33="","",[1]Digesters!F33*10)</f>
        <v>11920</v>
      </c>
      <c r="V33" s="947">
        <f t="shared" ref="V33" si="32">IF(OR(U33="",$G33="",$I33=""),"",((U33*100)*($G33/100)*($I33/100)*8.34))</f>
        <v>283326.48</v>
      </c>
      <c r="W33" s="1086">
        <f t="shared" ref="W33" si="33">IF(V33="","",V33/314430)</f>
        <v>0.90107966797061345</v>
      </c>
      <c r="X33" s="1104">
        <f>IF([1]Digesters!I33="","",[1]Digesters!I33*10)</f>
        <v>6900</v>
      </c>
      <c r="Y33" s="947">
        <f>IF([1]Digesters!H33="","",[1]Digesters!H33*10)</f>
        <v>1860</v>
      </c>
      <c r="Z33" s="947">
        <f t="shared" ref="Z33" si="34">IF(OR(X33="",$B33="",$D33="",Y33="",$G33="",$I33=""),"",((X33*100)*($B33/100)*($D33/100)*8.34)+((Y33*100)*($G33/100)*($I33/100)*8.34))</f>
        <v>222602.94</v>
      </c>
      <c r="AA33" s="1102">
        <f t="shared" ref="AA33" si="35">IF(Z33="","",Z33/314430)</f>
        <v>0.70795706516553769</v>
      </c>
      <c r="AB33" s="1106">
        <f>IF([1]Digesters!K33="","",[1]Digesters!K33*10)</f>
        <v>5330</v>
      </c>
      <c r="AC33" s="947">
        <f>IF([1]Digesters!J33="","",[1]Digesters!J33*10)</f>
        <v>1470</v>
      </c>
      <c r="AD33" s="947">
        <f t="shared" ref="AD33" si="36">IF(OR(AB33="",$B33="",$D33="",AC33="",$G33="",$I33=""),"",((AB33*100)*($B33/100)*($D33/100)*8.34)+((AC33*100)*($G33/100)*($I33/100)*8.34))</f>
        <v>172742.25000000003</v>
      </c>
      <c r="AE33" s="1086">
        <f t="shared" ref="AE33" si="37">IF(AD33="","",AD33/340000)</f>
        <v>0.50806544117647068</v>
      </c>
      <c r="AF33" s="1104">
        <f>IF([1]Digesters!M33="","",[1]Digesters!M33*10)</f>
        <v>5250</v>
      </c>
      <c r="AG33" s="947">
        <f>IF([1]Digesters!L33="","",[1]Digesters!L33*10)</f>
        <v>1480</v>
      </c>
      <c r="AH33" s="947">
        <f t="shared" ref="AH33" si="38">IF(OR(AF33="",$B33="",$D33="",AG33="",$G33="",$I33=""),"",((AF33*100)*($B33/100)*($D33/100)*8.34)+((AG33*100)*($G33/100)*($I33/100)*8.34))</f>
        <v>170911.62</v>
      </c>
      <c r="AI33" s="1086">
        <f t="shared" ref="AI33" si="39">IF(AH33="","",AH33/314430)</f>
        <v>0.54356015647361888</v>
      </c>
      <c r="AJ33" s="135"/>
      <c r="AK33" s="546">
        <v>30</v>
      </c>
      <c r="AL33" s="145">
        <f t="shared" si="8"/>
        <v>0.66204369812040842</v>
      </c>
      <c r="AM33" s="145">
        <f t="shared" si="9"/>
        <v>0.66128775880164115</v>
      </c>
      <c r="AN33" s="145">
        <f t="shared" si="10"/>
        <v>0.90107966797061345</v>
      </c>
      <c r="AO33" s="146">
        <f t="shared" si="11"/>
        <v>0.70795706516553769</v>
      </c>
      <c r="AR33" s="12"/>
      <c r="AS33" s="12"/>
    </row>
    <row r="34" spans="1:46" ht="20.100000000000001" customHeight="1" thickBot="1" x14ac:dyDescent="0.3">
      <c r="A34" s="1088">
        <v>31</v>
      </c>
      <c r="B34" s="1093">
        <f>IF([2]PRI_SLG!B34="","",[2]PRI_SLG!B34)</f>
        <v>4.08</v>
      </c>
      <c r="C34" s="1080">
        <f>IF([2]PRI_SLG!C34="","",[2]PRI_SLG!C34)</f>
        <v>3.42</v>
      </c>
      <c r="D34" s="1094">
        <f t="shared" ref="D34" si="40">IF(OR(B34="",C34="",ISTEXT(B34)=TRUE,ISTEXT(C34)=TRUE),"",(C34/B34)*100)</f>
        <v>83.82352941176471</v>
      </c>
      <c r="E34" s="1090"/>
      <c r="F34" s="48"/>
      <c r="G34" s="48">
        <f>IF([2]TWAS!B34="","",[2]TWAS!B34)</f>
        <v>4.58</v>
      </c>
      <c r="H34" s="1080">
        <f>IF([2]TWAS!C34="","",[2]TWAS!C34)</f>
        <v>3.36</v>
      </c>
      <c r="I34" s="947">
        <f t="shared" ref="I34" si="41">IF(OR(G34="",H34="",ISTEXT(G34)=TRUE,ISTEXT(H34)=TRUE),"",(H34/G34)*100)</f>
        <v>73.362445414847159</v>
      </c>
      <c r="J34" s="1096"/>
      <c r="K34" s="1100">
        <f>IF([1]Digesters!C34="","",[1]Digesters!C34*10)</f>
        <v>5970</v>
      </c>
      <c r="L34" s="1081">
        <f>IF([1]Digesters!B34="","",[1]Digesters!B34*10)</f>
        <v>1970</v>
      </c>
      <c r="M34" s="947">
        <f t="shared" ref="M34" si="42">IF(OR(K34="",B34="",D34="",L34="",G34="",I34=""),"",((K34*100)*(B34/100)*(D34/100)*8.34)+((L34*100)*(G34/100)*(I34/100)*8.34))</f>
        <v>225485.24400000001</v>
      </c>
      <c r="N34" s="1086">
        <f t="shared" ref="N34" si="43">IF(M34="","",M34/314430)</f>
        <v>0.71712382406258945</v>
      </c>
      <c r="O34" s="1098"/>
      <c r="P34" s="947">
        <f>IF([1]Digesters!E34="","",[1]Digesters!E34*10)</f>
        <v>6070</v>
      </c>
      <c r="Q34" s="947">
        <f>IF([1]Digesters!D34="","",[1]Digesters!D34*10)</f>
        <v>1970</v>
      </c>
      <c r="R34" s="947">
        <f t="shared" ref="R34" si="44">IF(OR(P34="",B34="",D34="",Q34="",G34="",I34=""),"",((P34*100)*(B34/100)*(D34/100)*8.34)+((Q34*100)*(G34/100)*(I34/100)*8.34))</f>
        <v>228337.524</v>
      </c>
      <c r="S34" s="1102">
        <f t="shared" ref="S34" si="45">IF(R34="","",R34/314430)</f>
        <v>0.72619509588779696</v>
      </c>
      <c r="T34" s="1106" t="str">
        <f>IF([1]Digesters!G34="","",[1]Digesters!G34*10)</f>
        <v/>
      </c>
      <c r="U34" s="947">
        <f>IF([1]Digesters!F34="","",[1]Digesters!F34*10)</f>
        <v>12290</v>
      </c>
      <c r="V34" s="947">
        <f t="shared" ref="V34" si="46">IF(OR(U34="",$G34="",$I34=""),"",((U34*100)*($G34/100)*($I34/100)*8.34))</f>
        <v>344395.29599999997</v>
      </c>
      <c r="W34" s="1086">
        <f t="shared" ref="W34" si="47">IF(V34="","",V34/314430)</f>
        <v>1.0953003721018986</v>
      </c>
      <c r="X34" s="1104">
        <f>IF([1]Digesters!I34="","",[1]Digesters!I34*10)</f>
        <v>6270</v>
      </c>
      <c r="Y34" s="947">
        <f>IF([1]Digesters!H34="","",[1]Digesters!H34*10)</f>
        <v>2000</v>
      </c>
      <c r="Z34" s="947">
        <f t="shared" ref="Z34" si="48">IF(OR(X34="",$B34="",$D34="",Y34="",$G34="",$I34=""),"",((X34*100)*($B34/100)*($D34/100)*8.34)+((Y34*100)*($G34/100)*($I34/100)*8.34))</f>
        <v>234882.75599999999</v>
      </c>
      <c r="AA34" s="1102">
        <f t="shared" ref="AA34" si="49">IF(Z34="","",Z34/314430)</f>
        <v>0.74701127754985208</v>
      </c>
      <c r="AB34" s="1106">
        <f>IF([1]Digesters!K34="","",[1]Digesters!K34*10)</f>
        <v>6430</v>
      </c>
      <c r="AC34" s="947">
        <f>IF([1]Digesters!J34="","",[1]Digesters!J34*10)</f>
        <v>1990</v>
      </c>
      <c r="AD34" s="947">
        <f t="shared" ref="AD34" si="50">IF(OR(AB34="",$B34="",$D34="",AC34="",$G34="",$I34=""),"",((AB34*100)*($B34/100)*($D34/100)*8.34)+((AC34*100)*($G34/100)*($I34/100)*8.34))</f>
        <v>239166.18000000002</v>
      </c>
      <c r="AE34" s="1086">
        <f t="shared" ref="AE34" si="51">IF(AD34="","",AD34/340000)</f>
        <v>0.70342994117647062</v>
      </c>
      <c r="AF34" s="1104">
        <f>IF([1]Digesters!M34="","",[1]Digesters!M34*10)</f>
        <v>6020</v>
      </c>
      <c r="AG34" s="947">
        <f>IF([1]Digesters!L34="","",[1]Digesters!L34*10)</f>
        <v>1970</v>
      </c>
      <c r="AH34" s="947">
        <f t="shared" ref="AH34" si="52">IF(OR(AF34="",$B34="",$D34="",AG34="",$G34="",$I34=""),"",((AF34*100)*($B34/100)*($D34/100)*8.34)+((AG34*100)*($G34/100)*($I34/100)*8.34))</f>
        <v>226911.38400000002</v>
      </c>
      <c r="AI34" s="1086">
        <f t="shared" ref="AI34" si="53">IF(AH34="","",AH34/314430)</f>
        <v>0.72165945997519332</v>
      </c>
      <c r="AJ34" s="528"/>
      <c r="AK34" s="546"/>
      <c r="AL34" s="145"/>
      <c r="AM34" s="145"/>
      <c r="AN34" s="145"/>
      <c r="AO34" s="146"/>
      <c r="AR34" s="12"/>
      <c r="AS34" s="12"/>
    </row>
    <row r="35" spans="1:46" ht="20.100000000000001" customHeight="1" x14ac:dyDescent="0.25">
      <c r="A35" s="1122" t="s">
        <v>494</v>
      </c>
      <c r="B35" s="1119">
        <f>MAX(B4:B34)</f>
        <v>5.2</v>
      </c>
      <c r="C35" s="1110">
        <f t="shared" ref="C35:AA35" si="54">MAX(C4:C34)</f>
        <v>3.92</v>
      </c>
      <c r="D35" s="1111">
        <f t="shared" si="54"/>
        <v>87.878787878787875</v>
      </c>
      <c r="E35" s="1110">
        <f t="shared" si="54"/>
        <v>0</v>
      </c>
      <c r="F35" s="1110">
        <f t="shared" si="54"/>
        <v>0</v>
      </c>
      <c r="G35" s="1110">
        <f t="shared" si="54"/>
        <v>4.87</v>
      </c>
      <c r="H35" s="1110">
        <f t="shared" si="54"/>
        <v>3.6</v>
      </c>
      <c r="I35" s="1111">
        <f t="shared" si="54"/>
        <v>77.647058823529406</v>
      </c>
      <c r="J35" s="1125">
        <f t="shared" si="54"/>
        <v>0</v>
      </c>
      <c r="K35" s="1132">
        <f t="shared" si="54"/>
        <v>70220</v>
      </c>
      <c r="L35" s="1112">
        <f t="shared" si="54"/>
        <v>2340</v>
      </c>
      <c r="M35" s="1111">
        <f t="shared" si="54"/>
        <v>2258717.196</v>
      </c>
      <c r="N35" s="1113">
        <f t="shared" si="54"/>
        <v>7.1835295487071846</v>
      </c>
      <c r="O35" s="1128">
        <f t="shared" si="54"/>
        <v>0</v>
      </c>
      <c r="P35" s="1112">
        <f t="shared" si="54"/>
        <v>11180</v>
      </c>
      <c r="Q35" s="1112">
        <f t="shared" si="54"/>
        <v>2320</v>
      </c>
      <c r="R35" s="1111">
        <f t="shared" si="54"/>
        <v>393888.19199999998</v>
      </c>
      <c r="S35" s="1136">
        <f t="shared" si="54"/>
        <v>1.2527055051998854</v>
      </c>
      <c r="T35" s="1140">
        <f t="shared" si="54"/>
        <v>0</v>
      </c>
      <c r="U35" s="1112">
        <f t="shared" si="54"/>
        <v>17770</v>
      </c>
      <c r="V35" s="1111">
        <f t="shared" si="54"/>
        <v>472971.408</v>
      </c>
      <c r="W35" s="1113">
        <f t="shared" si="54"/>
        <v>1.5042184524377444</v>
      </c>
      <c r="X35" s="1128">
        <f t="shared" si="54"/>
        <v>11750</v>
      </c>
      <c r="Y35" s="1112">
        <f t="shared" si="54"/>
        <v>2530</v>
      </c>
      <c r="Z35" s="1111">
        <f t="shared" si="54"/>
        <v>410368.03200000001</v>
      </c>
      <c r="AA35" s="1136">
        <f t="shared" si="54"/>
        <v>1.3051172979677512</v>
      </c>
      <c r="AB35" s="1146">
        <f t="shared" ref="AB35:AI35" si="55">MAX(AB4:AB34)</f>
        <v>11400</v>
      </c>
      <c r="AC35" s="1111">
        <f t="shared" si="55"/>
        <v>2310</v>
      </c>
      <c r="AD35" s="1111">
        <f t="shared" si="55"/>
        <v>401627.712</v>
      </c>
      <c r="AE35" s="1113">
        <f t="shared" si="55"/>
        <v>1.1812579764705882</v>
      </c>
      <c r="AF35" s="1144">
        <f t="shared" si="55"/>
        <v>11230</v>
      </c>
      <c r="AG35" s="1111">
        <f t="shared" si="55"/>
        <v>3560</v>
      </c>
      <c r="AH35" s="1111">
        <f t="shared" si="55"/>
        <v>393714.72000000009</v>
      </c>
      <c r="AI35" s="1113">
        <f t="shared" si="55"/>
        <v>1.2521538021181189</v>
      </c>
      <c r="AJ35" s="135"/>
      <c r="AK35" s="15"/>
      <c r="AL35" s="246"/>
      <c r="AM35" s="2"/>
      <c r="AN35" s="2"/>
      <c r="AO35" s="2"/>
      <c r="AR35" t="s">
        <v>289</v>
      </c>
      <c r="AS35" s="282">
        <v>340000</v>
      </c>
      <c r="AT35" t="s">
        <v>290</v>
      </c>
    </row>
    <row r="36" spans="1:46" ht="20.100000000000001" customHeight="1" x14ac:dyDescent="0.25">
      <c r="A36" s="1123" t="s">
        <v>495</v>
      </c>
      <c r="B36" s="1120">
        <f>MIN(B4:B34)</f>
        <v>2.29</v>
      </c>
      <c r="C36" s="1107">
        <f t="shared" ref="C36:AA36" si="56">MIN(C4:C34)</f>
        <v>2</v>
      </c>
      <c r="D36" s="1108">
        <f t="shared" si="56"/>
        <v>63.123644251626899</v>
      </c>
      <c r="E36" s="1107">
        <f t="shared" si="56"/>
        <v>0</v>
      </c>
      <c r="F36" s="1107">
        <f t="shared" si="56"/>
        <v>0</v>
      </c>
      <c r="G36" s="1107">
        <f t="shared" si="56"/>
        <v>3.6</v>
      </c>
      <c r="H36" s="1107">
        <f t="shared" si="56"/>
        <v>2.71</v>
      </c>
      <c r="I36" s="1108">
        <f t="shared" si="56"/>
        <v>73.362445414847159</v>
      </c>
      <c r="J36" s="1126">
        <f t="shared" si="56"/>
        <v>0</v>
      </c>
      <c r="K36" s="1133">
        <f t="shared" si="56"/>
        <v>4700</v>
      </c>
      <c r="L36" s="1109">
        <f t="shared" si="56"/>
        <v>1460</v>
      </c>
      <c r="M36" s="1108">
        <f t="shared" si="56"/>
        <v>161990.32199999999</v>
      </c>
      <c r="N36" s="1114">
        <f t="shared" si="56"/>
        <v>0.51518723404255318</v>
      </c>
      <c r="O36" s="1129">
        <f t="shared" si="56"/>
        <v>0</v>
      </c>
      <c r="P36" s="1109">
        <f t="shared" si="56"/>
        <v>4470</v>
      </c>
      <c r="Q36" s="1109">
        <f t="shared" si="56"/>
        <v>1450</v>
      </c>
      <c r="R36" s="1108">
        <f t="shared" si="56"/>
        <v>163718.37</v>
      </c>
      <c r="S36" s="1137">
        <f t="shared" si="56"/>
        <v>0.52068304551092448</v>
      </c>
      <c r="T36" s="1141">
        <f>MIN(T4:T34)</f>
        <v>0</v>
      </c>
      <c r="U36" s="1109">
        <f t="shared" si="56"/>
        <v>8800</v>
      </c>
      <c r="V36" s="1108">
        <f t="shared" si="56"/>
        <v>234854.40000000002</v>
      </c>
      <c r="W36" s="1114">
        <f t="shared" si="56"/>
        <v>0.74692109531533257</v>
      </c>
      <c r="X36" s="1129">
        <f t="shared" si="56"/>
        <v>5080</v>
      </c>
      <c r="Y36" s="1109">
        <f t="shared" si="56"/>
        <v>1490</v>
      </c>
      <c r="Z36" s="1108">
        <f t="shared" si="56"/>
        <v>167811.64199999999</v>
      </c>
      <c r="AA36" s="1137">
        <f t="shared" si="56"/>
        <v>0.53370111630569594</v>
      </c>
      <c r="AB36" s="1134">
        <f t="shared" ref="AB36:AI36" si="57">MIN(AB4:AB34)</f>
        <v>4960</v>
      </c>
      <c r="AC36" s="1108">
        <f t="shared" si="57"/>
        <v>1360</v>
      </c>
      <c r="AD36" s="1108">
        <f t="shared" si="57"/>
        <v>168807.43799999999</v>
      </c>
      <c r="AE36" s="1114">
        <f t="shared" si="57"/>
        <v>0.49649246470588232</v>
      </c>
      <c r="AF36" s="1145">
        <f t="shared" si="57"/>
        <v>4790</v>
      </c>
      <c r="AG36" s="1108">
        <f t="shared" si="57"/>
        <v>1460</v>
      </c>
      <c r="AH36" s="1108">
        <f t="shared" si="57"/>
        <v>165182.87400000001</v>
      </c>
      <c r="AI36" s="1114">
        <f t="shared" si="57"/>
        <v>0.52534069268199601</v>
      </c>
      <c r="AJ36" s="135"/>
      <c r="AL36" s="145"/>
      <c r="AS36" s="282">
        <v>355000</v>
      </c>
      <c r="AT36" t="s">
        <v>291</v>
      </c>
    </row>
    <row r="37" spans="1:46" ht="20.100000000000001" customHeight="1" x14ac:dyDescent="0.25">
      <c r="A37" s="1123" t="s">
        <v>497</v>
      </c>
      <c r="B37" s="1120"/>
      <c r="C37" s="1107"/>
      <c r="D37" s="1108"/>
      <c r="E37" s="1109"/>
      <c r="F37" s="1109"/>
      <c r="G37" s="1109"/>
      <c r="H37" s="1107"/>
      <c r="I37" s="1108"/>
      <c r="J37" s="1126"/>
      <c r="K37" s="1134">
        <f>SUM(K4:K34)</f>
        <v>275360</v>
      </c>
      <c r="L37" s="1108">
        <f>SUM(L4:L34)</f>
        <v>54860</v>
      </c>
      <c r="M37" s="1108"/>
      <c r="N37" s="1115"/>
      <c r="O37" s="1130"/>
      <c r="P37" s="1109">
        <f>SUM(P4:P34)</f>
        <v>215730</v>
      </c>
      <c r="Q37" s="1109">
        <f>SUM(Q4:Q34)</f>
        <v>55010</v>
      </c>
      <c r="R37" s="1109"/>
      <c r="S37" s="1126"/>
      <c r="T37" s="1141">
        <f>SUM(T4:T34)</f>
        <v>0</v>
      </c>
      <c r="U37" s="1109">
        <f>SUM(U4:U34)</f>
        <v>366730</v>
      </c>
      <c r="V37" s="1109"/>
      <c r="W37" s="1142"/>
      <c r="X37" s="1129">
        <f>SUM(X4:X34)</f>
        <v>221410</v>
      </c>
      <c r="Y37" s="1109">
        <f>SUM(Y4:Y34)</f>
        <v>56320</v>
      </c>
      <c r="Z37" s="1109"/>
      <c r="AA37" s="1126"/>
      <c r="AB37" s="1134">
        <f>SUM(AB4:AB34)</f>
        <v>214120</v>
      </c>
      <c r="AC37" s="1108">
        <f>SUM(AC4:AC34)</f>
        <v>54170</v>
      </c>
      <c r="AD37" s="1108"/>
      <c r="AE37" s="1115"/>
      <c r="AF37" s="1145">
        <f>SUM(AF4:AF34)</f>
        <v>214700</v>
      </c>
      <c r="AG37" s="1108">
        <f>SUM(AG4:AG34)</f>
        <v>56370</v>
      </c>
      <c r="AH37" s="1108"/>
      <c r="AI37" s="1115"/>
      <c r="AJ37" s="27"/>
    </row>
    <row r="38" spans="1:46" ht="20.100000000000001" customHeight="1" thickBot="1" x14ac:dyDescent="0.3">
      <c r="A38" s="1124" t="s">
        <v>496</v>
      </c>
      <c r="B38" s="1121">
        <f>AVERAGE(B4:B34)</f>
        <v>3.9038709677419363</v>
      </c>
      <c r="C38" s="1116">
        <f t="shared" ref="C38:AA38" si="58">AVERAGE(C4:C34)</f>
        <v>3.1622580645161289</v>
      </c>
      <c r="D38" s="1117">
        <f t="shared" si="58"/>
        <v>81.399827299754548</v>
      </c>
      <c r="E38" s="1116" t="e">
        <f t="shared" si="58"/>
        <v>#DIV/0!</v>
      </c>
      <c r="F38" s="1116" t="e">
        <f t="shared" si="58"/>
        <v>#DIV/0!</v>
      </c>
      <c r="G38" s="1116">
        <f t="shared" si="58"/>
        <v>4.1154838709677417</v>
      </c>
      <c r="H38" s="1116">
        <f t="shared" si="58"/>
        <v>3.0864516129032262</v>
      </c>
      <c r="I38" s="1117">
        <f t="shared" si="58"/>
        <v>75.017843075787539</v>
      </c>
      <c r="J38" s="1127" t="e">
        <f t="shared" si="58"/>
        <v>#DIV/0!</v>
      </c>
      <c r="K38" s="1135">
        <f t="shared" si="58"/>
        <v>8882.5806451612898</v>
      </c>
      <c r="L38" s="1117">
        <f t="shared" si="58"/>
        <v>1769.6774193548388</v>
      </c>
      <c r="M38" s="1117">
        <f t="shared" si="58"/>
        <v>289702.94806451612</v>
      </c>
      <c r="N38" s="1118">
        <f t="shared" si="58"/>
        <v>0.92135911988205998</v>
      </c>
      <c r="O38" s="1131" t="e">
        <f t="shared" si="58"/>
        <v>#DIV/0!</v>
      </c>
      <c r="P38" s="1117">
        <f t="shared" si="58"/>
        <v>6959.0322580645161</v>
      </c>
      <c r="Q38" s="1117">
        <f t="shared" si="58"/>
        <v>1774.516129032258</v>
      </c>
      <c r="R38" s="1117">
        <f t="shared" si="58"/>
        <v>228397.92174193545</v>
      </c>
      <c r="S38" s="1138">
        <f t="shared" si="58"/>
        <v>0.72638718233608601</v>
      </c>
      <c r="T38" s="1143" t="e">
        <f>AVERAGE(T4:T34)</f>
        <v>#DIV/0!</v>
      </c>
      <c r="U38" s="1117">
        <f t="shared" si="58"/>
        <v>11830</v>
      </c>
      <c r="V38" s="1117">
        <f t="shared" si="58"/>
        <v>303547.93993548374</v>
      </c>
      <c r="W38" s="1118">
        <f t="shared" si="58"/>
        <v>0.96539115203855819</v>
      </c>
      <c r="X38" s="1139">
        <f t="shared" si="58"/>
        <v>7142.2580645161288</v>
      </c>
      <c r="Y38" s="1117">
        <f t="shared" si="58"/>
        <v>1816.7741935483871</v>
      </c>
      <c r="Z38" s="1117">
        <f t="shared" si="58"/>
        <v>234333.31141935487</v>
      </c>
      <c r="AA38" s="1138">
        <f t="shared" si="58"/>
        <v>0.74526384702272308</v>
      </c>
      <c r="AB38" s="1135">
        <f t="shared" ref="AB38:AI38" si="59">AVERAGE(AB4:AB34)</f>
        <v>6907.0967741935483</v>
      </c>
      <c r="AC38" s="1117">
        <f t="shared" si="59"/>
        <v>1747.4193548387098</v>
      </c>
      <c r="AD38" s="1117">
        <f t="shared" si="59"/>
        <v>226320.91199999995</v>
      </c>
      <c r="AE38" s="1118">
        <f t="shared" si="59"/>
        <v>0.66564974117647047</v>
      </c>
      <c r="AF38" s="1139">
        <f t="shared" si="59"/>
        <v>6925.8064516129034</v>
      </c>
      <c r="AG38" s="1117">
        <f t="shared" si="59"/>
        <v>1818.3870967741937</v>
      </c>
      <c r="AH38" s="1117">
        <f t="shared" si="59"/>
        <v>228916.72354838706</v>
      </c>
      <c r="AI38" s="1118">
        <f t="shared" si="59"/>
        <v>0.72803715786784695</v>
      </c>
      <c r="AJ38" s="27"/>
    </row>
    <row r="39" spans="1:46" ht="20.100000000000001" customHeight="1" thickBot="1" x14ac:dyDescent="0.3">
      <c r="A39" s="27"/>
      <c r="B39" s="1685" t="s">
        <v>81</v>
      </c>
      <c r="C39" s="1686"/>
      <c r="D39" s="1686"/>
      <c r="E39" s="1686"/>
      <c r="F39" s="1686"/>
      <c r="G39" s="1686"/>
      <c r="H39" s="1686"/>
      <c r="I39" s="1686"/>
      <c r="J39" s="1686"/>
      <c r="K39" s="1686"/>
      <c r="L39" s="1686"/>
      <c r="M39" s="1686"/>
      <c r="N39" s="1686"/>
      <c r="O39" s="1686"/>
      <c r="P39" s="1686"/>
      <c r="Q39" s="1687"/>
      <c r="R39" s="1685" t="s">
        <v>80</v>
      </c>
      <c r="S39" s="1686"/>
      <c r="T39" s="1686"/>
      <c r="U39" s="1686"/>
      <c r="V39" s="1686"/>
      <c r="W39" s="1686"/>
      <c r="X39" s="1686"/>
      <c r="Y39" s="1686"/>
      <c r="Z39" s="1686"/>
      <c r="AA39" s="1686"/>
      <c r="AB39" s="1685" t="s">
        <v>292</v>
      </c>
      <c r="AC39" s="1686"/>
      <c r="AD39" s="1686"/>
      <c r="AE39" s="1686"/>
      <c r="AF39" s="1686"/>
      <c r="AG39" s="1686"/>
      <c r="AH39" s="1686"/>
      <c r="AI39" s="1687"/>
      <c r="AJ39" s="359"/>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55" zoomScaleNormal="55" workbookViewId="0">
      <selection activeCell="E29" sqref="E29"/>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699" t="s">
        <v>99</v>
      </c>
      <c r="C1" s="1700"/>
      <c r="D1" s="1699" t="s">
        <v>63</v>
      </c>
      <c r="E1" s="1700"/>
      <c r="F1" s="1706"/>
      <c r="G1" s="1700" t="s">
        <v>678</v>
      </c>
      <c r="H1" s="1700"/>
      <c r="I1" s="1700"/>
      <c r="J1" s="184" t="s">
        <v>87</v>
      </c>
      <c r="K1" s="1198" t="s">
        <v>678</v>
      </c>
      <c r="L1" s="1699" t="s">
        <v>65</v>
      </c>
      <c r="M1" s="1700"/>
      <c r="N1" s="1700"/>
      <c r="O1" s="1700"/>
      <c r="P1" s="1700"/>
      <c r="Q1" s="1700"/>
      <c r="R1" s="1706"/>
      <c r="S1" s="1700" t="s">
        <v>66</v>
      </c>
      <c r="T1" s="1700"/>
      <c r="U1" s="1700"/>
      <c r="V1" s="1700"/>
      <c r="W1" s="1700"/>
      <c r="X1" s="1700"/>
      <c r="Y1" s="1700"/>
      <c r="Z1" s="1699" t="s">
        <v>69</v>
      </c>
      <c r="AA1" s="1700"/>
      <c r="AB1" s="1700"/>
      <c r="AC1" s="1700"/>
      <c r="AD1" s="1700"/>
      <c r="AE1" s="1706"/>
      <c r="AF1" s="243" t="s">
        <v>550</v>
      </c>
      <c r="AG1" s="1699" t="s">
        <v>67</v>
      </c>
      <c r="AH1" s="1700"/>
      <c r="AI1" s="1700"/>
      <c r="AJ1" s="1700"/>
      <c r="AK1" s="1700"/>
      <c r="AL1" s="1700"/>
      <c r="AM1" s="1706"/>
      <c r="AN1" s="1700" t="s">
        <v>325</v>
      </c>
      <c r="AO1" s="1700"/>
      <c r="AP1" s="1700"/>
      <c r="AQ1" s="1700"/>
      <c r="AR1" s="1700"/>
      <c r="AS1" s="1700"/>
      <c r="AT1" s="1700"/>
      <c r="AU1" s="1699" t="s">
        <v>326</v>
      </c>
      <c r="AV1" s="1700"/>
      <c r="AW1" s="1700"/>
      <c r="AX1" s="1700"/>
      <c r="AY1" s="1700"/>
      <c r="AZ1" s="1700"/>
      <c r="BA1" s="1706"/>
      <c r="BB1" s="1704" t="s">
        <v>70</v>
      </c>
      <c r="BC1" s="1704"/>
      <c r="BD1" s="1704"/>
      <c r="BE1" s="1704"/>
      <c r="BF1" s="1704"/>
      <c r="BG1" s="1703" t="s">
        <v>71</v>
      </c>
      <c r="BH1" s="1704"/>
      <c r="BI1" s="1704"/>
      <c r="BJ1" s="1704"/>
      <c r="BK1" s="1705"/>
      <c r="BL1" s="690"/>
      <c r="BM1" s="692" t="s">
        <v>399</v>
      </c>
      <c r="BN1" s="691"/>
      <c r="BO1" s="131"/>
      <c r="BP1" s="131"/>
      <c r="BQ1" s="131"/>
      <c r="BR1" s="131"/>
      <c r="BS1" s="131"/>
    </row>
    <row r="2" spans="1:88" ht="21" customHeight="1" x14ac:dyDescent="0.25">
      <c r="A2" s="642">
        <f>IF(date!B6="","",date!B6)</f>
        <v>43466</v>
      </c>
      <c r="B2" s="55" t="s">
        <v>100</v>
      </c>
      <c r="C2" s="1185" t="s">
        <v>100</v>
      </c>
      <c r="D2" s="55" t="s">
        <v>599</v>
      </c>
      <c r="E2" s="55" t="s">
        <v>68</v>
      </c>
      <c r="F2" s="55" t="s">
        <v>83</v>
      </c>
      <c r="G2" s="1187" t="s">
        <v>599</v>
      </c>
      <c r="H2" s="55" t="s">
        <v>68</v>
      </c>
      <c r="I2" s="1185" t="s">
        <v>85</v>
      </c>
      <c r="J2" s="169" t="s">
        <v>623</v>
      </c>
      <c r="K2" s="1199" t="s">
        <v>623</v>
      </c>
      <c r="L2" s="169" t="s">
        <v>78</v>
      </c>
      <c r="M2" s="169" t="s">
        <v>79</v>
      </c>
      <c r="N2" s="169" t="s">
        <v>96</v>
      </c>
      <c r="O2" s="170" t="s">
        <v>599</v>
      </c>
      <c r="P2" s="170" t="s">
        <v>68</v>
      </c>
      <c r="Q2" s="170" t="s">
        <v>85</v>
      </c>
      <c r="R2" s="170" t="s">
        <v>85</v>
      </c>
      <c r="S2" s="1182" t="s">
        <v>78</v>
      </c>
      <c r="T2" s="169" t="s">
        <v>79</v>
      </c>
      <c r="U2" s="169" t="s">
        <v>96</v>
      </c>
      <c r="V2" s="170" t="s">
        <v>599</v>
      </c>
      <c r="W2" s="170" t="s">
        <v>68</v>
      </c>
      <c r="X2" s="170" t="s">
        <v>83</v>
      </c>
      <c r="Y2" s="1177" t="s">
        <v>85</v>
      </c>
      <c r="Z2" s="169" t="s">
        <v>79</v>
      </c>
      <c r="AA2" s="169" t="s">
        <v>96</v>
      </c>
      <c r="AB2" s="170" t="s">
        <v>599</v>
      </c>
      <c r="AC2" s="170" t="s">
        <v>68</v>
      </c>
      <c r="AD2" s="170" t="s">
        <v>85</v>
      </c>
      <c r="AE2" s="170" t="s">
        <v>85</v>
      </c>
      <c r="AF2" s="642">
        <f>date!$B6</f>
        <v>43466</v>
      </c>
      <c r="AG2" s="169" t="s">
        <v>78</v>
      </c>
      <c r="AH2" s="169" t="s">
        <v>79</v>
      </c>
      <c r="AI2" s="169" t="s">
        <v>96</v>
      </c>
      <c r="AJ2" s="170" t="s">
        <v>599</v>
      </c>
      <c r="AK2" s="170" t="s">
        <v>68</v>
      </c>
      <c r="AL2" s="170" t="s">
        <v>83</v>
      </c>
      <c r="AM2" s="170" t="s">
        <v>85</v>
      </c>
      <c r="AN2" s="1182" t="s">
        <v>78</v>
      </c>
      <c r="AO2" s="169" t="s">
        <v>79</v>
      </c>
      <c r="AP2" s="169" t="s">
        <v>96</v>
      </c>
      <c r="AQ2" s="170" t="s">
        <v>599</v>
      </c>
      <c r="AR2" s="170" t="s">
        <v>68</v>
      </c>
      <c r="AS2" s="170" t="s">
        <v>83</v>
      </c>
      <c r="AT2" s="1177" t="s">
        <v>85</v>
      </c>
      <c r="AU2" s="169" t="s">
        <v>78</v>
      </c>
      <c r="AV2" s="169" t="s">
        <v>79</v>
      </c>
      <c r="AW2" s="169" t="s">
        <v>96</v>
      </c>
      <c r="AX2" s="170" t="s">
        <v>599</v>
      </c>
      <c r="AY2" s="170" t="s">
        <v>68</v>
      </c>
      <c r="AZ2" s="170" t="s">
        <v>83</v>
      </c>
      <c r="BA2" s="170" t="s">
        <v>85</v>
      </c>
      <c r="BB2" s="1182" t="s">
        <v>96</v>
      </c>
      <c r="BC2" s="169" t="s">
        <v>599</v>
      </c>
      <c r="BD2" s="169" t="s">
        <v>68</v>
      </c>
      <c r="BE2" s="169" t="s">
        <v>83</v>
      </c>
      <c r="BF2" s="1177" t="s">
        <v>85</v>
      </c>
      <c r="BG2" s="169" t="s">
        <v>96</v>
      </c>
      <c r="BH2" s="169" t="s">
        <v>599</v>
      </c>
      <c r="BI2" s="169" t="s">
        <v>68</v>
      </c>
      <c r="BJ2" s="169" t="s">
        <v>83</v>
      </c>
      <c r="BK2" s="170" t="s">
        <v>85</v>
      </c>
      <c r="BL2" s="169" t="s">
        <v>599</v>
      </c>
      <c r="BM2" s="169" t="s">
        <v>68</v>
      </c>
      <c r="BN2" s="169" t="s">
        <v>83</v>
      </c>
    </row>
    <row r="3" spans="1:88" ht="19.5" customHeight="1" thickBot="1" x14ac:dyDescent="0.3">
      <c r="A3" s="1149">
        <f>IF(date!B6="","",date!B6)</f>
        <v>43466</v>
      </c>
      <c r="B3" s="475" t="s">
        <v>623</v>
      </c>
      <c r="C3" s="1186" t="s">
        <v>97</v>
      </c>
      <c r="D3" s="475" t="s">
        <v>506</v>
      </c>
      <c r="E3" s="475" t="s">
        <v>506</v>
      </c>
      <c r="F3" s="475" t="s">
        <v>506</v>
      </c>
      <c r="G3" s="1188" t="s">
        <v>86</v>
      </c>
      <c r="H3" s="475" t="s">
        <v>86</v>
      </c>
      <c r="I3" s="1186" t="s">
        <v>86</v>
      </c>
      <c r="J3" s="1150" t="s">
        <v>509</v>
      </c>
      <c r="K3" s="1200" t="s">
        <v>509</v>
      </c>
      <c r="L3" s="1150" t="s">
        <v>623</v>
      </c>
      <c r="M3" s="1150" t="s">
        <v>623</v>
      </c>
      <c r="N3" s="1150" t="s">
        <v>77</v>
      </c>
      <c r="O3" s="1151" t="s">
        <v>86</v>
      </c>
      <c r="P3" s="1151" t="s">
        <v>86</v>
      </c>
      <c r="Q3" s="1151" t="s">
        <v>86</v>
      </c>
      <c r="R3" s="1151" t="s">
        <v>101</v>
      </c>
      <c r="S3" s="1183" t="s">
        <v>623</v>
      </c>
      <c r="T3" s="1150" t="s">
        <v>623</v>
      </c>
      <c r="U3" s="1150" t="s">
        <v>77</v>
      </c>
      <c r="V3" s="1151" t="s">
        <v>506</v>
      </c>
      <c r="W3" s="1151" t="s">
        <v>506</v>
      </c>
      <c r="X3" s="1151" t="s">
        <v>506</v>
      </c>
      <c r="Y3" s="1178" t="s">
        <v>101</v>
      </c>
      <c r="Z3" s="1150" t="s">
        <v>623</v>
      </c>
      <c r="AA3" s="1150" t="s">
        <v>77</v>
      </c>
      <c r="AB3" s="1151" t="s">
        <v>506</v>
      </c>
      <c r="AC3" s="1151" t="s">
        <v>506</v>
      </c>
      <c r="AD3" s="1151" t="s">
        <v>506</v>
      </c>
      <c r="AE3" s="1151" t="s">
        <v>101</v>
      </c>
      <c r="AF3" s="1149">
        <f>date!$B6</f>
        <v>43466</v>
      </c>
      <c r="AG3" s="1150" t="s">
        <v>623</v>
      </c>
      <c r="AH3" s="1150" t="s">
        <v>623</v>
      </c>
      <c r="AI3" s="1150" t="s">
        <v>77</v>
      </c>
      <c r="AJ3" s="1151" t="s">
        <v>506</v>
      </c>
      <c r="AK3" s="1151" t="s">
        <v>506</v>
      </c>
      <c r="AL3" s="1151" t="s">
        <v>506</v>
      </c>
      <c r="AM3" s="1151" t="s">
        <v>101</v>
      </c>
      <c r="AN3" s="1183" t="s">
        <v>623</v>
      </c>
      <c r="AO3" s="1150" t="s">
        <v>623</v>
      </c>
      <c r="AP3" s="1150" t="s">
        <v>77</v>
      </c>
      <c r="AQ3" s="1151" t="s">
        <v>506</v>
      </c>
      <c r="AR3" s="1151" t="s">
        <v>506</v>
      </c>
      <c r="AS3" s="1151" t="s">
        <v>506</v>
      </c>
      <c r="AT3" s="1178" t="s">
        <v>101</v>
      </c>
      <c r="AU3" s="1150" t="s">
        <v>623</v>
      </c>
      <c r="AV3" s="1150" t="s">
        <v>623</v>
      </c>
      <c r="AW3" s="1150" t="s">
        <v>77</v>
      </c>
      <c r="AX3" s="1151" t="s">
        <v>506</v>
      </c>
      <c r="AY3" s="1151" t="s">
        <v>506</v>
      </c>
      <c r="AZ3" s="1151" t="s">
        <v>506</v>
      </c>
      <c r="BA3" s="1151" t="s">
        <v>101</v>
      </c>
      <c r="BB3" s="1183" t="s">
        <v>77</v>
      </c>
      <c r="BC3" s="1150" t="s">
        <v>506</v>
      </c>
      <c r="BD3" s="1150" t="s">
        <v>506</v>
      </c>
      <c r="BE3" s="1150" t="s">
        <v>506</v>
      </c>
      <c r="BF3" s="1178" t="s">
        <v>101</v>
      </c>
      <c r="BG3" s="1150" t="s">
        <v>77</v>
      </c>
      <c r="BH3" s="1150" t="s">
        <v>506</v>
      </c>
      <c r="BI3" s="1150" t="s">
        <v>506</v>
      </c>
      <c r="BJ3" s="1150" t="s">
        <v>506</v>
      </c>
      <c r="BK3" s="1151" t="s">
        <v>101</v>
      </c>
      <c r="BL3" s="1150" t="s">
        <v>506</v>
      </c>
      <c r="BM3" s="1150" t="s">
        <v>506</v>
      </c>
      <c r="BN3" s="1150" t="s">
        <v>506</v>
      </c>
    </row>
    <row r="4" spans="1:88" s="12" customFormat="1" ht="18.95" customHeight="1" x14ac:dyDescent="0.3">
      <c r="A4" s="1174">
        <v>1</v>
      </c>
      <c r="B4" s="1171">
        <f>IF(OR(J4="",F4="",K4="",I4=""),"",((J4*F4)+(K4*I4))/(J4+K4))</f>
        <v>79.851711197415014</v>
      </c>
      <c r="C4" s="1179">
        <f t="shared" ref="C4:C5" si="0">IF(OR(B4="",BN4=""),"",((B4/100-BN4/100)/(B4/100-(B4/100*BN4/100)))*100)</f>
        <v>70.459943568333443</v>
      </c>
      <c r="D4" s="1192">
        <f>IF([2]PRI_SLG!B4="","",[2]PRI_SLG!B4)</f>
        <v>4.1900000000000004</v>
      </c>
      <c r="E4" s="1160">
        <f>IF([2]PRI_SLG!C4="","",[2]PRI_SLG!C4)</f>
        <v>3.49</v>
      </c>
      <c r="F4" s="1164">
        <f t="shared" ref="F4:F5" si="1">IF(OR(D4="",E4=""),"",(E4/D4)*100)</f>
        <v>83.293556085918851</v>
      </c>
      <c r="G4" s="1189">
        <f>IF([2]TWAS!B4="","",[2]TWAS!B4)</f>
        <v>4.07</v>
      </c>
      <c r="H4" s="1160">
        <f>IF([2]TWAS!C4="","",[2]TWAS!C4)</f>
        <v>3.08</v>
      </c>
      <c r="I4" s="1179">
        <f>IF(OR(G4="",H4=""),"",(H4/G4)*100)</f>
        <v>75.675675675675663</v>
      </c>
      <c r="J4" s="1195">
        <f>IF([1]Digesters!Z4="","",[1]Digesters!Z4)</f>
        <v>276764</v>
      </c>
      <c r="K4" s="1201">
        <f>IF([1]Digesters!AB4="","",[1]Digesters!AB4)</f>
        <v>228106</v>
      </c>
      <c r="L4" s="1204">
        <f>IF([1]Digesters!C4="","",[1]Digesters!C4)</f>
        <v>572</v>
      </c>
      <c r="M4" s="1159">
        <f>IF([1]Digesters!B4="","",[1]Digesters!B4)</f>
        <v>181</v>
      </c>
      <c r="N4" s="1159">
        <f>IF(OR(L4="",F4="",M4="",I4=""),"",IF((((L4*F4/100)+(M4*I4/100))/(L4+M4))*100&lt;0,"",((L4*F4/100)+(M4*I4/100))/(L4+M4))*100)</f>
        <v>81.462432109485889</v>
      </c>
      <c r="O4" s="1160">
        <f>IF([2]DIG!AG4="","",[2]DIG!AG4)</f>
        <v>2.1</v>
      </c>
      <c r="P4" s="1160">
        <f>IF([2]DIG!AH4="","",[2]DIG!AH4)</f>
        <v>1.1200000000000001</v>
      </c>
      <c r="Q4" s="1159">
        <f>IF(OR(O4="",P4=""),"",(P4/O4)*100)</f>
        <v>53.333333333333336</v>
      </c>
      <c r="R4" s="1164">
        <f>IF(OR(N4="",Q4=""),"",((N4/100-Q4/100)/(N4/100-(N4/100*Q4/100)))*100)</f>
        <v>73.993175349344526</v>
      </c>
      <c r="S4" s="1171">
        <f>IF([1]Digesters!E4="","",[1]Digesters!E4)</f>
        <v>567</v>
      </c>
      <c r="T4" s="1159">
        <f>IF([1]Digesters!D4="","",[1]Digesters!D4)</f>
        <v>182</v>
      </c>
      <c r="U4" s="1159">
        <f t="shared" ref="U4" si="2">IF(OR(S4="",F4="",T4="",I4=""),"",IF((((S4*F4/100)+(T4*I4/100))/(S4+T4))*100&lt;0,"",(((S4*F4/100)+(T4*I4/100))/(S4+T4)))*100)</f>
        <v>81.442482341373761</v>
      </c>
      <c r="V4" s="1161">
        <f>IF([2]DIG!AJ4="","",[2]DIG!AJ4)</f>
        <v>2.15</v>
      </c>
      <c r="W4" s="1161">
        <f>IF([2]DIG!AK4="","",[2]DIG!AK4)</f>
        <v>1.1100000000000001</v>
      </c>
      <c r="X4" s="1159">
        <f t="shared" ref="X4" si="3">IF(OR(W4="",V4=""),"",(W4/V4)*100)</f>
        <v>51.6279069767442</v>
      </c>
      <c r="Y4" s="1179">
        <f t="shared" ref="Y4" si="4">IF(OR(U4="",X4=""),"",((U4/100-X4/100)/(U4/100-(U4/100*X4/100)))*100)</f>
        <v>75.680282847756914</v>
      </c>
      <c r="Z4" s="1204">
        <f>IF([1]Digesters!F4="","",[1]Digesters!F4)</f>
        <v>1169</v>
      </c>
      <c r="AA4" s="1159">
        <f>IF(I4="","",I4)</f>
        <v>75.675675675675663</v>
      </c>
      <c r="AB4" s="1160">
        <f>IF([2]DIG!AM4="","",[2]DIG!AM4)</f>
        <v>2.5099999999999998</v>
      </c>
      <c r="AC4" s="1160">
        <f>IF([2]DIG!AN4="","",[2]DIG!AN4)</f>
        <v>1.55</v>
      </c>
      <c r="AD4" s="1159">
        <f>IF(OR(AC4="",AB4=""),"",(AC4/AB4)*100)</f>
        <v>61.752988047808778</v>
      </c>
      <c r="AE4" s="1164">
        <f>IF(OR(AA4="",AD4=""),"",((AA4/100-AD4/100)/(AA4/100-(AA4/100*AD4/100)))*100)</f>
        <v>48.102678571428498</v>
      </c>
      <c r="AF4" s="1174">
        <v>1</v>
      </c>
      <c r="AG4" s="1204">
        <f>IF([1]Digesters!I4="","",[1]Digesters!I4)</f>
        <v>585</v>
      </c>
      <c r="AH4" s="1159">
        <f>IF([1]Digesters!H4="","",[1]Digesters!H4)</f>
        <v>188</v>
      </c>
      <c r="AI4" s="1162">
        <f t="shared" ref="AI4:AI5" si="5">IF(OR(AG4="",F4="",AH4="",I4=""),"",IF((((AG4*F4/100)+(AH4*I4/100))/(AG4+AH4))*100&lt;0,"",(((AG4*F4/100)+(AH4*I4/100))/(AG4+AH4))*100))</f>
        <v>81.440824498434111</v>
      </c>
      <c r="AJ4" s="1163">
        <f>IF([2]DIG!AP4="","",[2]DIG!AP4)</f>
        <v>2.16</v>
      </c>
      <c r="AK4" s="1163">
        <f>IF([2]DIG!AQ4="","",[2]DIG!AQ4)</f>
        <v>1.1599999999999999</v>
      </c>
      <c r="AL4" s="1162">
        <f>IF(OR(AK4="",AJ4=""),"",(AK4/AJ4)*100)</f>
        <v>53.703703703703695</v>
      </c>
      <c r="AM4" s="1209">
        <f>IF(OR(AI4="",AL4=""),"",((AI4/100-AL4/100)/(AI4/100-(AI4/100*AL4/100)))*100)</f>
        <v>73.565292696379345</v>
      </c>
      <c r="AN4" s="1208">
        <f>IF([1]Digesters!K4="","",[1]Digesters!K4)</f>
        <v>504</v>
      </c>
      <c r="AO4" s="1162">
        <f>IF([1]Digesters!J4="","",[1]Digesters!J4)</f>
        <v>188</v>
      </c>
      <c r="AP4" s="1162">
        <f>IF(OR(AN4="",$F4="",AO4="",$I4=""),"",IF((((AN4*$F4/100)+(AO4*$I4/100))/(AN4+AO4))*100&lt;0,"",(((AN4*$F4/100)+(AO4*$I4/100))/(AN4+AO4))*100))</f>
        <v>81.223958517818104</v>
      </c>
      <c r="AQ4" s="1163">
        <f>IF([2]DIG!AS4="","",[2]DIG!AS4)</f>
        <v>2.08</v>
      </c>
      <c r="AR4" s="1163">
        <f>IF([2]DIG!AT4="","",[2]DIG!AT4)</f>
        <v>1.1299999999999999</v>
      </c>
      <c r="AS4" s="1162">
        <f>IF(OR(AR4="",AQ4=""),"",(AR4/AQ4)*100)</f>
        <v>54.326923076923073</v>
      </c>
      <c r="AT4" s="1210">
        <f>IF(OR(AP4="",AS4=""),"",((AP4/100-AS4/100)/(AP4/100-(AP4/100*AS4/100)))*100)</f>
        <v>72.503670537306746</v>
      </c>
      <c r="AU4" s="1212">
        <f>IF([1]Digesters!M4="","",[1]Digesters!M4)</f>
        <v>564</v>
      </c>
      <c r="AV4" s="1162">
        <f>IF([1]Digesters!L4="","",[1]Digesters!L4)</f>
        <v>185</v>
      </c>
      <c r="AW4" s="1162">
        <f>IF(OR(AU4="",$F4="",AV4="",$I4=""),"",IF((((AU4*$F4/100)+(AV4*$I4/100))/(AU4+AV4))*100&lt;0,"",(((AU4*$F4/100)+(AV4*$I4/100))/(AU4+AV4))*100))</f>
        <v>81.411970136793371</v>
      </c>
      <c r="AX4" s="1163">
        <f>IF([2]DIG!AV4="","",[2]DIG!AV4)</f>
        <v>2.06</v>
      </c>
      <c r="AY4" s="1163">
        <f>IF([2]DIG!AW4="","",[2]DIG!AW4)</f>
        <v>1.1299999999999999</v>
      </c>
      <c r="AZ4" s="1162">
        <f>IF(OR(AY4="",AX4=""),"",(AY4/AX4)*100)</f>
        <v>54.854368932038831</v>
      </c>
      <c r="BA4" s="1209">
        <f>IF(OR(AW4="",AZ4=""),"",((AW4/100-AZ4/100)/(AW4/100-(AW4/100*AZ4/100)))*100)</f>
        <v>72.257819578262456</v>
      </c>
      <c r="BB4" s="1171">
        <f>IF(OR(AL4="",X4="",Q4=""),"",AVERAGE(AL4,X4,Q4))</f>
        <v>52.88831467126041</v>
      </c>
      <c r="BC4" s="1161">
        <f>IF([2]DIG!AA4="","",[2]DIG!AA4)</f>
        <v>2.12</v>
      </c>
      <c r="BD4" s="1161">
        <f>IF([2]DIG!AB4="","",[2]DIG!AB4)</f>
        <v>1.02</v>
      </c>
      <c r="BE4" s="1159">
        <f>IF(OR(BD4="",BC4=""),"",(BD4/BC4)*100)</f>
        <v>48.113207547169814</v>
      </c>
      <c r="BF4" s="1213">
        <f>IF(OR(BB4="",BE4=""),"",((BB4/100-BE4/100)/(BB4/100-(BB4/100*BE4/100)))*100)</f>
        <v>17.400693872112356</v>
      </c>
      <c r="BG4" s="1204">
        <f t="shared" ref="BG4:BG5" si="6">IF(OR(AL4="",X4="",Q4=""),"",AVERAGE(AL4,X4,Q4))</f>
        <v>52.88831467126041</v>
      </c>
      <c r="BH4" s="1161">
        <f>IF([2]DIG!AD4="","",[2]DIG!AD4)</f>
        <v>1.78</v>
      </c>
      <c r="BI4" s="1161">
        <f>IF([2]DIG!AE4="","",([2]DIG!AE4))</f>
        <v>0.97</v>
      </c>
      <c r="BJ4" s="1159">
        <f>IF(OR(BI4="",BH4=""),"",(BI4/BH4)*100)</f>
        <v>54.49438202247191</v>
      </c>
      <c r="BK4" s="1216">
        <f>IF(OR(BG4="",BJ4=""),"",((BG4/100-BJ4/100)/(BG4/100-(BG4/100*BJ4/100)))*100)</f>
        <v>-6.6732747984218301</v>
      </c>
      <c r="BL4" s="1222">
        <f>IF([2]BP_GB!B4="","",[2]BP_GB!B4)</f>
        <v>1.78</v>
      </c>
      <c r="BM4" s="1161">
        <f>IF([2]BP_GB!C4="","",[2]BP_GB!C4)</f>
        <v>0.96</v>
      </c>
      <c r="BN4" s="1164">
        <f>IF(OR(BM4="",BL4=""),"",(BM4/BL4)*100)</f>
        <v>53.932584269662918</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5">
        <v>2</v>
      </c>
      <c r="B5" s="1172">
        <f>IF(OR(J5="",F5="",K5="",I5=""),"",((J5*F5)+(K5*I5))/(J5+K5))</f>
        <v>80.394811344439987</v>
      </c>
      <c r="C5" s="1180" t="str">
        <f t="shared" si="0"/>
        <v/>
      </c>
      <c r="D5" s="1193">
        <f>IF([2]PRI_SLG!B5="","",[2]PRI_SLG!B5)</f>
        <v>3.94</v>
      </c>
      <c r="E5" s="1154">
        <f>IF([2]PRI_SLG!C5="","",[2]PRI_SLG!C5)</f>
        <v>3.39</v>
      </c>
      <c r="F5" s="1165">
        <f t="shared" si="1"/>
        <v>86.040609137055839</v>
      </c>
      <c r="G5" s="1190">
        <f>IF([2]TWAS!B5="","",[2]TWAS!B5)</f>
        <v>4.3600000000000003</v>
      </c>
      <c r="H5" s="1154">
        <f>IF([2]TWAS!C5="","",[2]TWAS!C5)</f>
        <v>3.21</v>
      </c>
      <c r="I5" s="1180">
        <f>IF(OR(G5="",H5=""),"",(H5/G5)*100)</f>
        <v>73.623853211009177</v>
      </c>
      <c r="J5" s="1196">
        <f>IF([1]Digesters!Z5="","",[1]Digesters!Z5)</f>
        <v>249220</v>
      </c>
      <c r="K5" s="1202">
        <f>IF([1]Digesters!AB5="","",[1]Digesters!AB5)</f>
        <v>207806</v>
      </c>
      <c r="L5" s="1205">
        <f>IF([1]Digesters!C5="","",[1]Digesters!C5)</f>
        <v>470</v>
      </c>
      <c r="M5" s="1153">
        <f>IF([1]Digesters!B5="","",[1]Digesters!B5)</f>
        <v>158</v>
      </c>
      <c r="N5" s="1153">
        <f>IF(OR(L5="",F5="",M5="",I5=""),"",IF((((L5*F5/100)+(M5*I5/100))/(L5+M5))*100&lt;0,"",((L5*F5/100)+(M5*I5/100))/(L5+M5))*100)</f>
        <v>82.916648251203341</v>
      </c>
      <c r="O5" s="1154" t="str">
        <f>IF([2]DIG!AG5="","",[2]DIG!AG5)</f>
        <v/>
      </c>
      <c r="P5" s="1154" t="str">
        <f>IF([2]DIG!AH5="","",[2]DIG!AH5)</f>
        <v/>
      </c>
      <c r="Q5" s="1153" t="str">
        <f>IF(OR(O5="",P5=""),"",(P5/O5)*100)</f>
        <v/>
      </c>
      <c r="R5" s="1165" t="str">
        <f>IF(OR(N5="",Q5=""),"",((N5/100-Q5/100)/(N5/100-(N5/100*Q5/100)))*100)</f>
        <v/>
      </c>
      <c r="S5" s="1172">
        <f>IF([1]Digesters!E5="","",[1]Digesters!E5)</f>
        <v>514</v>
      </c>
      <c r="T5" s="1153">
        <f>IF([1]Digesters!D5="","",[1]Digesters!D5)</f>
        <v>160</v>
      </c>
      <c r="U5" s="1153">
        <f t="shared" ref="U5:U23" si="7">IF(OR(S5="",F5="",T5="",I5=""),"",IF((((S5*F5/100)+(T5*I5/100))/(S5+T5))*100&lt;0,"",(((S5*F5/100)+(T5*I5/100))/(S5+T5)))*100)</f>
        <v>83.093011291110059</v>
      </c>
      <c r="V5" s="1156" t="str">
        <f>IF([2]DIG!AJ5="","",[2]DIG!AJ5)</f>
        <v/>
      </c>
      <c r="W5" s="1156" t="str">
        <f>IF([2]DIG!AK5="","",[2]DIG!AK5)</f>
        <v/>
      </c>
      <c r="X5" s="1153" t="str">
        <f t="shared" ref="X5:X23" si="8">IF(OR(W5="",V5=""),"",(W5/V5)*100)</f>
        <v/>
      </c>
      <c r="Y5" s="1180" t="str">
        <f t="shared" ref="Y5:Y23" si="9">IF(OR(U5="",X5=""),"",((U5/100-X5/100)/(U5/100-(U5/100*X5/100)))*100)</f>
        <v/>
      </c>
      <c r="Z5" s="1205">
        <f>IF([1]Digesters!F5="","",[1]Digesters!F5)</f>
        <v>1079</v>
      </c>
      <c r="AA5" s="1153">
        <f>IF(I5="","",I5)</f>
        <v>73.623853211009177</v>
      </c>
      <c r="AB5" s="1154" t="str">
        <f>IF([2]DIG!AM5="","",[2]DIG!AM5)</f>
        <v/>
      </c>
      <c r="AC5" s="1154" t="str">
        <f>IF([2]DIG!AN5="","",[2]DIG!AN5)</f>
        <v/>
      </c>
      <c r="AD5" s="1153" t="str">
        <f>IF(OR(AC5="",AB5=""),"",(AC5/AB5)*100)</f>
        <v/>
      </c>
      <c r="AE5" s="1165" t="str">
        <f>IF(OR(AA5="",AD5=""),"",((AA5/100-AD5/100)/(AA5/100-(AA5/100*AD5/100)))*100)</f>
        <v/>
      </c>
      <c r="AF5" s="1175">
        <v>2</v>
      </c>
      <c r="AG5" s="1205">
        <f>IF([1]Digesters!I5="","",[1]Digesters!I5)</f>
        <v>528</v>
      </c>
      <c r="AH5" s="1153">
        <f>IF([1]Digesters!H5="","",[1]Digesters!H5)</f>
        <v>175</v>
      </c>
      <c r="AI5" s="1153">
        <f t="shared" si="5"/>
        <v>82.949667050202123</v>
      </c>
      <c r="AJ5" s="1156" t="str">
        <f>IF([2]DIG!AP5="","",[2]DIG!AP5)</f>
        <v/>
      </c>
      <c r="AK5" s="1156" t="str">
        <f>IF([2]DIG!AQ5="","",[2]DIG!AQ5)</f>
        <v/>
      </c>
      <c r="AL5" s="1153" t="str">
        <f>IF(OR(AK5="",AJ5=""),"",(AK5/AJ5)*100)</f>
        <v/>
      </c>
      <c r="AM5" s="1165" t="str">
        <f>IF(OR(AI5="",AL5=""),"",((AI5/100-AL5/100)/(AI5/100-(AI5/100*AL5/100)))*100)</f>
        <v/>
      </c>
      <c r="AN5" s="1172">
        <f>IF([1]Digesters!K5="","",[1]Digesters!K5)</f>
        <v>521</v>
      </c>
      <c r="AO5" s="1153">
        <f>IF([1]Digesters!J5="","",[1]Digesters!J5)</f>
        <v>175</v>
      </c>
      <c r="AP5" s="1153">
        <f t="shared" ref="AP5" si="10">IF(OR(AN5="",$F5="",AO5="",$I5=""),"",IF((((AN5*$F5/100)+(AO5*$I5/100))/(AN5+AO5))*100&lt;0,"",(((AN5*$F5/100)+(AO5*$I5/100))/(AN5+AO5))*100))</f>
        <v>82.918579988983765</v>
      </c>
      <c r="AQ5" s="1156" t="str">
        <f>IF([2]DIG!AS5="","",[2]DIG!AS5)</f>
        <v/>
      </c>
      <c r="AR5" s="1156" t="str">
        <f>IF([2]DIG!AT5="","",[2]DIG!AT5)</f>
        <v/>
      </c>
      <c r="AS5" s="1153" t="str">
        <f t="shared" ref="AS5" si="11">IF(OR(AR5="",AQ5=""),"",(AR5/AQ5)*100)</f>
        <v/>
      </c>
      <c r="AT5" s="1180" t="str">
        <f t="shared" ref="AT5" si="12">IF(OR(AP5="",AS5=""),"",((AP5/100-AS5/100)/(AP5/100-(AP5/100*AS5/100)))*100)</f>
        <v/>
      </c>
      <c r="AU5" s="1205">
        <f>IF([1]Digesters!M5="","",[1]Digesters!M5)</f>
        <v>494</v>
      </c>
      <c r="AV5" s="1153">
        <f>IF([1]Digesters!L5="","",[1]Digesters!L5)</f>
        <v>166</v>
      </c>
      <c r="AW5" s="1153">
        <f t="shared" ref="AW5" si="13">IF(OR(AU5="",$F5="",AV5="",$I5=""),"",IF((((AU5*$F5/100)+(AV5*$I5/100))/(AU5+AV5))*100&lt;0,"",(((AU5*$F5/100)+(AV5*$I5/100))/(AU5+AV5))*100))</f>
        <v>82.917606888989567</v>
      </c>
      <c r="AX5" s="1156" t="str">
        <f>IF([2]DIG!AV5="","",[2]DIG!AV5)</f>
        <v/>
      </c>
      <c r="AY5" s="1156" t="str">
        <f>IF([2]DIG!AW5="","",[2]DIG!AW5)</f>
        <v/>
      </c>
      <c r="AZ5" s="1153" t="str">
        <f t="shared" ref="AZ5" si="14">IF(OR(AY5="",AX5=""),"",(AY5/AX5)*100)</f>
        <v/>
      </c>
      <c r="BA5" s="1165" t="str">
        <f t="shared" ref="BA5" si="15">IF(OR(AW5="",AZ5=""),"",((AW5/100-AZ5/100)/(AW5/100-(AW5/100*AZ5/100)))*100)</f>
        <v/>
      </c>
      <c r="BB5" s="1172" t="str">
        <f>IF(OR(AL5="",X5="",Q5=""),"",AVERAGE(AL5,X5,Q5))</f>
        <v/>
      </c>
      <c r="BC5" s="1156" t="str">
        <f>IF([2]DIG!AA5="","",[2]DIG!AA5)</f>
        <v/>
      </c>
      <c r="BD5" s="1156" t="str">
        <f>IF([2]DIG!AB5="","",[2]DIG!AB5)</f>
        <v/>
      </c>
      <c r="BE5" s="1153" t="str">
        <f>IF(OR(BD5="",BC5=""),"",(BD5/BC5)*100)</f>
        <v/>
      </c>
      <c r="BF5" s="1214" t="str">
        <f>IF(OR(BB5="",BE5=""),"",((BB5/100-BE5/100)/(BB5/100-(BB5/100*BE5/100)))*100)</f>
        <v/>
      </c>
      <c r="BG5" s="1205" t="str">
        <f t="shared" si="6"/>
        <v/>
      </c>
      <c r="BH5" s="1156" t="str">
        <f>IF([2]DIG!AD5="","",[2]DIG!AD5)</f>
        <v/>
      </c>
      <c r="BI5" s="1156" t="str">
        <f>IF([2]DIG!AE5="","",([2]DIG!AE5))</f>
        <v/>
      </c>
      <c r="BJ5" s="1153" t="str">
        <f>IF(OR(BI5="",BH5=""),"",(BI5/BH5)*100)</f>
        <v/>
      </c>
      <c r="BK5" s="1217" t="str">
        <f>IF(OR(BG5="",BJ5=""),"",((BG5/100-BJ5/100)/(BG5/100-(BG5/100*BJ5/100)))*100)</f>
        <v/>
      </c>
      <c r="BL5" s="1223" t="str">
        <f>IF([2]BP_GB!B5="","",[2]BP_GB!B5)</f>
        <v/>
      </c>
      <c r="BM5" s="1156" t="str">
        <f>IF([2]BP_GB!C5="","",[2]BP_GB!C5)</f>
        <v/>
      </c>
      <c r="BN5" s="1165" t="str">
        <f>IF(OR(BM5="",BL5=""),"",(BM5/BL5)*100)</f>
        <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5">
        <v>3</v>
      </c>
      <c r="B6" s="1172">
        <f t="shared" ref="B6:B33" si="16">IF(OR(J6="",F6="",K6="",I6=""),"",((J6*F6)+(K6*I6))/(J6+K6))</f>
        <v>79.914506616756256</v>
      </c>
      <c r="C6" s="1180" t="str">
        <f t="shared" ref="C6:C33" si="17">IF(OR(B6="",BN6=""),"",((B6/100-BN6/100)/(B6/100-(B6/100*BN6/100)))*100)</f>
        <v/>
      </c>
      <c r="D6" s="1193">
        <f>IF([2]PRI_SLG!B6="","",[2]PRI_SLG!B6)</f>
        <v>4.3</v>
      </c>
      <c r="E6" s="1154">
        <f>IF([2]PRI_SLG!C6="","",[2]PRI_SLG!C6)</f>
        <v>3.61</v>
      </c>
      <c r="F6" s="1165">
        <f t="shared" ref="F6:F33" si="18">IF(OR(D6="",E6=""),"",(E6/D6)*100)</f>
        <v>83.95348837209302</v>
      </c>
      <c r="G6" s="1190">
        <f>IF([2]TWAS!B6="","",[2]TWAS!B6)</f>
        <v>4.7300000000000004</v>
      </c>
      <c r="H6" s="1154">
        <f>IF([2]TWAS!C6="","",[2]TWAS!C6)</f>
        <v>3.54</v>
      </c>
      <c r="I6" s="1180">
        <f t="shared" ref="I6:I33" si="19">IF(OR(G6="",H6=""),"",(H6/G6)*100)</f>
        <v>74.841437632135296</v>
      </c>
      <c r="J6" s="1196">
        <f>IF([1]Digesters!Z6="","",[1]Digesters!Z6)</f>
        <v>291878</v>
      </c>
      <c r="K6" s="1202">
        <f>IF([1]Digesters!AB6="","",[1]Digesters!AB6)</f>
        <v>232382</v>
      </c>
      <c r="L6" s="1205">
        <f>IF([1]Digesters!C6="","",[1]Digesters!C6)</f>
        <v>562</v>
      </c>
      <c r="M6" s="1153">
        <f>IF([1]Digesters!B6="","",[1]Digesters!B6)</f>
        <v>196</v>
      </c>
      <c r="N6" s="1153">
        <f t="shared" ref="N6:N33" si="20">IF(OR(L6="",F6="",M6="",I6=""),"",IF((((L6*F6/100)+(M6*I6/100))/(L6+M6))*100&lt;0,"",((L6*F6/100)+(M6*I6/100))/(L6+M6))*100)</f>
        <v>81.597338048832185</v>
      </c>
      <c r="O6" s="1154" t="str">
        <f>IF([2]DIG!AG6="","",[2]DIG!AG6)</f>
        <v/>
      </c>
      <c r="P6" s="1154" t="str">
        <f>IF([2]DIG!AH6="","",[2]DIG!AH6)</f>
        <v/>
      </c>
      <c r="Q6" s="1153" t="str">
        <f t="shared" ref="Q6:Q33" si="21">IF(OR(O6="",P6=""),"",(P6/O6)*100)</f>
        <v/>
      </c>
      <c r="R6" s="1165" t="str">
        <f t="shared" ref="R6:R33" si="22">IF(OR(N6="",Q6=""),"",((N6/100-Q6/100)/(N6/100-(N6/100*Q6/100)))*100)</f>
        <v/>
      </c>
      <c r="S6" s="1172">
        <f>IF([1]Digesters!E6="","",[1]Digesters!E6)</f>
        <v>584</v>
      </c>
      <c r="T6" s="1153">
        <f>IF([1]Digesters!D6="","",[1]Digesters!D6)</f>
        <v>196</v>
      </c>
      <c r="U6" s="1153">
        <f t="shared" si="7"/>
        <v>81.663793570770309</v>
      </c>
      <c r="V6" s="1156" t="str">
        <f>IF([2]DIG!AJ6="","",[2]DIG!AJ6)</f>
        <v/>
      </c>
      <c r="W6" s="1156" t="str">
        <f>IF([2]DIG!AK6="","",[2]DIG!AK6)</f>
        <v/>
      </c>
      <c r="X6" s="1153" t="str">
        <f t="shared" si="8"/>
        <v/>
      </c>
      <c r="Y6" s="1180" t="str">
        <f t="shared" si="9"/>
        <v/>
      </c>
      <c r="Z6" s="1205">
        <f>IF([1]Digesters!F6="","",[1]Digesters!F6)</f>
        <v>1112</v>
      </c>
      <c r="AA6" s="1153">
        <f t="shared" ref="AA6:AA33" si="23">IF(I6="","",I6)</f>
        <v>74.841437632135296</v>
      </c>
      <c r="AB6" s="1154" t="str">
        <f>IF([2]DIG!AM6="","",[2]DIG!AM6)</f>
        <v/>
      </c>
      <c r="AC6" s="1154" t="str">
        <f>IF([2]DIG!AN6="","",[2]DIG!AN6)</f>
        <v/>
      </c>
      <c r="AD6" s="1153" t="str">
        <f t="shared" ref="AD6:AD33" si="24">IF(OR(AC6="",AB6=""),"",(AC6/AB6)*100)</f>
        <v/>
      </c>
      <c r="AE6" s="1165" t="str">
        <f t="shared" ref="AE6:AE33" si="25">IF(OR(AA6="",AD6=""),"",((AA6/100-AD6/100)/(AA6/100-(AA6/100*AD6/100)))*100)</f>
        <v/>
      </c>
      <c r="AF6" s="1175">
        <v>3</v>
      </c>
      <c r="AG6" s="1205">
        <f>IF([1]Digesters!I6="","",[1]Digesters!I6)</f>
        <v>571</v>
      </c>
      <c r="AH6" s="1153">
        <f>IF([1]Digesters!H6="","",[1]Digesters!H6)</f>
        <v>189</v>
      </c>
      <c r="AI6" s="1153">
        <f t="shared" ref="AI6:AI33" si="26">IF(OR(AG6="",F6="",AH6="",I6=""),"",IF((((AG6*F6/100)+(AH6*I6/100))/(AG6+AH6))*100&lt;0,"",(((AG6*F6/100)+(AH6*I6/100))/(AG6+AH6))*100))</f>
        <v>81.687465227550916</v>
      </c>
      <c r="AJ6" s="1156" t="str">
        <f>IF([2]DIG!AP6="","",[2]DIG!AP6)</f>
        <v/>
      </c>
      <c r="AK6" s="1156" t="str">
        <f>IF([2]DIG!AQ6="","",[2]DIG!AQ6)</f>
        <v/>
      </c>
      <c r="AL6" s="1153" t="str">
        <f t="shared" ref="AL6:AL33" si="27">IF(OR(AK6="",AJ6=""),"",(AK6/AJ6)*100)</f>
        <v/>
      </c>
      <c r="AM6" s="1165" t="str">
        <f t="shared" ref="AM6:AM33" si="28">IF(OR(AI6="",AL6=""),"",((AI6/100-AL6/100)/(AI6/100-(AI6/100*AL6/100)))*100)</f>
        <v/>
      </c>
      <c r="AN6" s="1172">
        <f>IF([1]Digesters!K6="","",[1]Digesters!K6)</f>
        <v>607</v>
      </c>
      <c r="AO6" s="1153">
        <f>IF([1]Digesters!J6="","",[1]Digesters!J6)</f>
        <v>188</v>
      </c>
      <c r="AP6" s="1153">
        <f t="shared" ref="AP6:AP33" si="29">IF(OR(AN6="",$F6="",AO6="",$I6=""),"",IF((((AN6*$F6/100)+(AO6*$I6/100))/(AN6+AO6))*100&lt;0,"",(((AN6*$F6/100)+(AO6*$I6/100))/(AN6+AO6))*100))</f>
        <v>81.798688951826293</v>
      </c>
      <c r="AQ6" s="1156" t="str">
        <f>IF([2]DIG!AS6="","",[2]DIG!AS6)</f>
        <v/>
      </c>
      <c r="AR6" s="1156" t="str">
        <f>IF([2]DIG!AT6="","",[2]DIG!AT6)</f>
        <v/>
      </c>
      <c r="AS6" s="1153" t="str">
        <f t="shared" ref="AS6:AS33" si="30">IF(OR(AR6="",AQ6=""),"",(AR6/AQ6)*100)</f>
        <v/>
      </c>
      <c r="AT6" s="1180" t="str">
        <f t="shared" ref="AT6:AT33" si="31">IF(OR(AP6="",AS6=""),"",((AP6/100-AS6/100)/(AP6/100-(AP6/100*AS6/100)))*100)</f>
        <v/>
      </c>
      <c r="AU6" s="1205">
        <f>IF([1]Digesters!M6="","",[1]Digesters!M6)</f>
        <v>595</v>
      </c>
      <c r="AV6" s="1153">
        <f>IF([1]Digesters!L6="","",[1]Digesters!L6)</f>
        <v>356</v>
      </c>
      <c r="AW6" s="1153">
        <f t="shared" ref="AW6:AW33" si="32">IF(OR(AU6="",$F6="",AV6="",$I6=""),"",IF((((AU6*$F6/100)+(AV6*$I6/100))/(AU6+AV6))*100&lt;0,"",(((AU6*$F6/100)+(AV6*$I6/100))/(AU6+AV6))*100))</f>
        <v>80.542457811183496</v>
      </c>
      <c r="AX6" s="1156" t="str">
        <f>IF([2]DIG!AV6="","",[2]DIG!AV6)</f>
        <v/>
      </c>
      <c r="AY6" s="1156" t="str">
        <f>IF([2]DIG!AW6="","",[2]DIG!AW6)</f>
        <v/>
      </c>
      <c r="AZ6" s="1153" t="str">
        <f t="shared" ref="AZ6:AZ33" si="33">IF(OR(AY6="",AX6=""),"",(AY6/AX6)*100)</f>
        <v/>
      </c>
      <c r="BA6" s="1165" t="str">
        <f t="shared" ref="BA6:BA33" si="34">IF(OR(AW6="",AZ6=""),"",((AW6/100-AZ6/100)/(AW6/100-(AW6/100*AZ6/100)))*100)</f>
        <v/>
      </c>
      <c r="BB6" s="1172" t="str">
        <f t="shared" ref="BB6:BB33" si="35">IF(OR(AL6="",X6="",Q6=""),"",AVERAGE(AL6,X6,Q6))</f>
        <v/>
      </c>
      <c r="BC6" s="1156" t="str">
        <f>IF([2]DIG!AA6="","",[2]DIG!AA6)</f>
        <v/>
      </c>
      <c r="BD6" s="1156" t="str">
        <f>IF([2]DIG!AB6="","",[2]DIG!AB6)</f>
        <v/>
      </c>
      <c r="BE6" s="1153" t="str">
        <f t="shared" ref="BE6:BE33" si="36">IF(OR(BD6="",BC6=""),"",(BD6/BC6)*100)</f>
        <v/>
      </c>
      <c r="BF6" s="1214" t="str">
        <f t="shared" ref="BF6:BF33" si="37">IF(OR(BB6="",BE6=""),"",((BB6/100-BE6/100)/(BB6/100-(BB6/100*BE6/100)))*100)</f>
        <v/>
      </c>
      <c r="BG6" s="1205" t="str">
        <f t="shared" ref="BG6:BG33" si="38">IF(OR(AL6="",X6="",Q6=""),"",AVERAGE(AL6,X6,Q6))</f>
        <v/>
      </c>
      <c r="BH6" s="1156" t="str">
        <f>IF([2]DIG!AD6="","",[2]DIG!AD6)</f>
        <v/>
      </c>
      <c r="BI6" s="1156" t="str">
        <f>IF([2]DIG!AE6="","",([2]DIG!AE6))</f>
        <v/>
      </c>
      <c r="BJ6" s="1153" t="str">
        <f t="shared" ref="BJ6:BJ33" si="39">IF(OR(BI6="",BH6=""),"",(BI6/BH6)*100)</f>
        <v/>
      </c>
      <c r="BK6" s="1217" t="str">
        <f t="shared" ref="BK6:BK33" si="40">IF(OR(BG6="",BJ6=""),"",((BG6/100-BJ6/100)/(BG6/100-(BG6/100*BJ6/100)))*100)</f>
        <v/>
      </c>
      <c r="BL6" s="1223" t="str">
        <f>IF([2]BP_GB!B6="","",[2]BP_GB!B6)</f>
        <v/>
      </c>
      <c r="BM6" s="1156" t="str">
        <f>IF([2]BP_GB!C6="","",[2]BP_GB!C6)</f>
        <v/>
      </c>
      <c r="BN6" s="1165" t="str">
        <f t="shared" ref="BN6:BN33"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5">
        <v>4</v>
      </c>
      <c r="B7" s="1172">
        <f t="shared" si="16"/>
        <v>79.801623580004517</v>
      </c>
      <c r="C7" s="1180" t="str">
        <f t="shared" si="17"/>
        <v/>
      </c>
      <c r="D7" s="1193">
        <f>IF([2]PRI_SLG!B7="","",[2]PRI_SLG!B7)</f>
        <v>4.6900000000000004</v>
      </c>
      <c r="E7" s="1154">
        <f>IF([2]PRI_SLG!C7="","",[2]PRI_SLG!C7)</f>
        <v>3.87</v>
      </c>
      <c r="F7" s="1165">
        <f t="shared" si="18"/>
        <v>82.515991471215344</v>
      </c>
      <c r="G7" s="1190">
        <f>IF([2]TWAS!B7="","",[2]TWAS!B7)</f>
        <v>4.0599999999999996</v>
      </c>
      <c r="H7" s="1154">
        <f>IF([2]TWAS!C7="","",[2]TWAS!C7)</f>
        <v>3.05</v>
      </c>
      <c r="I7" s="1180">
        <f t="shared" si="19"/>
        <v>75.123152709359601</v>
      </c>
      <c r="J7" s="1196">
        <f>IF([1]Digesters!Z7="","",[1]Digesters!Z7)</f>
        <v>427243</v>
      </c>
      <c r="K7" s="1202">
        <f>IF([1]Digesters!AB7="","",[1]Digesters!AB7)</f>
        <v>247879</v>
      </c>
      <c r="L7" s="1205">
        <f>IF([1]Digesters!C7="","",[1]Digesters!C7)</f>
        <v>843</v>
      </c>
      <c r="M7" s="1153">
        <f>IF([1]Digesters!B7="","",[1]Digesters!B7)</f>
        <v>194</v>
      </c>
      <c r="N7" s="1153">
        <f t="shared" si="20"/>
        <v>81.132953168611664</v>
      </c>
      <c r="O7" s="1154" t="str">
        <f>IF([2]DIG!AG7="","",[2]DIG!AG7)</f>
        <v/>
      </c>
      <c r="P7" s="1154" t="str">
        <f>IF([2]DIG!AH7="","",[2]DIG!AH7)</f>
        <v/>
      </c>
      <c r="Q7" s="1153" t="str">
        <f t="shared" si="21"/>
        <v/>
      </c>
      <c r="R7" s="1165" t="str">
        <f t="shared" si="22"/>
        <v/>
      </c>
      <c r="S7" s="1172">
        <f>IF([1]Digesters!E7="","",[1]Digesters!E7)</f>
        <v>873</v>
      </c>
      <c r="T7" s="1153">
        <f>IF([1]Digesters!D7="","",[1]Digesters!D7)</f>
        <v>196</v>
      </c>
      <c r="U7" s="1153">
        <f t="shared" si="7"/>
        <v>81.160522437236168</v>
      </c>
      <c r="V7" s="1156" t="str">
        <f>IF([2]DIG!AJ7="","",[2]DIG!AJ7)</f>
        <v/>
      </c>
      <c r="W7" s="1156" t="str">
        <f>IF([2]DIG!AK7="","",[2]DIG!AK7)</f>
        <v/>
      </c>
      <c r="X7" s="1153" t="str">
        <f t="shared" si="8"/>
        <v/>
      </c>
      <c r="Y7" s="1180" t="str">
        <f t="shared" si="9"/>
        <v/>
      </c>
      <c r="Z7" s="1205">
        <f>IF([1]Digesters!F7="","",[1]Digesters!F7)</f>
        <v>1227</v>
      </c>
      <c r="AA7" s="1153">
        <f t="shared" si="23"/>
        <v>75.123152709359601</v>
      </c>
      <c r="AB7" s="1154" t="str">
        <f>IF([2]DIG!AM7="","",[2]DIG!AM7)</f>
        <v/>
      </c>
      <c r="AC7" s="1154" t="str">
        <f>IF([2]DIG!AN7="","",[2]DIG!AN7)</f>
        <v/>
      </c>
      <c r="AD7" s="1153" t="str">
        <f t="shared" si="24"/>
        <v/>
      </c>
      <c r="AE7" s="1165" t="str">
        <f t="shared" si="25"/>
        <v/>
      </c>
      <c r="AF7" s="1175">
        <v>4</v>
      </c>
      <c r="AG7" s="1205">
        <f>IF([1]Digesters!I7="","",[1]Digesters!I7)</f>
        <v>888</v>
      </c>
      <c r="AH7" s="1153">
        <f>IF([1]Digesters!H7="","",[1]Digesters!H7)</f>
        <v>200</v>
      </c>
      <c r="AI7" s="1153">
        <f t="shared" si="26"/>
        <v>81.157013757638936</v>
      </c>
      <c r="AJ7" s="1156" t="str">
        <f>IF([2]DIG!AP7="","",[2]DIG!AP7)</f>
        <v/>
      </c>
      <c r="AK7" s="1156" t="str">
        <f>IF([2]DIG!AQ7="","",[2]DIG!AQ7)</f>
        <v/>
      </c>
      <c r="AL7" s="1153" t="str">
        <f t="shared" si="27"/>
        <v/>
      </c>
      <c r="AM7" s="1165" t="str">
        <f t="shared" si="28"/>
        <v/>
      </c>
      <c r="AN7" s="1172">
        <f>IF([1]Digesters!K7="","",[1]Digesters!K7)</f>
        <v>819</v>
      </c>
      <c r="AO7" s="1153">
        <f>IF([1]Digesters!J7="","",[1]Digesters!J7)</f>
        <v>196</v>
      </c>
      <c r="AP7" s="1153">
        <f t="shared" si="29"/>
        <v>81.08840881375356</v>
      </c>
      <c r="AQ7" s="1156" t="str">
        <f>IF([2]DIG!AS7="","",[2]DIG!AS7)</f>
        <v/>
      </c>
      <c r="AR7" s="1156" t="str">
        <f>IF([2]DIG!AT7="","",[2]DIG!AT7)</f>
        <v/>
      </c>
      <c r="AS7" s="1153" t="str">
        <f t="shared" si="30"/>
        <v/>
      </c>
      <c r="AT7" s="1180" t="str">
        <f t="shared" si="31"/>
        <v/>
      </c>
      <c r="AU7" s="1205">
        <f>IF([1]Digesters!M7="","",[1]Digesters!M7)</f>
        <v>849</v>
      </c>
      <c r="AV7" s="1153">
        <f>IF([1]Digesters!L7="","",[1]Digesters!L7)</f>
        <v>196</v>
      </c>
      <c r="AW7" s="1153">
        <f t="shared" si="32"/>
        <v>81.129392047939035</v>
      </c>
      <c r="AX7" s="1156" t="str">
        <f>IF([2]DIG!AV7="","",[2]DIG!AV7)</f>
        <v/>
      </c>
      <c r="AY7" s="1156" t="str">
        <f>IF([2]DIG!AW7="","",[2]DIG!AW7)</f>
        <v/>
      </c>
      <c r="AZ7" s="1153" t="str">
        <f t="shared" si="33"/>
        <v/>
      </c>
      <c r="BA7" s="1165" t="str">
        <f t="shared" si="34"/>
        <v/>
      </c>
      <c r="BB7" s="1172" t="str">
        <f t="shared" si="35"/>
        <v/>
      </c>
      <c r="BC7" s="1156" t="str">
        <f>IF([2]DIG!AA7="","",[2]DIG!AA7)</f>
        <v/>
      </c>
      <c r="BD7" s="1156" t="str">
        <f>IF([2]DIG!AB7="","",[2]DIG!AB7)</f>
        <v/>
      </c>
      <c r="BE7" s="1153" t="str">
        <f t="shared" si="36"/>
        <v/>
      </c>
      <c r="BF7" s="1214" t="str">
        <f t="shared" si="37"/>
        <v/>
      </c>
      <c r="BG7" s="1205" t="str">
        <f t="shared" si="38"/>
        <v/>
      </c>
      <c r="BH7" s="1156" t="str">
        <f>IF([2]DIG!AD7="","",[2]DIG!AD7)</f>
        <v/>
      </c>
      <c r="BI7" s="1156" t="str">
        <f>IF([2]DIG!AE7="","",([2]DIG!AE7))</f>
        <v/>
      </c>
      <c r="BJ7" s="1153" t="str">
        <f t="shared" si="39"/>
        <v/>
      </c>
      <c r="BK7" s="1217" t="str">
        <f t="shared" si="40"/>
        <v/>
      </c>
      <c r="BL7" s="1223" t="str">
        <f>IF([2]BP_GB!B7="","",[2]BP_GB!B7)</f>
        <v/>
      </c>
      <c r="BM7" s="1156" t="str">
        <f>IF([2]BP_GB!C7="","",[2]BP_GB!C7)</f>
        <v/>
      </c>
      <c r="BN7" s="1165" t="str">
        <f t="shared" si="41"/>
        <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5">
        <v>5</v>
      </c>
      <c r="B8" s="1172">
        <f t="shared" si="16"/>
        <v>79.311189868099675</v>
      </c>
      <c r="C8" s="1180" t="str">
        <f t="shared" si="17"/>
        <v/>
      </c>
      <c r="D8" s="1193">
        <f>IF([2]PRI_SLG!B8="","",[2]PRI_SLG!B8)</f>
        <v>3.71</v>
      </c>
      <c r="E8" s="1154">
        <f>IF([2]PRI_SLG!C8="","",[2]PRI_SLG!C8)</f>
        <v>3.06</v>
      </c>
      <c r="F8" s="1165">
        <f t="shared" si="18"/>
        <v>82.479784366576823</v>
      </c>
      <c r="G8" s="1190">
        <f>IF([2]TWAS!B8="","",[2]TWAS!B8)</f>
        <v>4.24</v>
      </c>
      <c r="H8" s="1154">
        <f>IF([2]TWAS!C8="","",[2]TWAS!C8)</f>
        <v>3.16</v>
      </c>
      <c r="I8" s="1180">
        <f t="shared" si="19"/>
        <v>74.528301886792448</v>
      </c>
      <c r="J8" s="1196">
        <f>IF([1]Digesters!Z8="","",[1]Digesters!Z8)</f>
        <v>344172</v>
      </c>
      <c r="K8" s="1202">
        <f>IF([1]Digesters!AB8="","",[1]Digesters!AB8)</f>
        <v>228009</v>
      </c>
      <c r="L8" s="1205">
        <f>IF([1]Digesters!C8="","",[1]Digesters!C8)</f>
        <v>680</v>
      </c>
      <c r="M8" s="1153">
        <f>IF([1]Digesters!B8="","",[1]Digesters!B8)</f>
        <v>184</v>
      </c>
      <c r="N8" s="1153">
        <f t="shared" si="20"/>
        <v>80.78641309773387</v>
      </c>
      <c r="O8" s="1154" t="str">
        <f>IF([2]DIG!AG8="","",[2]DIG!AG8)</f>
        <v/>
      </c>
      <c r="P8" s="1154" t="str">
        <f>IF([2]DIG!AH8="","",[2]DIG!AH8)</f>
        <v/>
      </c>
      <c r="Q8" s="1153" t="str">
        <f t="shared" si="21"/>
        <v/>
      </c>
      <c r="R8" s="1165" t="str">
        <f t="shared" si="22"/>
        <v/>
      </c>
      <c r="S8" s="1172">
        <f>IF([1]Digesters!E8="","",[1]Digesters!E8)</f>
        <v>706</v>
      </c>
      <c r="T8" s="1153">
        <f>IF([1]Digesters!D8="","",[1]Digesters!D8)</f>
        <v>185</v>
      </c>
      <c r="U8" s="1153">
        <f t="shared" si="7"/>
        <v>80.828803155847183</v>
      </c>
      <c r="V8" s="1156" t="str">
        <f>IF([2]DIG!AJ8="","",[2]DIG!AJ8)</f>
        <v/>
      </c>
      <c r="W8" s="1156" t="str">
        <f>IF([2]DIG!AK8="","",[2]DIG!AK8)</f>
        <v/>
      </c>
      <c r="X8" s="1153" t="str">
        <f t="shared" si="8"/>
        <v/>
      </c>
      <c r="Y8" s="1180" t="str">
        <f t="shared" si="9"/>
        <v/>
      </c>
      <c r="Z8" s="1205">
        <f>IF([1]Digesters!F8="","",[1]Digesters!F8)</f>
        <v>1136</v>
      </c>
      <c r="AA8" s="1153">
        <f t="shared" si="23"/>
        <v>74.528301886792448</v>
      </c>
      <c r="AB8" s="1154" t="str">
        <f>IF([2]DIG!AM8="","",[2]DIG!AM8)</f>
        <v/>
      </c>
      <c r="AC8" s="1154" t="str">
        <f>IF([2]DIG!AN8="","",[2]DIG!AN8)</f>
        <v/>
      </c>
      <c r="AD8" s="1153" t="str">
        <f t="shared" si="24"/>
        <v/>
      </c>
      <c r="AE8" s="1165" t="str">
        <f t="shared" si="25"/>
        <v/>
      </c>
      <c r="AF8" s="1175">
        <v>5</v>
      </c>
      <c r="AG8" s="1205">
        <f>IF([1]Digesters!I8="","",[1]Digesters!I8)</f>
        <v>711</v>
      </c>
      <c r="AH8" s="1153">
        <f>IF([1]Digesters!H8="","",[1]Digesters!H8)</f>
        <v>190</v>
      </c>
      <c r="AI8" s="1153">
        <f t="shared" si="26"/>
        <v>80.803001157743253</v>
      </c>
      <c r="AJ8" s="1156" t="str">
        <f>IF([2]DIG!AP8="","",[2]DIG!AP8)</f>
        <v/>
      </c>
      <c r="AK8" s="1156" t="str">
        <f>IF([2]DIG!AQ8="","",[2]DIG!AQ8)</f>
        <v/>
      </c>
      <c r="AL8" s="1153" t="str">
        <f t="shared" si="27"/>
        <v/>
      </c>
      <c r="AM8" s="1165" t="str">
        <f t="shared" si="28"/>
        <v/>
      </c>
      <c r="AN8" s="1172">
        <f>IF([1]Digesters!K8="","",[1]Digesters!K8)</f>
        <v>638</v>
      </c>
      <c r="AO8" s="1153">
        <f>IF([1]Digesters!J8="","",[1]Digesters!J8)</f>
        <v>171</v>
      </c>
      <c r="AP8" s="1153">
        <f t="shared" si="29"/>
        <v>80.79906310076332</v>
      </c>
      <c r="AQ8" s="1156" t="str">
        <f>IF([2]DIG!AS8="","",[2]DIG!AS8)</f>
        <v/>
      </c>
      <c r="AR8" s="1156" t="str">
        <f>IF([2]DIG!AT8="","",[2]DIG!AT8)</f>
        <v/>
      </c>
      <c r="AS8" s="1153" t="str">
        <f t="shared" si="30"/>
        <v/>
      </c>
      <c r="AT8" s="1180" t="str">
        <f t="shared" si="31"/>
        <v/>
      </c>
      <c r="AU8" s="1205">
        <f>IF([1]Digesters!M8="","",[1]Digesters!M8)</f>
        <v>703</v>
      </c>
      <c r="AV8" s="1153">
        <f>IF([1]Digesters!L8="","",[1]Digesters!L8)</f>
        <v>185</v>
      </c>
      <c r="AW8" s="1153">
        <f t="shared" si="32"/>
        <v>80.823225516621747</v>
      </c>
      <c r="AX8" s="1156" t="str">
        <f>IF([2]DIG!AV8="","",[2]DIG!AV8)</f>
        <v/>
      </c>
      <c r="AY8" s="1156" t="str">
        <f>IF([2]DIG!AW8="","",[2]DIG!AW8)</f>
        <v/>
      </c>
      <c r="AZ8" s="1153" t="str">
        <f t="shared" si="33"/>
        <v/>
      </c>
      <c r="BA8" s="1165" t="str">
        <f t="shared" si="34"/>
        <v/>
      </c>
      <c r="BB8" s="1172" t="str">
        <f t="shared" si="35"/>
        <v/>
      </c>
      <c r="BC8" s="1156" t="str">
        <f>IF([2]DIG!AA8="","",[2]DIG!AA8)</f>
        <v/>
      </c>
      <c r="BD8" s="1156" t="str">
        <f>IF([2]DIG!AB8="","",[2]DIG!AB8)</f>
        <v/>
      </c>
      <c r="BE8" s="1153" t="str">
        <f t="shared" si="36"/>
        <v/>
      </c>
      <c r="BF8" s="1214" t="str">
        <f t="shared" si="37"/>
        <v/>
      </c>
      <c r="BG8" s="1205" t="str">
        <f t="shared" si="38"/>
        <v/>
      </c>
      <c r="BH8" s="1156" t="str">
        <f>IF([2]DIG!AD8="","",[2]DIG!AD8)</f>
        <v/>
      </c>
      <c r="BI8" s="1156" t="str">
        <f>IF([2]DIG!AE8="","",([2]DIG!AE8))</f>
        <v/>
      </c>
      <c r="BJ8" s="1153" t="str">
        <f t="shared" si="39"/>
        <v/>
      </c>
      <c r="BK8" s="1217" t="str">
        <f t="shared" si="40"/>
        <v/>
      </c>
      <c r="BL8" s="1223" t="str">
        <f>IF([2]BP_GB!B8="","",[2]BP_GB!B8)</f>
        <v/>
      </c>
      <c r="BM8" s="1156" t="str">
        <f>IF([2]BP_GB!C8="","",[2]BP_GB!C8)</f>
        <v/>
      </c>
      <c r="BN8" s="1165" t="str">
        <f t="shared" si="41"/>
        <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5">
        <v>6</v>
      </c>
      <c r="B9" s="1172">
        <f t="shared" si="16"/>
        <v>77.699834745301487</v>
      </c>
      <c r="C9" s="1180" t="str">
        <f t="shared" si="17"/>
        <v/>
      </c>
      <c r="D9" s="1193">
        <f>IF([2]PRI_SLG!B9="","",[2]PRI_SLG!B9)</f>
        <v>4.4800000000000004</v>
      </c>
      <c r="E9" s="1154">
        <f>IF([2]PRI_SLG!C9="","",[2]PRI_SLG!C9)</f>
        <v>3.55</v>
      </c>
      <c r="F9" s="1165">
        <f t="shared" si="18"/>
        <v>79.241071428571416</v>
      </c>
      <c r="G9" s="1190">
        <f>IF([2]TWAS!B9="","",[2]TWAS!B9)</f>
        <v>4.0199999999999996</v>
      </c>
      <c r="H9" s="1154">
        <f>IF([2]TWAS!C9="","",[2]TWAS!C9)</f>
        <v>3</v>
      </c>
      <c r="I9" s="1180">
        <f t="shared" si="19"/>
        <v>74.626865671641795</v>
      </c>
      <c r="J9" s="1196">
        <f>IF([1]Digesters!Z9="","",[1]Digesters!Z9)</f>
        <v>382816</v>
      </c>
      <c r="K9" s="1202">
        <f>IF([1]Digesters!AB9="","",[1]Digesters!AB9)</f>
        <v>192000</v>
      </c>
      <c r="L9" s="1205">
        <f>IF([1]Digesters!C9="","",[1]Digesters!C9)</f>
        <v>745</v>
      </c>
      <c r="M9" s="1153">
        <f>IF([1]Digesters!B9="","",[1]Digesters!B9)</f>
        <v>160</v>
      </c>
      <c r="N9" s="1153">
        <f t="shared" si="20"/>
        <v>78.425300245025838</v>
      </c>
      <c r="O9" s="1154" t="str">
        <f>IF([2]DIG!AG9="","",[2]DIG!AG9)</f>
        <v/>
      </c>
      <c r="P9" s="1154" t="str">
        <f>IF([2]DIG!AH9="","",[2]DIG!AH9)</f>
        <v/>
      </c>
      <c r="Q9" s="1153" t="str">
        <f t="shared" si="21"/>
        <v/>
      </c>
      <c r="R9" s="1165" t="str">
        <f t="shared" si="22"/>
        <v/>
      </c>
      <c r="S9" s="1172">
        <f>IF([1]Digesters!E9="","",[1]Digesters!E9)</f>
        <v>769</v>
      </c>
      <c r="T9" s="1153">
        <f>IF([1]Digesters!D9="","",[1]Digesters!D9)</f>
        <v>161</v>
      </c>
      <c r="U9" s="1153">
        <f t="shared" si="7"/>
        <v>78.442268066350266</v>
      </c>
      <c r="V9" s="1156" t="str">
        <f>IF([2]DIG!AJ9="","",[2]DIG!AJ9)</f>
        <v/>
      </c>
      <c r="W9" s="1156" t="str">
        <f>IF([2]DIG!AK9="","",[2]DIG!AK9)</f>
        <v/>
      </c>
      <c r="X9" s="1153" t="str">
        <f t="shared" si="8"/>
        <v/>
      </c>
      <c r="Y9" s="1180" t="str">
        <f t="shared" si="9"/>
        <v/>
      </c>
      <c r="Z9" s="1205">
        <f>IF([1]Digesters!F9="","",[1]Digesters!F9)</f>
        <v>976</v>
      </c>
      <c r="AA9" s="1153">
        <f t="shared" si="23"/>
        <v>74.626865671641795</v>
      </c>
      <c r="AB9" s="1154" t="str">
        <f>IF([2]DIG!AM9="","",[2]DIG!AM9)</f>
        <v/>
      </c>
      <c r="AC9" s="1154" t="str">
        <f>IF([2]DIG!AN9="","",[2]DIG!AN9)</f>
        <v/>
      </c>
      <c r="AD9" s="1153" t="str">
        <f t="shared" si="24"/>
        <v/>
      </c>
      <c r="AE9" s="1165" t="str">
        <f t="shared" si="25"/>
        <v/>
      </c>
      <c r="AF9" s="1175">
        <v>6</v>
      </c>
      <c r="AG9" s="1205">
        <f>IF([1]Digesters!I9="","",[1]Digesters!I9)</f>
        <v>790</v>
      </c>
      <c r="AH9" s="1153">
        <f>IF([1]Digesters!H9="","",[1]Digesters!H9)</f>
        <v>161</v>
      </c>
      <c r="AI9" s="1153">
        <f t="shared" si="26"/>
        <v>78.459907257314143</v>
      </c>
      <c r="AJ9" s="1156" t="str">
        <f>IF([2]DIG!AP9="","",[2]DIG!AP9)</f>
        <v/>
      </c>
      <c r="AK9" s="1156" t="str">
        <f>IF([2]DIG!AQ9="","",[2]DIG!AQ9)</f>
        <v/>
      </c>
      <c r="AL9" s="1153" t="str">
        <f t="shared" si="27"/>
        <v/>
      </c>
      <c r="AM9" s="1165" t="str">
        <f t="shared" si="28"/>
        <v/>
      </c>
      <c r="AN9" s="1172">
        <f>IF([1]Digesters!K9="","",[1]Digesters!K9)</f>
        <v>749</v>
      </c>
      <c r="AO9" s="1153">
        <f>IF([1]Digesters!J9="","",[1]Digesters!J9)</f>
        <v>162</v>
      </c>
      <c r="AP9" s="1153">
        <f t="shared" si="29"/>
        <v>78.420543072234864</v>
      </c>
      <c r="AQ9" s="1156" t="str">
        <f>IF([2]DIG!AS9="","",[2]DIG!AS9)</f>
        <v/>
      </c>
      <c r="AR9" s="1156" t="str">
        <f>IF([2]DIG!AT9="","",[2]DIG!AT9)</f>
        <v/>
      </c>
      <c r="AS9" s="1153" t="str">
        <f t="shared" si="30"/>
        <v/>
      </c>
      <c r="AT9" s="1180" t="str">
        <f t="shared" si="31"/>
        <v/>
      </c>
      <c r="AU9" s="1205">
        <f>IF([1]Digesters!M9="","",[1]Digesters!M9)</f>
        <v>770</v>
      </c>
      <c r="AV9" s="1153">
        <f>IF([1]Digesters!L9="","",[1]Digesters!L9)</f>
        <v>160</v>
      </c>
      <c r="AW9" s="1153">
        <f t="shared" si="32"/>
        <v>78.447229577916858</v>
      </c>
      <c r="AX9" s="1156" t="str">
        <f>IF([2]DIG!AV9="","",[2]DIG!AV9)</f>
        <v/>
      </c>
      <c r="AY9" s="1156" t="str">
        <f>IF([2]DIG!AW9="","",[2]DIG!AW9)</f>
        <v/>
      </c>
      <c r="AZ9" s="1153" t="str">
        <f t="shared" si="33"/>
        <v/>
      </c>
      <c r="BA9" s="1165" t="str">
        <f t="shared" si="34"/>
        <v/>
      </c>
      <c r="BB9" s="1172" t="str">
        <f t="shared" si="35"/>
        <v/>
      </c>
      <c r="BC9" s="1156" t="str">
        <f>IF([2]DIG!AA9="","",[2]DIG!AA9)</f>
        <v/>
      </c>
      <c r="BD9" s="1156" t="str">
        <f>IF([2]DIG!AB9="","",[2]DIG!AB9)</f>
        <v/>
      </c>
      <c r="BE9" s="1153" t="str">
        <f t="shared" si="36"/>
        <v/>
      </c>
      <c r="BF9" s="1214" t="str">
        <f t="shared" si="37"/>
        <v/>
      </c>
      <c r="BG9" s="1205" t="str">
        <f t="shared" si="38"/>
        <v/>
      </c>
      <c r="BH9" s="1156" t="str">
        <f>IF([2]DIG!AD9="","",[2]DIG!AD9)</f>
        <v/>
      </c>
      <c r="BI9" s="1156" t="str">
        <f>IF([2]DIG!AE9="","",([2]DIG!AE9))</f>
        <v/>
      </c>
      <c r="BJ9" s="1153" t="str">
        <f t="shared" si="39"/>
        <v/>
      </c>
      <c r="BK9" s="1217" t="str">
        <f t="shared" si="40"/>
        <v/>
      </c>
      <c r="BL9" s="1223" t="str">
        <f>IF([2]BP_GB!B9="","",[2]BP_GB!B9)</f>
        <v/>
      </c>
      <c r="BM9" s="1156" t="str">
        <f>IF([2]BP_GB!C9="","",[2]BP_GB!C9)</f>
        <v/>
      </c>
      <c r="BN9" s="1165" t="str">
        <f t="shared" si="41"/>
        <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5">
        <v>7</v>
      </c>
      <c r="B10" s="1172">
        <f t="shared" si="16"/>
        <v>77.277260856247764</v>
      </c>
      <c r="C10" s="1180" t="str">
        <f t="shared" si="17"/>
        <v/>
      </c>
      <c r="D10" s="1193">
        <f>IF([2]PRI_SLG!B10="","",[2]PRI_SLG!B10)</f>
        <v>4.1500000000000004</v>
      </c>
      <c r="E10" s="1154">
        <f>IF([2]PRI_SLG!C10="","",[2]PRI_SLG!C10)</f>
        <v>3.23</v>
      </c>
      <c r="F10" s="1165">
        <f t="shared" si="18"/>
        <v>77.831325301204814</v>
      </c>
      <c r="G10" s="1190">
        <f>IF([2]TWAS!B10="","",[2]TWAS!B10)</f>
        <v>4.05</v>
      </c>
      <c r="H10" s="1154">
        <f>IF([2]TWAS!C10="","",[2]TWAS!C10)</f>
        <v>3.09</v>
      </c>
      <c r="I10" s="1180">
        <f t="shared" si="19"/>
        <v>76.296296296296291</v>
      </c>
      <c r="J10" s="1196">
        <f>IF([1]Digesters!Z10="","",[1]Digesters!Z10)</f>
        <v>402370</v>
      </c>
      <c r="K10" s="1202">
        <f>IF([1]Digesters!AB10="","",[1]Digesters!AB10)</f>
        <v>227265</v>
      </c>
      <c r="L10" s="1205">
        <f>IF([1]Digesters!C10="","",[1]Digesters!C10)</f>
        <v>800</v>
      </c>
      <c r="M10" s="1153">
        <f>IF([1]Digesters!B10="","",[1]Digesters!B10)</f>
        <v>182</v>
      </c>
      <c r="N10" s="1153">
        <f t="shared" si="20"/>
        <v>77.546829090519125</v>
      </c>
      <c r="O10" s="1154" t="str">
        <f>IF([2]DIG!AG10="","",[2]DIG!AG10)</f>
        <v/>
      </c>
      <c r="P10" s="1154" t="str">
        <f>IF([2]DIG!AH10="","",[2]DIG!AH10)</f>
        <v/>
      </c>
      <c r="Q10" s="1153" t="str">
        <f t="shared" si="21"/>
        <v/>
      </c>
      <c r="R10" s="1165" t="str">
        <f t="shared" si="22"/>
        <v/>
      </c>
      <c r="S10" s="1172">
        <f>IF([1]Digesters!E10="","",[1]Digesters!E10)</f>
        <v>805</v>
      </c>
      <c r="T10" s="1153">
        <f>IF([1]Digesters!D10="","",[1]Digesters!D10)</f>
        <v>180</v>
      </c>
      <c r="U10" s="1153">
        <f t="shared" si="7"/>
        <v>77.550812386602246</v>
      </c>
      <c r="V10" s="1156" t="str">
        <f>IF([2]DIG!AJ10="","",[2]DIG!AJ10)</f>
        <v/>
      </c>
      <c r="W10" s="1156" t="str">
        <f>IF([2]DIG!AK10="","",[2]DIG!AK10)</f>
        <v/>
      </c>
      <c r="X10" s="1153" t="str">
        <f t="shared" si="8"/>
        <v/>
      </c>
      <c r="Y10" s="1180" t="str">
        <f t="shared" si="9"/>
        <v/>
      </c>
      <c r="Z10" s="1205">
        <f>IF([1]Digesters!F10="","",[1]Digesters!F10)</f>
        <v>1149</v>
      </c>
      <c r="AA10" s="1153">
        <f t="shared" si="23"/>
        <v>76.296296296296291</v>
      </c>
      <c r="AB10" s="1154" t="str">
        <f>IF([2]DIG!AM10="","",[2]DIG!AM10)</f>
        <v/>
      </c>
      <c r="AC10" s="1154" t="str">
        <f>IF([2]DIG!AN10="","",[2]DIG!AN10)</f>
        <v/>
      </c>
      <c r="AD10" s="1153" t="str">
        <f t="shared" si="24"/>
        <v/>
      </c>
      <c r="AE10" s="1165" t="str">
        <f t="shared" si="25"/>
        <v/>
      </c>
      <c r="AF10" s="1175">
        <v>7</v>
      </c>
      <c r="AG10" s="1205">
        <f>IF([1]Digesters!I10="","",[1]Digesters!I10)</f>
        <v>800</v>
      </c>
      <c r="AH10" s="1153">
        <f>IF([1]Digesters!H10="","",[1]Digesters!H10)</f>
        <v>188</v>
      </c>
      <c r="AI10" s="1153">
        <f t="shared" si="26"/>
        <v>77.539234761809269</v>
      </c>
      <c r="AJ10" s="1156" t="str">
        <f>IF([2]DIG!AP10="","",[2]DIG!AP10)</f>
        <v/>
      </c>
      <c r="AK10" s="1156" t="str">
        <f>IF([2]DIG!AQ10="","",[2]DIG!AQ10)</f>
        <v/>
      </c>
      <c r="AL10" s="1153" t="str">
        <f t="shared" si="27"/>
        <v/>
      </c>
      <c r="AM10" s="1165" t="str">
        <f t="shared" si="28"/>
        <v/>
      </c>
      <c r="AN10" s="1172">
        <f>IF([1]Digesters!K10="","",[1]Digesters!K10)</f>
        <v>800</v>
      </c>
      <c r="AO10" s="1153">
        <f>IF([1]Digesters!J10="","",[1]Digesters!J10)</f>
        <v>188</v>
      </c>
      <c r="AP10" s="1153">
        <f t="shared" si="29"/>
        <v>77.539234761809269</v>
      </c>
      <c r="AQ10" s="1156" t="str">
        <f>IF([2]DIG!AS10="","",[2]DIG!AS10)</f>
        <v/>
      </c>
      <c r="AR10" s="1156" t="str">
        <f>IF([2]DIG!AT10="","",[2]DIG!AT10)</f>
        <v/>
      </c>
      <c r="AS10" s="1153" t="str">
        <f t="shared" si="30"/>
        <v/>
      </c>
      <c r="AT10" s="1180" t="str">
        <f t="shared" si="31"/>
        <v/>
      </c>
      <c r="AU10" s="1205">
        <f>IF([1]Digesters!M10="","",[1]Digesters!M10)</f>
        <v>799</v>
      </c>
      <c r="AV10" s="1153">
        <f>IF([1]Digesters!L10="","",[1]Digesters!L10)</f>
        <v>184</v>
      </c>
      <c r="AW10" s="1153">
        <f t="shared" si="32"/>
        <v>77.543995355219892</v>
      </c>
      <c r="AX10" s="1156" t="str">
        <f>IF([2]DIG!AV10="","",[2]DIG!AV10)</f>
        <v/>
      </c>
      <c r="AY10" s="1156" t="str">
        <f>IF([2]DIG!AW10="","",[2]DIG!AW10)</f>
        <v/>
      </c>
      <c r="AZ10" s="1153" t="str">
        <f t="shared" si="33"/>
        <v/>
      </c>
      <c r="BA10" s="1165" t="str">
        <f t="shared" si="34"/>
        <v/>
      </c>
      <c r="BB10" s="1172" t="str">
        <f t="shared" si="35"/>
        <v/>
      </c>
      <c r="BC10" s="1156" t="str">
        <f>IF([2]DIG!AA10="","",[2]DIG!AA10)</f>
        <v/>
      </c>
      <c r="BD10" s="1156" t="str">
        <f>IF([2]DIG!AB10="","",[2]DIG!AB10)</f>
        <v/>
      </c>
      <c r="BE10" s="1153" t="str">
        <f t="shared" si="36"/>
        <v/>
      </c>
      <c r="BF10" s="1214" t="str">
        <f t="shared" si="37"/>
        <v/>
      </c>
      <c r="BG10" s="1205" t="str">
        <f t="shared" si="38"/>
        <v/>
      </c>
      <c r="BH10" s="1156" t="str">
        <f>IF([2]DIG!AD10="","",[2]DIG!AD10)</f>
        <v/>
      </c>
      <c r="BI10" s="1156" t="str">
        <f>IF([2]DIG!AE10="","",([2]DIG!AE10))</f>
        <v/>
      </c>
      <c r="BJ10" s="1153" t="str">
        <f t="shared" si="39"/>
        <v/>
      </c>
      <c r="BK10" s="1217" t="str">
        <f t="shared" si="40"/>
        <v/>
      </c>
      <c r="BL10" s="1223" t="str">
        <f>IF([2]BP_GB!B10="","",[2]BP_GB!B10)</f>
        <v/>
      </c>
      <c r="BM10" s="1156" t="str">
        <f>IF([2]BP_GB!C10="","",[2]BP_GB!C10)</f>
        <v/>
      </c>
      <c r="BN10" s="1165" t="str">
        <f t="shared" si="41"/>
        <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5">
        <v>8</v>
      </c>
      <c r="B11" s="1172">
        <f t="shared" si="16"/>
        <v>79.367170260024977</v>
      </c>
      <c r="C11" s="1180">
        <f t="shared" si="17"/>
        <v>68.188272444933091</v>
      </c>
      <c r="D11" s="1193">
        <f>IF([2]PRI_SLG!B11="","",[2]PRI_SLG!B11)</f>
        <v>3.85</v>
      </c>
      <c r="E11" s="1154">
        <f>IF([2]PRI_SLG!C11="","",[2]PRI_SLG!C11)</f>
        <v>3.1</v>
      </c>
      <c r="F11" s="1165">
        <f t="shared" si="18"/>
        <v>80.519480519480524</v>
      </c>
      <c r="G11" s="1190">
        <f>IF([2]TWAS!B11="","",[2]TWAS!B11)</f>
        <v>4.25</v>
      </c>
      <c r="H11" s="1154">
        <f>IF([2]TWAS!C11="","",[2]TWAS!C11)</f>
        <v>3.3</v>
      </c>
      <c r="I11" s="1180">
        <f t="shared" si="19"/>
        <v>77.647058823529406</v>
      </c>
      <c r="J11" s="1196">
        <f>IF([1]Digesters!Z11="","",[1]Digesters!Z11)</f>
        <v>295678</v>
      </c>
      <c r="K11" s="1202">
        <f>IF([1]Digesters!AB11="","",[1]Digesters!AB11)</f>
        <v>198076</v>
      </c>
      <c r="L11" s="1205">
        <f>IF([1]Digesters!C11="","",[1]Digesters!C11)</f>
        <v>594</v>
      </c>
      <c r="M11" s="1153">
        <f>IF([1]Digesters!B11="","",[1]Digesters!B11)</f>
        <v>158</v>
      </c>
      <c r="N11" s="1153">
        <f t="shared" si="20"/>
        <v>79.915966386554629</v>
      </c>
      <c r="O11" s="1154">
        <f>IF([2]DIG!AG11="","",[2]DIG!AG11)</f>
        <v>2.16</v>
      </c>
      <c r="P11" s="1154">
        <f>IF([2]DIG!AH11="","",[2]DIG!AH11)</f>
        <v>1.1000000000000001</v>
      </c>
      <c r="Q11" s="1153">
        <f t="shared" si="21"/>
        <v>50.925925925925931</v>
      </c>
      <c r="R11" s="1165">
        <f t="shared" si="22"/>
        <v>73.920203162510163</v>
      </c>
      <c r="S11" s="1172">
        <f>IF([1]Digesters!E11="","",[1]Digesters!E11)</f>
        <v>592</v>
      </c>
      <c r="T11" s="1153">
        <f>IF([1]Digesters!D11="","",[1]Digesters!D11)</f>
        <v>160</v>
      </c>
      <c r="U11" s="1153">
        <f t="shared" si="7"/>
        <v>79.908326967150515</v>
      </c>
      <c r="V11" s="1156">
        <f>IF([2]DIG!AJ11="","",[2]DIG!AJ11)</f>
        <v>2</v>
      </c>
      <c r="W11" s="1156">
        <f>IF([2]DIG!AK11="","",[2]DIG!AK11)</f>
        <v>1.06</v>
      </c>
      <c r="X11" s="1153">
        <f t="shared" si="8"/>
        <v>53</v>
      </c>
      <c r="Y11" s="1180">
        <f t="shared" si="9"/>
        <v>71.646800374272829</v>
      </c>
      <c r="Z11" s="1205">
        <f>IF([1]Digesters!F11="","",[1]Digesters!F11)</f>
        <v>1050</v>
      </c>
      <c r="AA11" s="1153">
        <f t="shared" si="23"/>
        <v>77.647058823529406</v>
      </c>
      <c r="AB11" s="1154">
        <f>IF([2]DIG!AM11="","",[2]DIG!AM11)</f>
        <v>2.4700000000000002</v>
      </c>
      <c r="AC11" s="1154">
        <f>IF([2]DIG!AN11="","",[2]DIG!AN11)</f>
        <v>1.5</v>
      </c>
      <c r="AD11" s="1153">
        <f t="shared" si="24"/>
        <v>60.728744939271252</v>
      </c>
      <c r="AE11" s="1165">
        <f t="shared" si="25"/>
        <v>55.482661668228673</v>
      </c>
      <c r="AF11" s="1175">
        <v>8</v>
      </c>
      <c r="AG11" s="1205">
        <f>IF([1]Digesters!I11="","",[1]Digesters!I11)</f>
        <v>605</v>
      </c>
      <c r="AH11" s="1153">
        <f>IF([1]Digesters!H11="","",[1]Digesters!H11)</f>
        <v>161</v>
      </c>
      <c r="AI11" s="1153">
        <f t="shared" si="26"/>
        <v>79.915746977642215</v>
      </c>
      <c r="AJ11" s="1156">
        <f>IF([2]DIG!AP11="","",[2]DIG!AP11)</f>
        <v>2.12</v>
      </c>
      <c r="AK11" s="1156">
        <f>IF([2]DIG!AQ11="","",[2]DIG!AQ11)</f>
        <v>1.1299999999999999</v>
      </c>
      <c r="AL11" s="1153">
        <f t="shared" si="27"/>
        <v>53.301886792452827</v>
      </c>
      <c r="AM11" s="1165">
        <f t="shared" si="28"/>
        <v>71.314226186395544</v>
      </c>
      <c r="AN11" s="1172">
        <f>IF([1]Digesters!K11="","",[1]Digesters!K11)</f>
        <v>543</v>
      </c>
      <c r="AO11" s="1153">
        <f>IF([1]Digesters!J11="","",[1]Digesters!J11)</f>
        <v>136</v>
      </c>
      <c r="AP11" s="1153">
        <f t="shared" si="29"/>
        <v>79.944150106153046</v>
      </c>
      <c r="AQ11" s="1156">
        <f>IF([2]DIG!AS11="","",[2]DIG!AS11)</f>
        <v>2.0699999999999998</v>
      </c>
      <c r="AR11" s="1156">
        <f>IF([2]DIG!AT11="","",[2]DIG!AT11)</f>
        <v>1.1000000000000001</v>
      </c>
      <c r="AS11" s="1153">
        <f t="shared" si="30"/>
        <v>53.140096618357504</v>
      </c>
      <c r="AT11" s="1180">
        <f t="shared" si="31"/>
        <v>71.550454570971567</v>
      </c>
      <c r="AU11" s="1205">
        <f>IF([1]Digesters!M11="","",[1]Digesters!M11)</f>
        <v>622</v>
      </c>
      <c r="AV11" s="1153">
        <f>IF([1]Digesters!L11="","",[1]Digesters!L11)</f>
        <v>159</v>
      </c>
      <c r="AW11" s="1153">
        <f t="shared" si="32"/>
        <v>79.934698125554476</v>
      </c>
      <c r="AX11" s="1156">
        <f>IF([2]DIG!AV11="","",[2]DIG!AV11)</f>
        <v>2.06</v>
      </c>
      <c r="AY11" s="1156">
        <f>IF([2]DIG!AW11="","",[2]DIG!AW11)</f>
        <v>1.1200000000000001</v>
      </c>
      <c r="AZ11" s="1153">
        <f t="shared" si="33"/>
        <v>54.368932038834963</v>
      </c>
      <c r="BA11" s="1165">
        <f t="shared" si="34"/>
        <v>70.091094001266327</v>
      </c>
      <c r="BB11" s="1172">
        <f t="shared" si="35"/>
        <v>52.409270906126245</v>
      </c>
      <c r="BC11" s="1156">
        <f>IF([2]DIG!AA11="","",[2]DIG!AA11)</f>
        <v>1.89</v>
      </c>
      <c r="BD11" s="1156">
        <f>IF([2]DIG!AB11="","",[2]DIG!AB11)</f>
        <v>0.95</v>
      </c>
      <c r="BE11" s="1153">
        <f t="shared" si="36"/>
        <v>50.264550264550266</v>
      </c>
      <c r="BF11" s="1214">
        <f t="shared" si="37"/>
        <v>8.228043217609299</v>
      </c>
      <c r="BG11" s="1205">
        <f t="shared" si="38"/>
        <v>52.409270906126245</v>
      </c>
      <c r="BH11" s="1156">
        <f>IF([2]DIG!AD11="","",[2]DIG!AD11)</f>
        <v>1.72</v>
      </c>
      <c r="BI11" s="1156">
        <f>IF([2]DIG!AE11="","",([2]DIG!AE11))</f>
        <v>0.96</v>
      </c>
      <c r="BJ11" s="1153">
        <f t="shared" si="39"/>
        <v>55.813953488372093</v>
      </c>
      <c r="BK11" s="1217">
        <f t="shared" si="40"/>
        <v>-14.702235180650078</v>
      </c>
      <c r="BL11" s="1223">
        <f>IF([2]BP_GB!B11="","",[2]BP_GB!B11)</f>
        <v>1.69</v>
      </c>
      <c r="BM11" s="1156">
        <f>IF([2]BP_GB!C11="","",[2]BP_GB!C11)</f>
        <v>0.93</v>
      </c>
      <c r="BN11" s="1165">
        <f t="shared" si="41"/>
        <v>55.029585798816569</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5">
        <v>9</v>
      </c>
      <c r="B12" s="1172">
        <f t="shared" si="16"/>
        <v>79.059712221130766</v>
      </c>
      <c r="C12" s="1180" t="str">
        <f t="shared" si="17"/>
        <v/>
      </c>
      <c r="D12" s="1193">
        <f>IF([2]PRI_SLG!B12="","",[2]PRI_SLG!B12)</f>
        <v>3.68</v>
      </c>
      <c r="E12" s="1154">
        <f>IF([2]PRI_SLG!C12="","",[2]PRI_SLG!C12)</f>
        <v>2.96</v>
      </c>
      <c r="F12" s="1165">
        <f t="shared" si="18"/>
        <v>80.434782608695642</v>
      </c>
      <c r="G12" s="1190">
        <f>IF([2]TWAS!B12="","",[2]TWAS!B12)</f>
        <v>4.17</v>
      </c>
      <c r="H12" s="1154">
        <f>IF([2]TWAS!C12="","",[2]TWAS!C12)</f>
        <v>3.21</v>
      </c>
      <c r="I12" s="1180">
        <f t="shared" si="19"/>
        <v>76.978417266187051</v>
      </c>
      <c r="J12" s="1196">
        <f>IF([1]Digesters!Z12="","",[1]Digesters!Z12)</f>
        <v>284030</v>
      </c>
      <c r="K12" s="1202">
        <f>IF([1]Digesters!AB12="","",[1]Digesters!AB12)</f>
        <v>187653</v>
      </c>
      <c r="L12" s="1205">
        <f>IF([1]Digesters!C12="","",[1]Digesters!C12)</f>
        <v>544</v>
      </c>
      <c r="M12" s="1153">
        <f>IF([1]Digesters!B12="","",[1]Digesters!B12)</f>
        <v>148</v>
      </c>
      <c r="N12" s="1153">
        <f t="shared" si="20"/>
        <v>79.695559963188032</v>
      </c>
      <c r="O12" s="1154" t="str">
        <f>IF([2]DIG!AG12="","",[2]DIG!AG12)</f>
        <v/>
      </c>
      <c r="P12" s="1154" t="str">
        <f>IF([2]DIG!AH12="","",[2]DIG!AH12)</f>
        <v/>
      </c>
      <c r="Q12" s="1153" t="str">
        <f t="shared" si="21"/>
        <v/>
      </c>
      <c r="R12" s="1165" t="str">
        <f t="shared" si="22"/>
        <v/>
      </c>
      <c r="S12" s="1172">
        <f>IF([1]Digesters!E12="","",[1]Digesters!E12)</f>
        <v>598</v>
      </c>
      <c r="T12" s="1153">
        <f>IF([1]Digesters!D12="","",[1]Digesters!D12)</f>
        <v>145</v>
      </c>
      <c r="U12" s="1153">
        <f t="shared" si="7"/>
        <v>79.760256397842682</v>
      </c>
      <c r="V12" s="1156" t="str">
        <f>IF([2]DIG!AJ12="","",[2]DIG!AJ12)</f>
        <v/>
      </c>
      <c r="W12" s="1156" t="str">
        <f>IF([2]DIG!AK12="","",[2]DIG!AK12)</f>
        <v/>
      </c>
      <c r="X12" s="1153" t="str">
        <f t="shared" si="8"/>
        <v/>
      </c>
      <c r="Y12" s="1180" t="str">
        <f t="shared" si="9"/>
        <v/>
      </c>
      <c r="Z12" s="1205">
        <f>IF([1]Digesters!F12="","",[1]Digesters!F12)</f>
        <v>917</v>
      </c>
      <c r="AA12" s="1153">
        <f t="shared" si="23"/>
        <v>76.978417266187051</v>
      </c>
      <c r="AB12" s="1154" t="str">
        <f>IF([2]DIG!AM12="","",[2]DIG!AM12)</f>
        <v/>
      </c>
      <c r="AC12" s="1154" t="str">
        <f>IF([2]DIG!AN12="","",[2]DIG!AN12)</f>
        <v/>
      </c>
      <c r="AD12" s="1153" t="str">
        <f t="shared" si="24"/>
        <v/>
      </c>
      <c r="AE12" s="1165" t="str">
        <f t="shared" si="25"/>
        <v/>
      </c>
      <c r="AF12" s="1175">
        <v>9</v>
      </c>
      <c r="AG12" s="1205">
        <f>IF([1]Digesters!I12="","",[1]Digesters!I12)</f>
        <v>598</v>
      </c>
      <c r="AH12" s="1153">
        <f>IF([1]Digesters!H12="","",[1]Digesters!H12)</f>
        <v>162</v>
      </c>
      <c r="AI12" s="1153">
        <f t="shared" si="26"/>
        <v>79.698031048845124</v>
      </c>
      <c r="AJ12" s="1156" t="str">
        <f>IF([2]DIG!AP12="","",[2]DIG!AP12)</f>
        <v/>
      </c>
      <c r="AK12" s="1156" t="str">
        <f>IF([2]DIG!AQ12="","",[2]DIG!AQ12)</f>
        <v/>
      </c>
      <c r="AL12" s="1153" t="str">
        <f t="shared" si="27"/>
        <v/>
      </c>
      <c r="AM12" s="1165" t="str">
        <f t="shared" si="28"/>
        <v/>
      </c>
      <c r="AN12" s="1172">
        <f>IF([1]Digesters!K12="","",[1]Digesters!K12)</f>
        <v>574</v>
      </c>
      <c r="AO12" s="1153">
        <f>IF([1]Digesters!J12="","",[1]Digesters!J12)</f>
        <v>158</v>
      </c>
      <c r="AP12" s="1153">
        <f t="shared" si="29"/>
        <v>79.688736537498428</v>
      </c>
      <c r="AQ12" s="1156" t="str">
        <f>IF([2]DIG!AS12="","",[2]DIG!AS12)</f>
        <v/>
      </c>
      <c r="AR12" s="1156" t="str">
        <f>IF([2]DIG!AT12="","",[2]DIG!AT12)</f>
        <v/>
      </c>
      <c r="AS12" s="1153" t="str">
        <f t="shared" si="30"/>
        <v/>
      </c>
      <c r="AT12" s="1180" t="str">
        <f t="shared" si="31"/>
        <v/>
      </c>
      <c r="AU12" s="1205">
        <f>IF([1]Digesters!M12="","",[1]Digesters!M12)</f>
        <v>524</v>
      </c>
      <c r="AV12" s="1153">
        <f>IF([1]Digesters!L12="","",[1]Digesters!L12)</f>
        <v>159</v>
      </c>
      <c r="AW12" s="1153">
        <f t="shared" si="32"/>
        <v>79.630152902313696</v>
      </c>
      <c r="AX12" s="1156" t="str">
        <f>IF([2]DIG!AV12="","",[2]DIG!AV12)</f>
        <v/>
      </c>
      <c r="AY12" s="1156" t="str">
        <f>IF([2]DIG!AW12="","",[2]DIG!AW12)</f>
        <v/>
      </c>
      <c r="AZ12" s="1153" t="str">
        <f t="shared" si="33"/>
        <v/>
      </c>
      <c r="BA12" s="1165" t="str">
        <f t="shared" si="34"/>
        <v/>
      </c>
      <c r="BB12" s="1172" t="str">
        <f t="shared" si="35"/>
        <v/>
      </c>
      <c r="BC12" s="1156" t="str">
        <f>IF([2]DIG!AA12="","",[2]DIG!AA12)</f>
        <v/>
      </c>
      <c r="BD12" s="1156" t="str">
        <f>IF([2]DIG!AB12="","",[2]DIG!AB12)</f>
        <v/>
      </c>
      <c r="BE12" s="1153" t="str">
        <f t="shared" si="36"/>
        <v/>
      </c>
      <c r="BF12" s="1214" t="str">
        <f t="shared" si="37"/>
        <v/>
      </c>
      <c r="BG12" s="1205" t="str">
        <f t="shared" si="38"/>
        <v/>
      </c>
      <c r="BH12" s="1156" t="str">
        <f>IF([2]DIG!AD12="","",[2]DIG!AD12)</f>
        <v/>
      </c>
      <c r="BI12" s="1156" t="str">
        <f>IF([2]DIG!AE12="","",([2]DIG!AE12))</f>
        <v/>
      </c>
      <c r="BJ12" s="1153" t="str">
        <f t="shared" si="39"/>
        <v/>
      </c>
      <c r="BK12" s="1217" t="str">
        <f t="shared" si="40"/>
        <v/>
      </c>
      <c r="BL12" s="1223" t="str">
        <f>IF([2]BP_GB!B12="","",[2]BP_GB!B12)</f>
        <v/>
      </c>
      <c r="BM12" s="1156" t="str">
        <f>IF([2]BP_GB!C12="","",[2]BP_GB!C12)</f>
        <v/>
      </c>
      <c r="BN12" s="1165" t="str">
        <f t="shared" si="41"/>
        <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5">
        <v>10</v>
      </c>
      <c r="B13" s="1172">
        <f t="shared" si="16"/>
        <v>79.817067994954371</v>
      </c>
      <c r="C13" s="1180" t="str">
        <f t="shared" si="17"/>
        <v/>
      </c>
      <c r="D13" s="1193">
        <f>IF([2]PRI_SLG!B13="","",[2]PRI_SLG!B13)</f>
        <v>4.1900000000000004</v>
      </c>
      <c r="E13" s="1154">
        <f>IF([2]PRI_SLG!C13="","",[2]PRI_SLG!C13)</f>
        <v>3.45</v>
      </c>
      <c r="F13" s="1165">
        <f t="shared" si="18"/>
        <v>82.338902147971353</v>
      </c>
      <c r="G13" s="1190">
        <f>IF([2]TWAS!B13="","",[2]TWAS!B13)</f>
        <v>4.01</v>
      </c>
      <c r="H13" s="1154">
        <f>IF([2]TWAS!C13="","",[2]TWAS!C13)</f>
        <v>3.07</v>
      </c>
      <c r="I13" s="1180">
        <f t="shared" si="19"/>
        <v>76.558603491271825</v>
      </c>
      <c r="J13" s="1196">
        <f>IF([1]Digesters!Z13="","",[1]Digesters!Z13)</f>
        <v>246529</v>
      </c>
      <c r="K13" s="1202">
        <f>IF([1]Digesters!AB13="","",[1]Digesters!AB13)</f>
        <v>190797</v>
      </c>
      <c r="L13" s="1205">
        <f>IF([1]Digesters!C13="","",[1]Digesters!C13)</f>
        <v>482</v>
      </c>
      <c r="M13" s="1153">
        <f>IF([1]Digesters!B13="","",[1]Digesters!B13)</f>
        <v>155</v>
      </c>
      <c r="N13" s="1153">
        <f t="shared" si="20"/>
        <v>80.932393055681814</v>
      </c>
      <c r="O13" s="1154" t="str">
        <f>IF([2]DIG!AG13="","",[2]DIG!AG13)</f>
        <v/>
      </c>
      <c r="P13" s="1154" t="str">
        <f>IF([2]DIG!AH13="","",[2]DIG!AH13)</f>
        <v/>
      </c>
      <c r="Q13" s="1153" t="str">
        <f t="shared" si="21"/>
        <v/>
      </c>
      <c r="R13" s="1165" t="str">
        <f t="shared" si="22"/>
        <v/>
      </c>
      <c r="S13" s="1172">
        <f>IF([1]Digesters!E13="","",[1]Digesters!E13)</f>
        <v>487</v>
      </c>
      <c r="T13" s="1153">
        <f>IF([1]Digesters!D13="","",[1]Digesters!D13)</f>
        <v>160</v>
      </c>
      <c r="U13" s="1153">
        <f t="shared" si="7"/>
        <v>80.909461985572705</v>
      </c>
      <c r="V13" s="1156" t="str">
        <f>IF([2]DIG!AJ13="","",[2]DIG!AJ13)</f>
        <v/>
      </c>
      <c r="W13" s="1156" t="str">
        <f>IF([2]DIG!AK13="","",[2]DIG!AK13)</f>
        <v/>
      </c>
      <c r="X13" s="1153" t="str">
        <f t="shared" si="8"/>
        <v/>
      </c>
      <c r="Y13" s="1180" t="str">
        <f t="shared" si="9"/>
        <v/>
      </c>
      <c r="Z13" s="1205">
        <f>IF([1]Digesters!F13="","",[1]Digesters!F13)</f>
        <v>1124</v>
      </c>
      <c r="AA13" s="1153">
        <f t="shared" si="23"/>
        <v>76.558603491271825</v>
      </c>
      <c r="AB13" s="1154" t="str">
        <f>IF([2]DIG!AM13="","",[2]DIG!AM13)</f>
        <v/>
      </c>
      <c r="AC13" s="1154" t="str">
        <f>IF([2]DIG!AN13="","",[2]DIG!AN13)</f>
        <v/>
      </c>
      <c r="AD13" s="1153" t="str">
        <f t="shared" si="24"/>
        <v/>
      </c>
      <c r="AE13" s="1165" t="str">
        <f t="shared" si="25"/>
        <v/>
      </c>
      <c r="AF13" s="1175">
        <v>10</v>
      </c>
      <c r="AG13" s="1205">
        <f>IF([1]Digesters!I13="","",[1]Digesters!I13)</f>
        <v>508</v>
      </c>
      <c r="AH13" s="1153">
        <f>IF([1]Digesters!H13="","",[1]Digesters!H13)</f>
        <v>150</v>
      </c>
      <c r="AI13" s="1153">
        <f t="shared" si="26"/>
        <v>81.021204885805815</v>
      </c>
      <c r="AJ13" s="1156" t="str">
        <f>IF([2]DIG!AP13="","",[2]DIG!AP13)</f>
        <v/>
      </c>
      <c r="AK13" s="1156" t="str">
        <f>IF([2]DIG!AQ13="","",[2]DIG!AQ13)</f>
        <v/>
      </c>
      <c r="AL13" s="1153" t="str">
        <f t="shared" si="27"/>
        <v/>
      </c>
      <c r="AM13" s="1165" t="str">
        <f t="shared" si="28"/>
        <v/>
      </c>
      <c r="AN13" s="1172">
        <f>IF([1]Digesters!K13="","",[1]Digesters!K13)</f>
        <v>501</v>
      </c>
      <c r="AO13" s="1153">
        <f>IF([1]Digesters!J13="","",[1]Digesters!J13)</f>
        <v>138</v>
      </c>
      <c r="AP13" s="1153">
        <f t="shared" si="29"/>
        <v>81.090574738543282</v>
      </c>
      <c r="AQ13" s="1156" t="str">
        <f>IF([2]DIG!AS13="","",[2]DIG!AS13)</f>
        <v/>
      </c>
      <c r="AR13" s="1156" t="str">
        <f>IF([2]DIG!AT13="","",[2]DIG!AT13)</f>
        <v/>
      </c>
      <c r="AS13" s="1153" t="str">
        <f t="shared" si="30"/>
        <v/>
      </c>
      <c r="AT13" s="1180" t="str">
        <f t="shared" si="31"/>
        <v/>
      </c>
      <c r="AU13" s="1205">
        <f>IF([1]Digesters!M13="","",[1]Digesters!M13)</f>
        <v>479</v>
      </c>
      <c r="AV13" s="1153">
        <f>IF([1]Digesters!L13="","",[1]Digesters!L13)</f>
        <v>146</v>
      </c>
      <c r="AW13" s="1153">
        <f t="shared" si="32"/>
        <v>80.988624381766343</v>
      </c>
      <c r="AX13" s="1156" t="str">
        <f>IF([2]DIG!AV13="","",[2]DIG!AV13)</f>
        <v/>
      </c>
      <c r="AY13" s="1156" t="str">
        <f>IF([2]DIG!AW13="","",[2]DIG!AW13)</f>
        <v/>
      </c>
      <c r="AZ13" s="1153" t="str">
        <f t="shared" si="33"/>
        <v/>
      </c>
      <c r="BA13" s="1165" t="str">
        <f t="shared" si="34"/>
        <v/>
      </c>
      <c r="BB13" s="1172" t="str">
        <f t="shared" si="35"/>
        <v/>
      </c>
      <c r="BC13" s="1156" t="str">
        <f>IF([2]DIG!AA13="","",[2]DIG!AA13)</f>
        <v/>
      </c>
      <c r="BD13" s="1156" t="str">
        <f>IF([2]DIG!AB13="","",[2]DIG!AB13)</f>
        <v/>
      </c>
      <c r="BE13" s="1153" t="str">
        <f t="shared" si="36"/>
        <v/>
      </c>
      <c r="BF13" s="1214" t="str">
        <f t="shared" si="37"/>
        <v/>
      </c>
      <c r="BG13" s="1205" t="str">
        <f t="shared" si="38"/>
        <v/>
      </c>
      <c r="BH13" s="1156" t="str">
        <f>IF([2]DIG!AD13="","",[2]DIG!AD13)</f>
        <v/>
      </c>
      <c r="BI13" s="1156" t="str">
        <f>IF([2]DIG!AE13="","",([2]DIG!AE13))</f>
        <v/>
      </c>
      <c r="BJ13" s="1153" t="str">
        <f t="shared" si="39"/>
        <v/>
      </c>
      <c r="BK13" s="1217" t="str">
        <f t="shared" si="40"/>
        <v/>
      </c>
      <c r="BL13" s="1223" t="str">
        <f>IF([2]BP_GB!B13="","",[2]BP_GB!B13)</f>
        <v/>
      </c>
      <c r="BM13" s="1156" t="str">
        <f>IF([2]BP_GB!C13="","",[2]BP_GB!C13)</f>
        <v/>
      </c>
      <c r="BN13" s="1165"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5">
        <v>11</v>
      </c>
      <c r="B14" s="1172">
        <f t="shared" si="16"/>
        <v>79.26213536379062</v>
      </c>
      <c r="C14" s="1180" t="str">
        <f t="shared" si="17"/>
        <v/>
      </c>
      <c r="D14" s="1193">
        <f>IF([2]PRI_SLG!B14="","",[2]PRI_SLG!B14)</f>
        <v>3.52</v>
      </c>
      <c r="E14" s="1154">
        <f>IF([2]PRI_SLG!C14="","",[2]PRI_SLG!C14)</f>
        <v>2.94</v>
      </c>
      <c r="F14" s="1165">
        <f t="shared" si="18"/>
        <v>83.522727272727266</v>
      </c>
      <c r="G14" s="1190">
        <f>IF([2]TWAS!B14="","",[2]TWAS!B14)</f>
        <v>3.73</v>
      </c>
      <c r="H14" s="1154">
        <f>IF([2]TWAS!C14="","",[2]TWAS!C14)</f>
        <v>2.79</v>
      </c>
      <c r="I14" s="1180">
        <f t="shared" si="19"/>
        <v>74.798927613941018</v>
      </c>
      <c r="J14" s="1196">
        <f>IF([1]Digesters!Z14="","",[1]Digesters!Z14)</f>
        <v>303633</v>
      </c>
      <c r="K14" s="1202">
        <f>IF([1]Digesters!AB14="","",[1]Digesters!AB14)</f>
        <v>289849</v>
      </c>
      <c r="L14" s="1205">
        <f>IF([1]Digesters!C14="","",[1]Digesters!C14)</f>
        <v>621</v>
      </c>
      <c r="M14" s="1153">
        <f>IF([1]Digesters!B14="","",[1]Digesters!B14)</f>
        <v>234</v>
      </c>
      <c r="N14" s="1153">
        <f t="shared" si="20"/>
        <v>81.135161050322608</v>
      </c>
      <c r="O14" s="1154" t="str">
        <f>IF([2]DIG!AG14="","",[2]DIG!AG14)</f>
        <v/>
      </c>
      <c r="P14" s="1154" t="str">
        <f>IF([2]DIG!AH14="","",[2]DIG!AH14)</f>
        <v/>
      </c>
      <c r="Q14" s="1153" t="str">
        <f t="shared" si="21"/>
        <v/>
      </c>
      <c r="R14" s="1165" t="str">
        <f t="shared" si="22"/>
        <v/>
      </c>
      <c r="S14" s="1172">
        <f>IF([1]Digesters!E14="","",[1]Digesters!E14)</f>
        <v>626</v>
      </c>
      <c r="T14" s="1153">
        <f>IF([1]Digesters!D14="","",[1]Digesters!D14)</f>
        <v>232</v>
      </c>
      <c r="U14" s="1153">
        <f t="shared" si="7"/>
        <v>81.163844381307214</v>
      </c>
      <c r="V14" s="1156" t="str">
        <f>IF([2]DIG!AJ14="","",[2]DIG!AJ14)</f>
        <v/>
      </c>
      <c r="W14" s="1156" t="str">
        <f>IF([2]DIG!AK14="","",[2]DIG!AK14)</f>
        <v/>
      </c>
      <c r="X14" s="1153" t="str">
        <f t="shared" si="8"/>
        <v/>
      </c>
      <c r="Y14" s="1180" t="str">
        <f t="shared" si="9"/>
        <v/>
      </c>
      <c r="Z14" s="1205">
        <f>IF([1]Digesters!F14="","",[1]Digesters!F14)</f>
        <v>1777</v>
      </c>
      <c r="AA14" s="1153">
        <f t="shared" si="23"/>
        <v>74.798927613941018</v>
      </c>
      <c r="AB14" s="1154" t="str">
        <f>IF([2]DIG!AM14="","",[2]DIG!AM14)</f>
        <v/>
      </c>
      <c r="AC14" s="1154" t="str">
        <f>IF([2]DIG!AN14="","",[2]DIG!AN14)</f>
        <v/>
      </c>
      <c r="AD14" s="1153" t="str">
        <f t="shared" si="24"/>
        <v/>
      </c>
      <c r="AE14" s="1165" t="str">
        <f t="shared" si="25"/>
        <v/>
      </c>
      <c r="AF14" s="1175">
        <v>11</v>
      </c>
      <c r="AG14" s="1205">
        <f>IF([1]Digesters!I14="","",[1]Digesters!I14)</f>
        <v>632</v>
      </c>
      <c r="AH14" s="1153">
        <f>IF([1]Digesters!H14="","",[1]Digesters!H14)</f>
        <v>253</v>
      </c>
      <c r="AI14" s="1153">
        <f t="shared" si="26"/>
        <v>81.028804884396294</v>
      </c>
      <c r="AJ14" s="1156" t="str">
        <f>IF([2]DIG!AP14="","",[2]DIG!AP14)</f>
        <v/>
      </c>
      <c r="AK14" s="1156" t="str">
        <f>IF([2]DIG!AQ14="","",[2]DIG!AQ14)</f>
        <v/>
      </c>
      <c r="AL14" s="1153" t="str">
        <f t="shared" si="27"/>
        <v/>
      </c>
      <c r="AM14" s="1165" t="str">
        <f t="shared" si="28"/>
        <v/>
      </c>
      <c r="AN14" s="1172">
        <f>IF([1]Digesters!K14="","",[1]Digesters!K14)</f>
        <v>625</v>
      </c>
      <c r="AO14" s="1153">
        <f>IF([1]Digesters!J14="","",[1]Digesters!J14)</f>
        <v>231</v>
      </c>
      <c r="AP14" s="1153">
        <f t="shared" si="29"/>
        <v>81.168524327423981</v>
      </c>
      <c r="AQ14" s="1156" t="str">
        <f>IF([2]DIG!AS14="","",[2]DIG!AS14)</f>
        <v/>
      </c>
      <c r="AR14" s="1156" t="str">
        <f>IF([2]DIG!AT14="","",[2]DIG!AT14)</f>
        <v/>
      </c>
      <c r="AS14" s="1153" t="str">
        <f t="shared" si="30"/>
        <v/>
      </c>
      <c r="AT14" s="1180" t="str">
        <f t="shared" si="31"/>
        <v/>
      </c>
      <c r="AU14" s="1205">
        <f>IF([1]Digesters!M14="","",[1]Digesters!M14)</f>
        <v>644</v>
      </c>
      <c r="AV14" s="1153">
        <f>IF([1]Digesters!L14="","",[1]Digesters!L14)</f>
        <v>247</v>
      </c>
      <c r="AW14" s="1153">
        <f t="shared" si="32"/>
        <v>81.104345100201797</v>
      </c>
      <c r="AX14" s="1156" t="str">
        <f>IF([2]DIG!AV14="","",[2]DIG!AV14)</f>
        <v/>
      </c>
      <c r="AY14" s="1156" t="str">
        <f>IF([2]DIG!AW14="","",[2]DIG!AW14)</f>
        <v/>
      </c>
      <c r="AZ14" s="1153" t="str">
        <f t="shared" si="33"/>
        <v/>
      </c>
      <c r="BA14" s="1165" t="str">
        <f t="shared" si="34"/>
        <v/>
      </c>
      <c r="BB14" s="1172" t="str">
        <f t="shared" si="35"/>
        <v/>
      </c>
      <c r="BC14" s="1156" t="str">
        <f>IF([2]DIG!AA14="","",[2]DIG!AA14)</f>
        <v/>
      </c>
      <c r="BD14" s="1156" t="str">
        <f>IF([2]DIG!AB14="","",[2]DIG!AB14)</f>
        <v/>
      </c>
      <c r="BE14" s="1153" t="str">
        <f t="shared" si="36"/>
        <v/>
      </c>
      <c r="BF14" s="1214" t="str">
        <f t="shared" si="37"/>
        <v/>
      </c>
      <c r="BG14" s="1205" t="str">
        <f t="shared" si="38"/>
        <v/>
      </c>
      <c r="BH14" s="1156" t="str">
        <f>IF([2]DIG!AD14="","",[2]DIG!AD14)</f>
        <v/>
      </c>
      <c r="BI14" s="1156" t="str">
        <f>IF([2]DIG!AE14="","",([2]DIG!AE14))</f>
        <v/>
      </c>
      <c r="BJ14" s="1153" t="str">
        <f t="shared" si="39"/>
        <v/>
      </c>
      <c r="BK14" s="1217" t="str">
        <f t="shared" si="40"/>
        <v/>
      </c>
      <c r="BL14" s="1223" t="str">
        <f>IF([2]BP_GB!B14="","",[2]BP_GB!B14)</f>
        <v/>
      </c>
      <c r="BM14" s="1156" t="str">
        <f>IF([2]BP_GB!C14="","",[2]BP_GB!C14)</f>
        <v/>
      </c>
      <c r="BN14" s="1165" t="str">
        <f t="shared" si="41"/>
        <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5">
        <v>12</v>
      </c>
      <c r="B15" s="1172">
        <f t="shared" si="16"/>
        <v>80.751523266139344</v>
      </c>
      <c r="C15" s="1180" t="str">
        <f t="shared" si="17"/>
        <v/>
      </c>
      <c r="D15" s="1193">
        <f>IF([2]PRI_SLG!B15="","",[2]PRI_SLG!B15)</f>
        <v>3.96</v>
      </c>
      <c r="E15" s="1154">
        <f>IF([2]PRI_SLG!C15="","",[2]PRI_SLG!C15)</f>
        <v>3.33</v>
      </c>
      <c r="F15" s="1165">
        <f t="shared" si="18"/>
        <v>84.090909090909093</v>
      </c>
      <c r="G15" s="1190">
        <f>IF([2]TWAS!B15="","",[2]TWAS!B15)</f>
        <v>4.07</v>
      </c>
      <c r="H15" s="1154">
        <f>IF([2]TWAS!C15="","",[2]TWAS!C15)</f>
        <v>3.07</v>
      </c>
      <c r="I15" s="1180">
        <f t="shared" si="19"/>
        <v>75.429975429975414</v>
      </c>
      <c r="J15" s="1196">
        <f>IF([1]Digesters!Z15="","",[1]Digesters!Z15)</f>
        <v>307403</v>
      </c>
      <c r="K15" s="1202">
        <f>IF([1]Digesters!AB15="","",[1]Digesters!AB15)</f>
        <v>192902</v>
      </c>
      <c r="L15" s="1205">
        <f>IF([1]Digesters!C15="","",[1]Digesters!C15)</f>
        <v>634</v>
      </c>
      <c r="M15" s="1153">
        <f>IF([1]Digesters!B15="","",[1]Digesters!B15)</f>
        <v>159</v>
      </c>
      <c r="N15" s="1153">
        <f t="shared" si="20"/>
        <v>82.354353665829066</v>
      </c>
      <c r="O15" s="1154" t="str">
        <f>IF([2]DIG!AG15="","",[2]DIG!AG15)</f>
        <v/>
      </c>
      <c r="P15" s="1154" t="str">
        <f>IF([2]DIG!AH15="","",[2]DIG!AH15)</f>
        <v/>
      </c>
      <c r="Q15" s="1153" t="str">
        <f t="shared" si="21"/>
        <v/>
      </c>
      <c r="R15" s="1165" t="str">
        <f t="shared" si="22"/>
        <v/>
      </c>
      <c r="S15" s="1172">
        <f>IF([1]Digesters!E15="","",[1]Digesters!E15)</f>
        <v>637</v>
      </c>
      <c r="T15" s="1153">
        <f>IF([1]Digesters!D15="","",[1]Digesters!D15)</f>
        <v>159</v>
      </c>
      <c r="U15" s="1153">
        <f t="shared" si="7"/>
        <v>82.360898472707518</v>
      </c>
      <c r="V15" s="1156" t="str">
        <f>IF([2]DIG!AJ15="","",[2]DIG!AJ15)</f>
        <v/>
      </c>
      <c r="W15" s="1156" t="str">
        <f>IF([2]DIG!AK15="","",[2]DIG!AK15)</f>
        <v/>
      </c>
      <c r="X15" s="1153" t="str">
        <f t="shared" si="8"/>
        <v/>
      </c>
      <c r="Y15" s="1180" t="str">
        <f t="shared" si="9"/>
        <v/>
      </c>
      <c r="Z15" s="1205">
        <f>IF([1]Digesters!F15="","",[1]Digesters!F15)</f>
        <v>949</v>
      </c>
      <c r="AA15" s="1153">
        <f t="shared" si="23"/>
        <v>75.429975429975414</v>
      </c>
      <c r="AB15" s="1154" t="str">
        <f>IF([2]DIG!AM15="","",[2]DIG!AM15)</f>
        <v/>
      </c>
      <c r="AC15" s="1154" t="str">
        <f>IF([2]DIG!AN15="","",[2]DIG!AN15)</f>
        <v/>
      </c>
      <c r="AD15" s="1153" t="str">
        <f t="shared" si="24"/>
        <v/>
      </c>
      <c r="AE15" s="1165" t="str">
        <f t="shared" si="25"/>
        <v/>
      </c>
      <c r="AF15" s="1175">
        <v>12</v>
      </c>
      <c r="AG15" s="1205">
        <f>IF([1]Digesters!I15="","",[1]Digesters!I15)</f>
        <v>650</v>
      </c>
      <c r="AH15" s="1153">
        <f>IF([1]Digesters!H15="","",[1]Digesters!H15)</f>
        <v>150</v>
      </c>
      <c r="AI15" s="1153">
        <f t="shared" si="26"/>
        <v>82.466984029484024</v>
      </c>
      <c r="AJ15" s="1156" t="str">
        <f>IF([2]DIG!AP15="","",[2]DIG!AP15)</f>
        <v/>
      </c>
      <c r="AK15" s="1156" t="str">
        <f>IF([2]DIG!AQ15="","",[2]DIG!AQ15)</f>
        <v/>
      </c>
      <c r="AL15" s="1153" t="str">
        <f t="shared" si="27"/>
        <v/>
      </c>
      <c r="AM15" s="1165" t="str">
        <f t="shared" si="28"/>
        <v/>
      </c>
      <c r="AN15" s="1172">
        <f>IF([1]Digesters!K15="","",[1]Digesters!K15)</f>
        <v>625</v>
      </c>
      <c r="AO15" s="1153">
        <f>IF([1]Digesters!J15="","",[1]Digesters!J15)</f>
        <v>150</v>
      </c>
      <c r="AP15" s="1153">
        <f t="shared" si="29"/>
        <v>82.414599350083222</v>
      </c>
      <c r="AQ15" s="1156" t="str">
        <f>IF([2]DIG!AS15="","",[2]DIG!AS15)</f>
        <v/>
      </c>
      <c r="AR15" s="1156" t="str">
        <f>IF([2]DIG!AT15="","",[2]DIG!AT15)</f>
        <v/>
      </c>
      <c r="AS15" s="1153" t="str">
        <f t="shared" si="30"/>
        <v/>
      </c>
      <c r="AT15" s="1180" t="str">
        <f t="shared" si="31"/>
        <v/>
      </c>
      <c r="AU15" s="1205">
        <f>IF([1]Digesters!M15="","",[1]Digesters!M15)</f>
        <v>662</v>
      </c>
      <c r="AV15" s="1153">
        <f>IF([1]Digesters!L15="","",[1]Digesters!L15)</f>
        <v>148</v>
      </c>
      <c r="AW15" s="1153">
        <f t="shared" si="32"/>
        <v>82.508417508417523</v>
      </c>
      <c r="AX15" s="1156" t="str">
        <f>IF([2]DIG!AV15="","",[2]DIG!AV15)</f>
        <v/>
      </c>
      <c r="AY15" s="1156" t="str">
        <f>IF([2]DIG!AW15="","",[2]DIG!AW15)</f>
        <v/>
      </c>
      <c r="AZ15" s="1153" t="str">
        <f t="shared" si="33"/>
        <v/>
      </c>
      <c r="BA15" s="1165" t="str">
        <f t="shared" si="34"/>
        <v/>
      </c>
      <c r="BB15" s="1172" t="str">
        <f t="shared" si="35"/>
        <v/>
      </c>
      <c r="BC15" s="1156" t="str">
        <f>IF([2]DIG!AA15="","",[2]DIG!AA15)</f>
        <v/>
      </c>
      <c r="BD15" s="1156" t="str">
        <f>IF([2]DIG!AB15="","",[2]DIG!AB15)</f>
        <v/>
      </c>
      <c r="BE15" s="1153" t="str">
        <f t="shared" si="36"/>
        <v/>
      </c>
      <c r="BF15" s="1214" t="str">
        <f t="shared" si="37"/>
        <v/>
      </c>
      <c r="BG15" s="1205" t="str">
        <f t="shared" si="38"/>
        <v/>
      </c>
      <c r="BH15" s="1156" t="str">
        <f>IF([2]DIG!AD15="","",[2]DIG!AD15)</f>
        <v/>
      </c>
      <c r="BI15" s="1156" t="str">
        <f>IF([2]DIG!AE15="","",([2]DIG!AE15))</f>
        <v/>
      </c>
      <c r="BJ15" s="1153" t="str">
        <f t="shared" si="39"/>
        <v/>
      </c>
      <c r="BK15" s="1217" t="str">
        <f t="shared" si="40"/>
        <v/>
      </c>
      <c r="BL15" s="1223" t="str">
        <f>IF([2]BP_GB!B15="","",[2]BP_GB!B15)</f>
        <v/>
      </c>
      <c r="BM15" s="1156" t="str">
        <f>IF([2]BP_GB!C15="","",[2]BP_GB!C15)</f>
        <v/>
      </c>
      <c r="BN15" s="1165"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5">
        <v>13</v>
      </c>
      <c r="B16" s="1172">
        <f t="shared" si="16"/>
        <v>81.868470271216211</v>
      </c>
      <c r="C16" s="1180" t="str">
        <f t="shared" si="17"/>
        <v/>
      </c>
      <c r="D16" s="1193">
        <f>IF([2]PRI_SLG!B16="","",[2]PRI_SLG!B16)</f>
        <v>3.67</v>
      </c>
      <c r="E16" s="1154">
        <f>IF([2]PRI_SLG!C16="","",[2]PRI_SLG!C16)</f>
        <v>3.12</v>
      </c>
      <c r="F16" s="1165">
        <f t="shared" si="18"/>
        <v>85.013623978201636</v>
      </c>
      <c r="G16" s="1190">
        <f>IF([2]TWAS!B16="","",[2]TWAS!B16)</f>
        <v>3.95</v>
      </c>
      <c r="H16" s="1154">
        <f>IF([2]TWAS!C16="","",[2]TWAS!C16)</f>
        <v>2.98</v>
      </c>
      <c r="I16" s="1180">
        <f t="shared" si="19"/>
        <v>75.443037974683534</v>
      </c>
      <c r="J16" s="1196">
        <f>IF([1]Digesters!Z16="","",[1]Digesters!Z16)</f>
        <v>436906</v>
      </c>
      <c r="K16" s="1202">
        <f>IF([1]Digesters!AB16="","",[1]Digesters!AB16)</f>
        <v>213859</v>
      </c>
      <c r="L16" s="1205">
        <f>IF([1]Digesters!C16="","",[1]Digesters!C16)</f>
        <v>909</v>
      </c>
      <c r="M16" s="1153">
        <f>IF([1]Digesters!B16="","",[1]Digesters!B16)</f>
        <v>170</v>
      </c>
      <c r="N16" s="1153">
        <f t="shared" si="20"/>
        <v>83.505746665321126</v>
      </c>
      <c r="O16" s="1154" t="str">
        <f>IF([2]DIG!AG16="","",[2]DIG!AG16)</f>
        <v/>
      </c>
      <c r="P16" s="1154" t="str">
        <f>IF([2]DIG!AH16="","",[2]DIG!AH16)</f>
        <v/>
      </c>
      <c r="Q16" s="1153" t="str">
        <f t="shared" si="21"/>
        <v/>
      </c>
      <c r="R16" s="1165" t="str">
        <f t="shared" si="22"/>
        <v/>
      </c>
      <c r="S16" s="1172">
        <f>IF([1]Digesters!E16="","",[1]Digesters!E16)</f>
        <v>938</v>
      </c>
      <c r="T16" s="1153">
        <f>IF([1]Digesters!D16="","",[1]Digesters!D16)</f>
        <v>171</v>
      </c>
      <c r="U16" s="1153">
        <f t="shared" si="7"/>
        <v>83.53790692986837</v>
      </c>
      <c r="V16" s="1156" t="str">
        <f>IF([2]DIG!AJ16="","",[2]DIG!AJ16)</f>
        <v/>
      </c>
      <c r="W16" s="1156" t="str">
        <f>IF([2]DIG!AK16="","",[2]DIG!AK16)</f>
        <v/>
      </c>
      <c r="X16" s="1153" t="str">
        <f t="shared" si="8"/>
        <v/>
      </c>
      <c r="Y16" s="1180" t="str">
        <f t="shared" si="9"/>
        <v/>
      </c>
      <c r="Z16" s="1205">
        <f>IF([1]Digesters!F16="","",[1]Digesters!F16)</f>
        <v>1203</v>
      </c>
      <c r="AA16" s="1153">
        <f t="shared" si="23"/>
        <v>75.443037974683534</v>
      </c>
      <c r="AB16" s="1154" t="str">
        <f>IF([2]DIG!AM16="","",[2]DIG!AM16)</f>
        <v/>
      </c>
      <c r="AC16" s="1154" t="str">
        <f>IF([2]DIG!AN16="","",[2]DIG!AN16)</f>
        <v/>
      </c>
      <c r="AD16" s="1153" t="str">
        <f t="shared" si="24"/>
        <v/>
      </c>
      <c r="AE16" s="1165" t="str">
        <f t="shared" si="25"/>
        <v/>
      </c>
      <c r="AF16" s="1175">
        <v>13</v>
      </c>
      <c r="AG16" s="1205">
        <f>IF([1]Digesters!I16="","",[1]Digesters!I16)</f>
        <v>959</v>
      </c>
      <c r="AH16" s="1153">
        <f>IF([1]Digesters!H16="","",[1]Digesters!H16)</f>
        <v>188</v>
      </c>
      <c r="AI16" s="1153">
        <f t="shared" si="26"/>
        <v>83.444949027319851</v>
      </c>
      <c r="AJ16" s="1156" t="str">
        <f>IF([2]DIG!AP16="","",[2]DIG!AP16)</f>
        <v/>
      </c>
      <c r="AK16" s="1156" t="str">
        <f>IF([2]DIG!AQ16="","",[2]DIG!AQ16)</f>
        <v/>
      </c>
      <c r="AL16" s="1153" t="str">
        <f t="shared" si="27"/>
        <v/>
      </c>
      <c r="AM16" s="1165" t="str">
        <f t="shared" si="28"/>
        <v/>
      </c>
      <c r="AN16" s="1172">
        <f>IF([1]Digesters!K16="","",[1]Digesters!K16)</f>
        <v>886</v>
      </c>
      <c r="AO16" s="1153">
        <f>IF([1]Digesters!J16="","",[1]Digesters!J16)</f>
        <v>179</v>
      </c>
      <c r="AP16" s="1153">
        <f t="shared" si="29"/>
        <v>83.405046612352123</v>
      </c>
      <c r="AQ16" s="1156" t="str">
        <f>IF([2]DIG!AS16="","",[2]DIG!AS16)</f>
        <v/>
      </c>
      <c r="AR16" s="1156" t="str">
        <f>IF([2]DIG!AT16="","",[2]DIG!AT16)</f>
        <v/>
      </c>
      <c r="AS16" s="1153" t="str">
        <f t="shared" si="30"/>
        <v/>
      </c>
      <c r="AT16" s="1180" t="str">
        <f t="shared" si="31"/>
        <v/>
      </c>
      <c r="AU16" s="1205">
        <f>IF([1]Digesters!M16="","",[1]Digesters!M16)</f>
        <v>910</v>
      </c>
      <c r="AV16" s="1153">
        <f>IF([1]Digesters!L16="","",[1]Digesters!L16)</f>
        <v>177</v>
      </c>
      <c r="AW16" s="1153">
        <f t="shared" si="32"/>
        <v>83.45521208986429</v>
      </c>
      <c r="AX16" s="1156" t="str">
        <f>IF([2]DIG!AV16="","",[2]DIG!AV16)</f>
        <v/>
      </c>
      <c r="AY16" s="1156" t="str">
        <f>IF([2]DIG!AW16="","",[2]DIG!AW16)</f>
        <v/>
      </c>
      <c r="AZ16" s="1153" t="str">
        <f t="shared" si="33"/>
        <v/>
      </c>
      <c r="BA16" s="1165" t="str">
        <f t="shared" si="34"/>
        <v/>
      </c>
      <c r="BB16" s="1172" t="str">
        <f t="shared" si="35"/>
        <v/>
      </c>
      <c r="BC16" s="1156" t="str">
        <f>IF([2]DIG!AA16="","",[2]DIG!AA16)</f>
        <v/>
      </c>
      <c r="BD16" s="1156" t="str">
        <f>IF([2]DIG!AB16="","",[2]DIG!AB16)</f>
        <v/>
      </c>
      <c r="BE16" s="1153" t="str">
        <f t="shared" si="36"/>
        <v/>
      </c>
      <c r="BF16" s="1214" t="str">
        <f t="shared" si="37"/>
        <v/>
      </c>
      <c r="BG16" s="1205" t="str">
        <f t="shared" si="38"/>
        <v/>
      </c>
      <c r="BH16" s="1156" t="str">
        <f>IF([2]DIG!AD16="","",[2]DIG!AD16)</f>
        <v/>
      </c>
      <c r="BI16" s="1156" t="str">
        <f>IF([2]DIG!AE16="","",([2]DIG!AE16))</f>
        <v/>
      </c>
      <c r="BJ16" s="1153" t="str">
        <f t="shared" si="39"/>
        <v/>
      </c>
      <c r="BK16" s="1217" t="str">
        <f t="shared" si="40"/>
        <v/>
      </c>
      <c r="BL16" s="1223" t="str">
        <f>IF([2]BP_GB!B16="","",[2]BP_GB!B16)</f>
        <v/>
      </c>
      <c r="BM16" s="1156" t="str">
        <f>IF([2]BP_GB!C16="","",[2]BP_GB!C16)</f>
        <v/>
      </c>
      <c r="BN16" s="1165" t="str">
        <f t="shared" si="41"/>
        <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5">
        <v>14</v>
      </c>
      <c r="B17" s="1172">
        <f t="shared" si="16"/>
        <v>82.445282795547314</v>
      </c>
      <c r="C17" s="1180" t="str">
        <f t="shared" si="17"/>
        <v/>
      </c>
      <c r="D17" s="1193">
        <f>IF([2]PRI_SLG!B17="","",[2]PRI_SLG!B17)</f>
        <v>3.2</v>
      </c>
      <c r="E17" s="1154">
        <f>IF([2]PRI_SLG!C17="","",[2]PRI_SLG!C17)</f>
        <v>2.78</v>
      </c>
      <c r="F17" s="1165">
        <f t="shared" si="18"/>
        <v>86.874999999999986</v>
      </c>
      <c r="G17" s="1190">
        <f>IF([2]TWAS!B17="","",[2]TWAS!B17)</f>
        <v>3.66</v>
      </c>
      <c r="H17" s="1154">
        <f>IF([2]TWAS!C17="","",[2]TWAS!C17)</f>
        <v>2.77</v>
      </c>
      <c r="I17" s="1180">
        <f t="shared" si="19"/>
        <v>75.683060109289613</v>
      </c>
      <c r="J17" s="1196">
        <f>IF([1]Digesters!Z17="","",[1]Digesters!Z17)</f>
        <v>302167</v>
      </c>
      <c r="K17" s="1202">
        <f>IF([1]Digesters!AB17="","",[1]Digesters!AB17)</f>
        <v>197940</v>
      </c>
      <c r="L17" s="1205">
        <f>IF([1]Digesters!C17="","",[1]Digesters!C17)</f>
        <v>601</v>
      </c>
      <c r="M17" s="1153">
        <f>IF([1]Digesters!B17="","",[1]Digesters!B17)</f>
        <v>171</v>
      </c>
      <c r="N17" s="1153">
        <f t="shared" si="20"/>
        <v>84.395956319544709</v>
      </c>
      <c r="O17" s="1154" t="str">
        <f>IF([2]DIG!AG17="","",[2]DIG!AG17)</f>
        <v/>
      </c>
      <c r="P17" s="1154" t="str">
        <f>IF([2]DIG!AH17="","",[2]DIG!AH17)</f>
        <v/>
      </c>
      <c r="Q17" s="1153" t="str">
        <f t="shared" si="21"/>
        <v/>
      </c>
      <c r="R17" s="1165" t="str">
        <f t="shared" si="22"/>
        <v/>
      </c>
      <c r="S17" s="1172">
        <f>IF([1]Digesters!E17="","",[1]Digesters!E17)</f>
        <v>625</v>
      </c>
      <c r="T17" s="1153">
        <f>IF([1]Digesters!D17="","",[1]Digesters!D17)</f>
        <v>172</v>
      </c>
      <c r="U17" s="1153">
        <f t="shared" si="7"/>
        <v>84.459675456458967</v>
      </c>
      <c r="V17" s="1156" t="str">
        <f>IF([2]DIG!AJ17="","",[2]DIG!AJ17)</f>
        <v/>
      </c>
      <c r="W17" s="1156" t="str">
        <f>IF([2]DIG!AK17="","",[2]DIG!AK17)</f>
        <v/>
      </c>
      <c r="X17" s="1153" t="str">
        <f t="shared" si="8"/>
        <v/>
      </c>
      <c r="Y17" s="1180" t="str">
        <f t="shared" si="9"/>
        <v/>
      </c>
      <c r="Z17" s="1205">
        <f>IF([1]Digesters!F17="","",[1]Digesters!F17)</f>
        <v>1017</v>
      </c>
      <c r="AA17" s="1153">
        <f t="shared" si="23"/>
        <v>75.683060109289613</v>
      </c>
      <c r="AB17" s="1154" t="str">
        <f>IF([2]DIG!AM17="","",[2]DIG!AM17)</f>
        <v/>
      </c>
      <c r="AC17" s="1154" t="str">
        <f>IF([2]DIG!AN17="","",[2]DIG!AN17)</f>
        <v/>
      </c>
      <c r="AD17" s="1153" t="str">
        <f t="shared" si="24"/>
        <v/>
      </c>
      <c r="AE17" s="1165" t="str">
        <f t="shared" si="25"/>
        <v/>
      </c>
      <c r="AF17" s="1175">
        <v>14</v>
      </c>
      <c r="AG17" s="1205">
        <f>IF([1]Digesters!I17="","",[1]Digesters!I17)</f>
        <v>637</v>
      </c>
      <c r="AH17" s="1153">
        <f>IF([1]Digesters!H17="","",[1]Digesters!H17)</f>
        <v>163</v>
      </c>
      <c r="AI17" s="1153">
        <f t="shared" si="26"/>
        <v>84.594642247267757</v>
      </c>
      <c r="AJ17" s="1156" t="str">
        <f>IF([2]DIG!AP17="","",[2]DIG!AP17)</f>
        <v/>
      </c>
      <c r="AK17" s="1156" t="str">
        <f>IF([2]DIG!AQ17="","",[2]DIG!AQ17)</f>
        <v/>
      </c>
      <c r="AL17" s="1153" t="str">
        <f t="shared" si="27"/>
        <v/>
      </c>
      <c r="AM17" s="1165" t="str">
        <f t="shared" si="28"/>
        <v/>
      </c>
      <c r="AN17" s="1172">
        <f>IF([1]Digesters!K17="","",[1]Digesters!K17)</f>
        <v>627</v>
      </c>
      <c r="AO17" s="1153">
        <f>IF([1]Digesters!J17="","",[1]Digesters!J17)</f>
        <v>150</v>
      </c>
      <c r="AP17" s="1153">
        <f t="shared" si="29"/>
        <v>84.714393843492189</v>
      </c>
      <c r="AQ17" s="1156" t="str">
        <f>IF([2]DIG!AS17="","",[2]DIG!AS17)</f>
        <v/>
      </c>
      <c r="AR17" s="1156" t="str">
        <f>IF([2]DIG!AT17="","",[2]DIG!AT17)</f>
        <v/>
      </c>
      <c r="AS17" s="1153" t="str">
        <f t="shared" si="30"/>
        <v/>
      </c>
      <c r="AT17" s="1180" t="str">
        <f t="shared" si="31"/>
        <v/>
      </c>
      <c r="AU17" s="1205">
        <f>IF([1]Digesters!M17="","",[1]Digesters!M17)</f>
        <v>617</v>
      </c>
      <c r="AV17" s="1153">
        <f>IF([1]Digesters!L17="","",[1]Digesters!L17)</f>
        <v>167</v>
      </c>
      <c r="AW17" s="1153">
        <f t="shared" si="32"/>
        <v>84.491002599810415</v>
      </c>
      <c r="AX17" s="1156" t="str">
        <f>IF([2]DIG!AV17="","",[2]DIG!AV17)</f>
        <v/>
      </c>
      <c r="AY17" s="1156" t="str">
        <f>IF([2]DIG!AW17="","",[2]DIG!AW17)</f>
        <v/>
      </c>
      <c r="AZ17" s="1153" t="str">
        <f t="shared" si="33"/>
        <v/>
      </c>
      <c r="BA17" s="1165" t="str">
        <f t="shared" si="34"/>
        <v/>
      </c>
      <c r="BB17" s="1172" t="str">
        <f t="shared" si="35"/>
        <v/>
      </c>
      <c r="BC17" s="1156" t="str">
        <f>IF([2]DIG!AA17="","",[2]DIG!AA17)</f>
        <v/>
      </c>
      <c r="BD17" s="1156" t="str">
        <f>IF([2]DIG!AB17="","",[2]DIG!AB17)</f>
        <v/>
      </c>
      <c r="BE17" s="1153" t="str">
        <f t="shared" si="36"/>
        <v/>
      </c>
      <c r="BF17" s="1214" t="str">
        <f t="shared" si="37"/>
        <v/>
      </c>
      <c r="BG17" s="1205" t="str">
        <f t="shared" si="38"/>
        <v/>
      </c>
      <c r="BH17" s="1156" t="str">
        <f>IF([2]DIG!AD17="","",[2]DIG!AD17)</f>
        <v/>
      </c>
      <c r="BI17" s="1156" t="str">
        <f>IF([2]DIG!AE17="","",([2]DIG!AE17))</f>
        <v/>
      </c>
      <c r="BJ17" s="1153" t="str">
        <f t="shared" si="39"/>
        <v/>
      </c>
      <c r="BK17" s="1217" t="str">
        <f t="shared" si="40"/>
        <v/>
      </c>
      <c r="BL17" s="1223" t="str">
        <f>IF([2]BP_GB!B17="","",[2]BP_GB!B17)</f>
        <v/>
      </c>
      <c r="BM17" s="1156" t="str">
        <f>IF([2]BP_GB!C17="","",[2]BP_GB!C17)</f>
        <v/>
      </c>
      <c r="BN17" s="1165" t="str">
        <f t="shared" si="41"/>
        <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5">
        <v>15</v>
      </c>
      <c r="B18" s="1172">
        <f t="shared" si="16"/>
        <v>82.924127636293193</v>
      </c>
      <c r="C18" s="1180">
        <f t="shared" si="17"/>
        <v>74.465716632116568</v>
      </c>
      <c r="D18" s="1193">
        <f>IF([2]PRI_SLG!B18="","",[2]PRI_SLG!B18)</f>
        <v>2.29</v>
      </c>
      <c r="E18" s="1154">
        <f>IF([2]PRI_SLG!C18="","",[2]PRI_SLG!C18)</f>
        <v>2</v>
      </c>
      <c r="F18" s="1165">
        <f t="shared" si="18"/>
        <v>87.336244541484717</v>
      </c>
      <c r="G18" s="1190">
        <f>IF([2]TWAS!B18="","",[2]TWAS!B18)</f>
        <v>3.85</v>
      </c>
      <c r="H18" s="1154">
        <f>IF([2]TWAS!C18="","",[2]TWAS!C18)</f>
        <v>2.86</v>
      </c>
      <c r="I18" s="1180">
        <f t="shared" si="19"/>
        <v>74.285714285714278</v>
      </c>
      <c r="J18" s="1196">
        <f>IF([1]Digesters!Z18="","",[1]Digesters!Z18)</f>
        <v>405282</v>
      </c>
      <c r="K18" s="1202">
        <f>IF([1]Digesters!AB18="","",[1]Digesters!AB18)</f>
        <v>207000</v>
      </c>
      <c r="L18" s="1205">
        <f>IF([1]Digesters!C18="","",[1]Digesters!C18)</f>
        <v>784</v>
      </c>
      <c r="M18" s="1153">
        <f>IF([1]Digesters!B18="","",[1]Digesters!B18)</f>
        <v>158</v>
      </c>
      <c r="N18" s="1153">
        <f t="shared" si="20"/>
        <v>85.147302099434043</v>
      </c>
      <c r="O18" s="1154">
        <f>IF([2]DIG!AG18="","",[2]DIG!AG18)</f>
        <v>2.14</v>
      </c>
      <c r="P18" s="1154">
        <f>IF([2]DIG!AH18="","",[2]DIG!AH18)</f>
        <v>1.0900000000000001</v>
      </c>
      <c r="Q18" s="1153">
        <f t="shared" si="21"/>
        <v>50.934579439252339</v>
      </c>
      <c r="R18" s="1165">
        <f t="shared" si="22"/>
        <v>81.891951261780321</v>
      </c>
      <c r="S18" s="1172">
        <f>IF([1]Digesters!E18="","",[1]Digesters!E18)</f>
        <v>787</v>
      </c>
      <c r="T18" s="1153">
        <f>IF([1]Digesters!D18="","",[1]Digesters!D18)</f>
        <v>159</v>
      </c>
      <c r="U18" s="1153">
        <f t="shared" si="7"/>
        <v>85.142762183485246</v>
      </c>
      <c r="V18" s="1156">
        <f>IF([2]DIG!AJ18="","",[2]DIG!AJ18)</f>
        <v>1.94</v>
      </c>
      <c r="W18" s="1156">
        <f>IF([2]DIG!AK18="","",[2]DIG!AK18)</f>
        <v>1.02</v>
      </c>
      <c r="X18" s="1153">
        <f t="shared" si="8"/>
        <v>52.577319587628871</v>
      </c>
      <c r="Y18" s="1180">
        <f t="shared" si="9"/>
        <v>80.653487685793252</v>
      </c>
      <c r="Z18" s="1205">
        <f>IF([1]Digesters!F18="","",[1]Digesters!F18)</f>
        <v>1178</v>
      </c>
      <c r="AA18" s="1153">
        <f t="shared" si="23"/>
        <v>74.285714285714278</v>
      </c>
      <c r="AB18" s="1154">
        <f>IF([2]DIG!AM18="","",[2]DIG!AM18)</f>
        <v>2.44</v>
      </c>
      <c r="AC18" s="1154">
        <f>IF([2]DIG!AN18="","",[2]DIG!AN18)</f>
        <v>1.51</v>
      </c>
      <c r="AD18" s="1153">
        <f t="shared" si="24"/>
        <v>61.885245901639344</v>
      </c>
      <c r="AE18" s="1165">
        <f t="shared" si="25"/>
        <v>43.796526054590565</v>
      </c>
      <c r="AF18" s="1175">
        <v>15</v>
      </c>
      <c r="AG18" s="1205">
        <f>IF([1]Digesters!I18="","",[1]Digesters!I18)</f>
        <v>818</v>
      </c>
      <c r="AH18" s="1153">
        <f>IF([1]Digesters!H18="","",[1]Digesters!H18)</f>
        <v>175</v>
      </c>
      <c r="AI18" s="1153">
        <f t="shared" si="26"/>
        <v>85.036302149984394</v>
      </c>
      <c r="AJ18" s="1156">
        <f>IF([2]DIG!AP18="","",[2]DIG!AP18)</f>
        <v>2.12</v>
      </c>
      <c r="AK18" s="1156">
        <f>IF([2]DIG!AQ18="","",[2]DIG!AQ18)</f>
        <v>1.1200000000000001</v>
      </c>
      <c r="AL18" s="1153">
        <f t="shared" si="27"/>
        <v>52.830188679245282</v>
      </c>
      <c r="AM18" s="1165">
        <f t="shared" si="28"/>
        <v>80.291544707038327</v>
      </c>
      <c r="AN18" s="1172">
        <f>IF([1]Digesters!K18="","",[1]Digesters!K18)</f>
        <v>792</v>
      </c>
      <c r="AO18" s="1153">
        <f>IF([1]Digesters!J18="","",[1]Digesters!J18)</f>
        <v>173</v>
      </c>
      <c r="AP18" s="1153">
        <f t="shared" si="29"/>
        <v>84.99661580133106</v>
      </c>
      <c r="AQ18" s="1156">
        <f>IF([2]DIG!AS18="","",[2]DIG!AS18)</f>
        <v>1.98</v>
      </c>
      <c r="AR18" s="1156">
        <f>IF([2]DIG!AT18="","",[2]DIG!AT18)</f>
        <v>1.08</v>
      </c>
      <c r="AS18" s="1153">
        <f t="shared" si="30"/>
        <v>54.545454545454554</v>
      </c>
      <c r="AT18" s="1180">
        <f t="shared" si="31"/>
        <v>78.817908373569878</v>
      </c>
      <c r="AU18" s="1205">
        <f>IF([1]Digesters!M18="","",[1]Digesters!M18)</f>
        <v>800</v>
      </c>
      <c r="AV18" s="1153">
        <f>IF([1]Digesters!L18="","",[1]Digesters!L18)</f>
        <v>147</v>
      </c>
      <c r="AW18" s="1153">
        <f t="shared" si="32"/>
        <v>85.310449454263761</v>
      </c>
      <c r="AX18" s="1156">
        <f>IF([2]DIG!AV18="","",[2]DIG!AV18)</f>
        <v>2.0099999999999998</v>
      </c>
      <c r="AY18" s="1156">
        <f>IF([2]DIG!AW18="","",[2]DIG!AW18)</f>
        <v>1.1100000000000001</v>
      </c>
      <c r="AZ18" s="1153">
        <f t="shared" si="33"/>
        <v>55.22388059701494</v>
      </c>
      <c r="BA18" s="1165">
        <f t="shared" si="34"/>
        <v>78.763313925037707</v>
      </c>
      <c r="BB18" s="1172">
        <f t="shared" si="35"/>
        <v>52.11402923537549</v>
      </c>
      <c r="BC18" s="1156">
        <f>IF([2]DIG!AA18="","",[2]DIG!AA18)</f>
        <v>1.9</v>
      </c>
      <c r="BD18" s="1156">
        <f>IF([2]DIG!AB18="","",[2]DIG!AB18)</f>
        <v>0.91</v>
      </c>
      <c r="BE18" s="1153">
        <f t="shared" si="36"/>
        <v>47.894736842105267</v>
      </c>
      <c r="BF18" s="1214">
        <f t="shared" si="37"/>
        <v>15.538295512133226</v>
      </c>
      <c r="BG18" s="1205">
        <f t="shared" si="38"/>
        <v>52.11402923537549</v>
      </c>
      <c r="BH18" s="1156">
        <f>IF([2]DIG!AD18="","",[2]DIG!AD18)</f>
        <v>1.74</v>
      </c>
      <c r="BI18" s="1156">
        <f>IF([2]DIG!AE18="","",([2]DIG!AE18))</f>
        <v>0.97</v>
      </c>
      <c r="BJ18" s="1153">
        <f t="shared" si="39"/>
        <v>55.747126436781613</v>
      </c>
      <c r="BK18" s="1217">
        <f t="shared" si="40"/>
        <v>-15.753638960608621</v>
      </c>
      <c r="BL18" s="1223">
        <f>IF([2]BP_GB!B18="","",[2]BP_GB!B18)</f>
        <v>1.68</v>
      </c>
      <c r="BM18" s="1156">
        <f>IF([2]BP_GB!C18="","",[2]BP_GB!C18)</f>
        <v>0.93</v>
      </c>
      <c r="BN18" s="1165">
        <f t="shared" si="41"/>
        <v>55.357142857142861</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5">
        <v>16</v>
      </c>
      <c r="B19" s="1172">
        <f t="shared" si="16"/>
        <v>78.825536913668387</v>
      </c>
      <c r="C19" s="1180" t="str">
        <f t="shared" si="17"/>
        <v/>
      </c>
      <c r="D19" s="1193">
        <f>IF([2]PRI_SLG!B19="","",[2]PRI_SLG!B19)</f>
        <v>2.8</v>
      </c>
      <c r="E19" s="1154">
        <f>IF([2]PRI_SLG!C19="","",[2]PRI_SLG!C19)</f>
        <v>2.27</v>
      </c>
      <c r="F19" s="1165">
        <f t="shared" si="18"/>
        <v>81.071428571428569</v>
      </c>
      <c r="G19" s="1190">
        <f>IF([2]TWAS!B19="","",[2]TWAS!B19)</f>
        <v>4.05</v>
      </c>
      <c r="H19" s="1154">
        <f>IF([2]TWAS!C19="","",[2]TWAS!C19)</f>
        <v>3</v>
      </c>
      <c r="I19" s="1180">
        <f t="shared" si="19"/>
        <v>74.074074074074076</v>
      </c>
      <c r="J19" s="1196">
        <f>IF([1]Digesters!Z19="","",[1]Digesters!Z19)</f>
        <v>402049</v>
      </c>
      <c r="K19" s="1202">
        <f>IF([1]Digesters!AB19="","",[1]Digesters!AB19)</f>
        <v>190038</v>
      </c>
      <c r="L19" s="1205">
        <f>IF([1]Digesters!C19="","",[1]Digesters!C19)</f>
        <v>770</v>
      </c>
      <c r="M19" s="1153">
        <f>IF([1]Digesters!B19="","",[1]Digesters!B19)</f>
        <v>159</v>
      </c>
      <c r="N19" s="1153">
        <f t="shared" si="20"/>
        <v>79.87381892118168</v>
      </c>
      <c r="O19" s="1154" t="str">
        <f>IF([2]DIG!AG19="","",[2]DIG!AG19)</f>
        <v/>
      </c>
      <c r="P19" s="1154" t="str">
        <f>IF([2]DIG!AH19="","",[2]DIG!AH19)</f>
        <v/>
      </c>
      <c r="Q19" s="1153" t="str">
        <f t="shared" si="21"/>
        <v/>
      </c>
      <c r="R19" s="1165" t="str">
        <f t="shared" si="22"/>
        <v/>
      </c>
      <c r="S19" s="1172">
        <f>IF([1]Digesters!E19="","",[1]Digesters!E19)</f>
        <v>781</v>
      </c>
      <c r="T19" s="1153">
        <f>IF([1]Digesters!D19="","",[1]Digesters!D19)</f>
        <v>159</v>
      </c>
      <c r="U19" s="1153">
        <f t="shared" si="7"/>
        <v>79.887833502195193</v>
      </c>
      <c r="V19" s="1156" t="str">
        <f>IF([2]DIG!AJ19="","",[2]DIG!AJ19)</f>
        <v/>
      </c>
      <c r="W19" s="1156" t="str">
        <f>IF([2]DIG!AK19="","",[2]DIG!AK19)</f>
        <v/>
      </c>
      <c r="X19" s="1153" t="str">
        <f t="shared" si="8"/>
        <v/>
      </c>
      <c r="Y19" s="1180" t="str">
        <f t="shared" si="9"/>
        <v/>
      </c>
      <c r="Z19" s="1205">
        <f>IF([1]Digesters!F19="","",[1]Digesters!F19)</f>
        <v>952</v>
      </c>
      <c r="AA19" s="1153">
        <f t="shared" si="23"/>
        <v>74.074074074074076</v>
      </c>
      <c r="AB19" s="1154" t="str">
        <f>IF([2]DIG!AM19="","",[2]DIG!AM19)</f>
        <v/>
      </c>
      <c r="AC19" s="1154" t="str">
        <f>IF([2]DIG!AN19="","",[2]DIG!AN19)</f>
        <v/>
      </c>
      <c r="AD19" s="1153" t="str">
        <f t="shared" si="24"/>
        <v/>
      </c>
      <c r="AE19" s="1165" t="str">
        <f t="shared" si="25"/>
        <v/>
      </c>
      <c r="AF19" s="1175">
        <v>16</v>
      </c>
      <c r="AG19" s="1205">
        <f>IF([1]Digesters!I19="","",[1]Digesters!I19)</f>
        <v>815</v>
      </c>
      <c r="AH19" s="1153">
        <f>IF([1]Digesters!H19="","",[1]Digesters!H19)</f>
        <v>149</v>
      </c>
      <c r="AI19" s="1153">
        <f t="shared" si="26"/>
        <v>79.989887264264866</v>
      </c>
      <c r="AJ19" s="1156" t="str">
        <f>IF([2]DIG!AP19="","",[2]DIG!AP19)</f>
        <v/>
      </c>
      <c r="AK19" s="1156" t="str">
        <f>IF([2]DIG!AQ19="","",[2]DIG!AQ19)</f>
        <v/>
      </c>
      <c r="AL19" s="1153" t="str">
        <f t="shared" si="27"/>
        <v/>
      </c>
      <c r="AM19" s="1165" t="str">
        <f t="shared" si="28"/>
        <v/>
      </c>
      <c r="AN19" s="1172">
        <f>IF([1]Digesters!K19="","",[1]Digesters!K19)</f>
        <v>812</v>
      </c>
      <c r="AO19" s="1153">
        <f>IF([1]Digesters!J19="","",[1]Digesters!J19)</f>
        <v>150</v>
      </c>
      <c r="AP19" s="1153">
        <f t="shared" si="29"/>
        <v>79.980364980364968</v>
      </c>
      <c r="AQ19" s="1156" t="str">
        <f>IF([2]DIG!AS19="","",[2]DIG!AS19)</f>
        <v/>
      </c>
      <c r="AR19" s="1156" t="str">
        <f>IF([2]DIG!AT19="","",[2]DIG!AT19)</f>
        <v/>
      </c>
      <c r="AS19" s="1153" t="str">
        <f t="shared" si="30"/>
        <v/>
      </c>
      <c r="AT19" s="1180" t="str">
        <f t="shared" si="31"/>
        <v/>
      </c>
      <c r="AU19" s="1205">
        <f>IF([1]Digesters!M19="","",[1]Digesters!M19)</f>
        <v>794</v>
      </c>
      <c r="AV19" s="1153">
        <f>IF([1]Digesters!L19="","",[1]Digesters!L19)</f>
        <v>159</v>
      </c>
      <c r="AW19" s="1153">
        <f t="shared" si="32"/>
        <v>79.903979080264492</v>
      </c>
      <c r="AX19" s="1156" t="str">
        <f>IF([2]DIG!AV19="","",[2]DIG!AV19)</f>
        <v/>
      </c>
      <c r="AY19" s="1156" t="str">
        <f>IF([2]DIG!AW19="","",[2]DIG!AW19)</f>
        <v/>
      </c>
      <c r="AZ19" s="1153" t="str">
        <f t="shared" si="33"/>
        <v/>
      </c>
      <c r="BA19" s="1165" t="str">
        <f t="shared" si="34"/>
        <v/>
      </c>
      <c r="BB19" s="1172" t="str">
        <f t="shared" si="35"/>
        <v/>
      </c>
      <c r="BC19" s="1156" t="str">
        <f>IF([2]DIG!AA19="","",[2]DIG!AA19)</f>
        <v/>
      </c>
      <c r="BD19" s="1156" t="str">
        <f>IF([2]DIG!AB19="","",[2]DIG!AB19)</f>
        <v/>
      </c>
      <c r="BE19" s="1153" t="str">
        <f t="shared" si="36"/>
        <v/>
      </c>
      <c r="BF19" s="1214" t="str">
        <f t="shared" si="37"/>
        <v/>
      </c>
      <c r="BG19" s="1205" t="str">
        <f t="shared" si="38"/>
        <v/>
      </c>
      <c r="BH19" s="1156" t="str">
        <f>IF([2]DIG!AD19="","",[2]DIG!AD19)</f>
        <v/>
      </c>
      <c r="BI19" s="1156" t="str">
        <f>IF([2]DIG!AE19="","",([2]DIG!AE19))</f>
        <v/>
      </c>
      <c r="BJ19" s="1153" t="str">
        <f t="shared" si="39"/>
        <v/>
      </c>
      <c r="BK19" s="1217" t="str">
        <f t="shared" si="40"/>
        <v/>
      </c>
      <c r="BL19" s="1223" t="str">
        <f>IF([2]BP_GB!B19="","",[2]BP_GB!B19)</f>
        <v/>
      </c>
      <c r="BM19" s="1156" t="str">
        <f>IF([2]BP_GB!C19="","",[2]BP_GB!C19)</f>
        <v/>
      </c>
      <c r="BN19" s="1165" t="str">
        <f t="shared" si="41"/>
        <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5">
        <v>17</v>
      </c>
      <c r="B20" s="1172">
        <f t="shared" si="16"/>
        <v>75.649923336660677</v>
      </c>
      <c r="C20" s="1180" t="str">
        <f t="shared" si="17"/>
        <v/>
      </c>
      <c r="D20" s="1193">
        <f>IF([2]PRI_SLG!B20="","",[2]PRI_SLG!B20)</f>
        <v>5.2</v>
      </c>
      <c r="E20" s="1154">
        <f>IF([2]PRI_SLG!C20="","",[2]PRI_SLG!C20)</f>
        <v>3.92</v>
      </c>
      <c r="F20" s="1165">
        <f t="shared" si="18"/>
        <v>75.384615384615387</v>
      </c>
      <c r="G20" s="1190">
        <f>IF([2]TWAS!B20="","",[2]TWAS!B20)</f>
        <v>3.78</v>
      </c>
      <c r="H20" s="1154">
        <f>IF([2]TWAS!C20="","",[2]TWAS!C20)</f>
        <v>2.88</v>
      </c>
      <c r="I20" s="1180">
        <f t="shared" si="19"/>
        <v>76.19047619047619</v>
      </c>
      <c r="J20" s="1196">
        <f>IF([1]Digesters!Z20="","",[1]Digesters!Z20)</f>
        <v>533919</v>
      </c>
      <c r="K20" s="1202">
        <f>IF([1]Digesters!AB20="","",[1]Digesters!AB20)</f>
        <v>262052</v>
      </c>
      <c r="L20" s="1205">
        <f>IF([1]Digesters!C20="","",[1]Digesters!C20)</f>
        <v>1036</v>
      </c>
      <c r="M20" s="1153">
        <f>IF([1]Digesters!B20="","",[1]Digesters!B20)</f>
        <v>206</v>
      </c>
      <c r="N20" s="1153">
        <f t="shared" si="20"/>
        <v>75.518276677696988</v>
      </c>
      <c r="O20" s="1154" t="str">
        <f>IF([2]DIG!AG20="","",[2]DIG!AG20)</f>
        <v/>
      </c>
      <c r="P20" s="1154" t="str">
        <f>IF([2]DIG!AH20="","",[2]DIG!AH20)</f>
        <v/>
      </c>
      <c r="Q20" s="1153" t="str">
        <f t="shared" si="21"/>
        <v/>
      </c>
      <c r="R20" s="1165" t="str">
        <f t="shared" si="22"/>
        <v/>
      </c>
      <c r="S20" s="1172">
        <f>IF([1]Digesters!E20="","",[1]Digesters!E20)</f>
        <v>1052</v>
      </c>
      <c r="T20" s="1153">
        <f>IF([1]Digesters!D20="","",[1]Digesters!D20)</f>
        <v>208</v>
      </c>
      <c r="U20" s="1153">
        <f t="shared" si="7"/>
        <v>75.517646374789237</v>
      </c>
      <c r="V20" s="1156" t="str">
        <f>IF([2]DIG!AJ20="","",[2]DIG!AJ20)</f>
        <v/>
      </c>
      <c r="W20" s="1156" t="str">
        <f>IF([2]DIG!AK20="","",[2]DIG!AK20)</f>
        <v/>
      </c>
      <c r="X20" s="1153" t="str">
        <f t="shared" si="8"/>
        <v/>
      </c>
      <c r="Y20" s="1180" t="str">
        <f t="shared" si="9"/>
        <v/>
      </c>
      <c r="Z20" s="1205">
        <f>IF([1]Digesters!F20="","",[1]Digesters!F20)</f>
        <v>1381</v>
      </c>
      <c r="AA20" s="1153">
        <f t="shared" si="23"/>
        <v>76.19047619047619</v>
      </c>
      <c r="AB20" s="1154" t="str">
        <f>IF([2]DIG!AM20="","",[2]DIG!AM20)</f>
        <v/>
      </c>
      <c r="AC20" s="1154" t="str">
        <f>IF([2]DIG!AN20="","",[2]DIG!AN20)</f>
        <v/>
      </c>
      <c r="AD20" s="1153" t="str">
        <f t="shared" si="24"/>
        <v/>
      </c>
      <c r="AE20" s="1165" t="str">
        <f t="shared" si="25"/>
        <v/>
      </c>
      <c r="AF20" s="1175">
        <v>17</v>
      </c>
      <c r="AG20" s="1205">
        <f>IF([1]Digesters!I20="","",[1]Digesters!I20)</f>
        <v>1098</v>
      </c>
      <c r="AH20" s="1153">
        <f>IF([1]Digesters!H20="","",[1]Digesters!H20)</f>
        <v>214</v>
      </c>
      <c r="AI20" s="1153">
        <f t="shared" si="26"/>
        <v>75.516059144107913</v>
      </c>
      <c r="AJ20" s="1156" t="str">
        <f>IF([2]DIG!AP20="","",[2]DIG!AP20)</f>
        <v/>
      </c>
      <c r="AK20" s="1156" t="str">
        <f>IF([2]DIG!AQ20="","",[2]DIG!AQ20)</f>
        <v/>
      </c>
      <c r="AL20" s="1153" t="str">
        <f t="shared" si="27"/>
        <v/>
      </c>
      <c r="AM20" s="1165" t="str">
        <f t="shared" si="28"/>
        <v/>
      </c>
      <c r="AN20" s="1172">
        <f>IF([1]Digesters!K20="","",[1]Digesters!K20)</f>
        <v>1072</v>
      </c>
      <c r="AO20" s="1153">
        <f>IF([1]Digesters!J20="","",[1]Digesters!J20)</f>
        <v>213</v>
      </c>
      <c r="AP20" s="1153">
        <f t="shared" si="29"/>
        <v>75.518193868388423</v>
      </c>
      <c r="AQ20" s="1156" t="str">
        <f>IF([2]DIG!AS20="","",[2]DIG!AS20)</f>
        <v/>
      </c>
      <c r="AR20" s="1156" t="str">
        <f>IF([2]DIG!AT20="","",[2]DIG!AT20)</f>
        <v/>
      </c>
      <c r="AS20" s="1153" t="str">
        <f t="shared" si="30"/>
        <v/>
      </c>
      <c r="AT20" s="1180" t="str">
        <f t="shared" si="31"/>
        <v/>
      </c>
      <c r="AU20" s="1205">
        <f>IF([1]Digesters!M20="","",[1]Digesters!M20)</f>
        <v>1050</v>
      </c>
      <c r="AV20" s="1153">
        <f>IF([1]Digesters!L20="","",[1]Digesters!L20)</f>
        <v>210</v>
      </c>
      <c r="AW20" s="1153">
        <f t="shared" si="32"/>
        <v>75.518925518925514</v>
      </c>
      <c r="AX20" s="1156" t="str">
        <f>IF([2]DIG!AV20="","",[2]DIG!AV20)</f>
        <v/>
      </c>
      <c r="AY20" s="1156" t="str">
        <f>IF([2]DIG!AW20="","",[2]DIG!AW20)</f>
        <v/>
      </c>
      <c r="AZ20" s="1153" t="str">
        <f t="shared" si="33"/>
        <v/>
      </c>
      <c r="BA20" s="1165" t="str">
        <f t="shared" si="34"/>
        <v/>
      </c>
      <c r="BB20" s="1172" t="str">
        <f t="shared" si="35"/>
        <v/>
      </c>
      <c r="BC20" s="1156" t="str">
        <f>IF([2]DIG!AA20="","",[2]DIG!AA20)</f>
        <v/>
      </c>
      <c r="BD20" s="1156" t="str">
        <f>IF([2]DIG!AB20="","",[2]DIG!AB20)</f>
        <v/>
      </c>
      <c r="BE20" s="1153" t="str">
        <f t="shared" si="36"/>
        <v/>
      </c>
      <c r="BF20" s="1214" t="str">
        <f t="shared" si="37"/>
        <v/>
      </c>
      <c r="BG20" s="1205" t="str">
        <f t="shared" si="38"/>
        <v/>
      </c>
      <c r="BH20" s="1156" t="str">
        <f>IF([2]DIG!AD20="","",[2]DIG!AD20)</f>
        <v/>
      </c>
      <c r="BI20" s="1156" t="str">
        <f>IF([2]DIG!AE20="","",([2]DIG!AE20))</f>
        <v/>
      </c>
      <c r="BJ20" s="1153" t="str">
        <f t="shared" si="39"/>
        <v/>
      </c>
      <c r="BK20" s="1217" t="str">
        <f t="shared" si="40"/>
        <v/>
      </c>
      <c r="BL20" s="1223" t="str">
        <f>IF([2]BP_GB!B20="","",[2]BP_GB!B20)</f>
        <v/>
      </c>
      <c r="BM20" s="1156" t="str">
        <f>IF([2]BP_GB!C20="","",[2]BP_GB!C20)</f>
        <v/>
      </c>
      <c r="BN20" s="1165"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5">
        <v>18</v>
      </c>
      <c r="B21" s="1172">
        <f t="shared" si="16"/>
        <v>79.59345686750369</v>
      </c>
      <c r="C21" s="1180" t="str">
        <f t="shared" si="17"/>
        <v/>
      </c>
      <c r="D21" s="1193">
        <f>IF([2]PRI_SLG!B21="","",[2]PRI_SLG!B21)</f>
        <v>3.46</v>
      </c>
      <c r="E21" s="1154">
        <f>IF([2]PRI_SLG!C21="","",[2]PRI_SLG!C21)</f>
        <v>2.91</v>
      </c>
      <c r="F21" s="1165">
        <f t="shared" si="18"/>
        <v>84.104046242774572</v>
      </c>
      <c r="G21" s="1190">
        <f>IF([2]TWAS!B21="","",[2]TWAS!B21)</f>
        <v>3.63</v>
      </c>
      <c r="H21" s="1154">
        <f>IF([2]TWAS!C21="","",[2]TWAS!C21)</f>
        <v>2.71</v>
      </c>
      <c r="I21" s="1180">
        <f t="shared" si="19"/>
        <v>74.655647382920108</v>
      </c>
      <c r="J21" s="1196">
        <f>IF([1]Digesters!Z21="","",[1]Digesters!Z21)</f>
        <v>274907</v>
      </c>
      <c r="K21" s="1202">
        <f>IF([1]Digesters!AB21="","",[1]Digesters!AB21)</f>
        <v>251122</v>
      </c>
      <c r="L21" s="1205">
        <f>IF([1]Digesters!C21="","",[1]Digesters!C21)</f>
        <v>537</v>
      </c>
      <c r="M21" s="1153">
        <f>IF([1]Digesters!B21="","",[1]Digesters!B21)</f>
        <v>209</v>
      </c>
      <c r="N21" s="1153">
        <f t="shared" si="20"/>
        <v>81.45697471233278</v>
      </c>
      <c r="O21" s="1154" t="str">
        <f>IF([2]DIG!AG21="","",[2]DIG!AG21)</f>
        <v/>
      </c>
      <c r="P21" s="1154" t="str">
        <f>IF([2]DIG!AH21="","",[2]DIG!AH21)</f>
        <v/>
      </c>
      <c r="Q21" s="1153" t="str">
        <f t="shared" si="21"/>
        <v/>
      </c>
      <c r="R21" s="1165" t="str">
        <f t="shared" si="22"/>
        <v/>
      </c>
      <c r="S21" s="1172">
        <f>IF([1]Digesters!E21="","",[1]Digesters!E21)</f>
        <v>546</v>
      </c>
      <c r="T21" s="1153">
        <f>IF([1]Digesters!D21="","",[1]Digesters!D21)</f>
        <v>204</v>
      </c>
      <c r="U21" s="1153">
        <f t="shared" si="7"/>
        <v>81.534081752894153</v>
      </c>
      <c r="V21" s="1156" t="str">
        <f>IF([2]DIG!AJ21="","",[2]DIG!AJ21)</f>
        <v/>
      </c>
      <c r="W21" s="1156" t="str">
        <f>IF([2]DIG!AK21="","",[2]DIG!AK21)</f>
        <v/>
      </c>
      <c r="X21" s="1153" t="str">
        <f t="shared" si="8"/>
        <v/>
      </c>
      <c r="Y21" s="1180" t="str">
        <f t="shared" si="9"/>
        <v/>
      </c>
      <c r="Z21" s="1205">
        <f>IF([1]Digesters!F21="","",[1]Digesters!F21)</f>
        <v>1497</v>
      </c>
      <c r="AA21" s="1153">
        <f t="shared" si="23"/>
        <v>74.655647382920108</v>
      </c>
      <c r="AB21" s="1154" t="str">
        <f>IF([2]DIG!AM21="","",[2]DIG!AM21)</f>
        <v/>
      </c>
      <c r="AC21" s="1154" t="str">
        <f>IF([2]DIG!AN21="","",[2]DIG!AN21)</f>
        <v/>
      </c>
      <c r="AD21" s="1153" t="str">
        <f t="shared" si="24"/>
        <v/>
      </c>
      <c r="AE21" s="1165" t="str">
        <f t="shared" si="25"/>
        <v/>
      </c>
      <c r="AF21" s="1175">
        <v>18</v>
      </c>
      <c r="AG21" s="1205">
        <f>IF([1]Digesters!I21="","",[1]Digesters!I21)</f>
        <v>555</v>
      </c>
      <c r="AH21" s="1153">
        <f>IF([1]Digesters!H21="","",[1]Digesters!H21)</f>
        <v>216</v>
      </c>
      <c r="AI21" s="1153">
        <f t="shared" si="26"/>
        <v>81.457023994099401</v>
      </c>
      <c r="AJ21" s="1156" t="str">
        <f>IF([2]DIG!AP21="","",[2]DIG!AP21)</f>
        <v/>
      </c>
      <c r="AK21" s="1156" t="str">
        <f>IF([2]DIG!AQ21="","",[2]DIG!AQ21)</f>
        <v/>
      </c>
      <c r="AL21" s="1153" t="str">
        <f t="shared" si="27"/>
        <v/>
      </c>
      <c r="AM21" s="1165" t="str">
        <f t="shared" si="28"/>
        <v/>
      </c>
      <c r="AN21" s="1172">
        <f>IF([1]Digesters!K21="","",[1]Digesters!K21)</f>
        <v>545</v>
      </c>
      <c r="AO21" s="1153">
        <f>IF([1]Digesters!J21="","",[1]Digesters!J21)</f>
        <v>214</v>
      </c>
      <c r="AP21" s="1153">
        <f t="shared" si="29"/>
        <v>81.440070806662774</v>
      </c>
      <c r="AQ21" s="1156" t="str">
        <f>IF([2]DIG!AS21="","",[2]DIG!AS21)</f>
        <v/>
      </c>
      <c r="AR21" s="1156" t="str">
        <f>IF([2]DIG!AT21="","",[2]DIG!AT21)</f>
        <v/>
      </c>
      <c r="AS21" s="1153" t="str">
        <f t="shared" si="30"/>
        <v/>
      </c>
      <c r="AT21" s="1180" t="str">
        <f t="shared" si="31"/>
        <v/>
      </c>
      <c r="AU21" s="1205">
        <f>IF([1]Digesters!M21="","",[1]Digesters!M21)</f>
        <v>540</v>
      </c>
      <c r="AV21" s="1153">
        <f>IF([1]Digesters!L21="","",[1]Digesters!L21)</f>
        <v>209</v>
      </c>
      <c r="AW21" s="1153">
        <f t="shared" si="32"/>
        <v>81.467577135018132</v>
      </c>
      <c r="AX21" s="1156" t="str">
        <f>IF([2]DIG!AV21="","",[2]DIG!AV21)</f>
        <v/>
      </c>
      <c r="AY21" s="1156" t="str">
        <f>IF([2]DIG!AW21="","",[2]DIG!AW21)</f>
        <v/>
      </c>
      <c r="AZ21" s="1153" t="str">
        <f t="shared" si="33"/>
        <v/>
      </c>
      <c r="BA21" s="1165" t="str">
        <f t="shared" si="34"/>
        <v/>
      </c>
      <c r="BB21" s="1172" t="str">
        <f t="shared" si="35"/>
        <v/>
      </c>
      <c r="BC21" s="1156" t="str">
        <f>IF([2]DIG!AA21="","",[2]DIG!AA21)</f>
        <v/>
      </c>
      <c r="BD21" s="1156" t="str">
        <f>IF([2]DIG!AB21="","",[2]DIG!AB21)</f>
        <v/>
      </c>
      <c r="BE21" s="1153" t="str">
        <f t="shared" si="36"/>
        <v/>
      </c>
      <c r="BF21" s="1214" t="str">
        <f t="shared" si="37"/>
        <v/>
      </c>
      <c r="BG21" s="1205" t="str">
        <f t="shared" si="38"/>
        <v/>
      </c>
      <c r="BH21" s="1156" t="str">
        <f>IF([2]DIG!AD21="","",[2]DIG!AD21)</f>
        <v/>
      </c>
      <c r="BI21" s="1156" t="str">
        <f>IF([2]DIG!AE21="","",([2]DIG!AE21))</f>
        <v/>
      </c>
      <c r="BJ21" s="1153" t="str">
        <f t="shared" si="39"/>
        <v/>
      </c>
      <c r="BK21" s="1217" t="str">
        <f t="shared" si="40"/>
        <v/>
      </c>
      <c r="BL21" s="1223" t="str">
        <f>IF([2]BP_GB!B21="","",[2]BP_GB!B21)</f>
        <v/>
      </c>
      <c r="BM21" s="1156" t="str">
        <f>IF([2]BP_GB!C21="","",[2]BP_GB!C21)</f>
        <v/>
      </c>
      <c r="BN21" s="1165" t="str">
        <f t="shared" si="41"/>
        <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5">
        <v>19</v>
      </c>
      <c r="B22" s="1172">
        <f t="shared" si="16"/>
        <v>65.389570536718281</v>
      </c>
      <c r="C22" s="1180" t="str">
        <f t="shared" si="17"/>
        <v/>
      </c>
      <c r="D22" s="1193">
        <f>IF([2]PRI_SLG!B22="","",[2]PRI_SLG!B22)</f>
        <v>4.6100000000000003</v>
      </c>
      <c r="E22" s="1154">
        <f>IF([2]PRI_SLG!C22="","",[2]PRI_SLG!C22)</f>
        <v>2.91</v>
      </c>
      <c r="F22" s="1165">
        <f t="shared" si="18"/>
        <v>63.123644251626899</v>
      </c>
      <c r="G22" s="1190">
        <f>IF([2]TWAS!B22="","",[2]TWAS!B22)</f>
        <v>3.96</v>
      </c>
      <c r="H22" s="1154">
        <f>IF([2]TWAS!C22="","",[2]TWAS!C22)</f>
        <v>2.95</v>
      </c>
      <c r="I22" s="1180">
        <f t="shared" si="19"/>
        <v>74.494949494949509</v>
      </c>
      <c r="J22" s="1196">
        <f>IF([1]Digesters!Z22="","",[1]Digesters!Z22)</f>
        <v>844907</v>
      </c>
      <c r="K22" s="1202">
        <f>IF([1]Digesters!AB22="","",[1]Digesters!AB22)</f>
        <v>210260</v>
      </c>
      <c r="L22" s="1205">
        <f>IF([1]Digesters!C22="","",[1]Digesters!C22)</f>
        <v>1105</v>
      </c>
      <c r="M22" s="1153">
        <f>IF([1]Digesters!B22="","",[1]Digesters!B22)</f>
        <v>163</v>
      </c>
      <c r="N22" s="1153">
        <f t="shared" si="20"/>
        <v>64.585412985587126</v>
      </c>
      <c r="O22" s="1154" t="str">
        <f>IF([2]DIG!AG22="","",[2]DIG!AG22)</f>
        <v/>
      </c>
      <c r="P22" s="1154" t="str">
        <f>IF([2]DIG!AH22="","",[2]DIG!AH22)</f>
        <v/>
      </c>
      <c r="Q22" s="1153" t="str">
        <f t="shared" si="21"/>
        <v/>
      </c>
      <c r="R22" s="1165" t="str">
        <f t="shared" si="22"/>
        <v/>
      </c>
      <c r="S22" s="1172">
        <f>IF([1]Digesters!E22="","",[1]Digesters!E22)</f>
        <v>1118</v>
      </c>
      <c r="T22" s="1153">
        <f>IF([1]Digesters!D22="","",[1]Digesters!D22)</f>
        <v>165</v>
      </c>
      <c r="U22" s="1153">
        <f t="shared" si="7"/>
        <v>64.586049056886623</v>
      </c>
      <c r="V22" s="1156" t="str">
        <f>IF([2]DIG!AJ22="","",[2]DIG!AJ22)</f>
        <v/>
      </c>
      <c r="W22" s="1156" t="str">
        <f>IF([2]DIG!AK22="","",[2]DIG!AK22)</f>
        <v/>
      </c>
      <c r="X22" s="1153" t="str">
        <f t="shared" si="8"/>
        <v/>
      </c>
      <c r="Y22" s="1180" t="str">
        <f t="shared" si="9"/>
        <v/>
      </c>
      <c r="Z22" s="1205">
        <f>IF([1]Digesters!F22="","",[1]Digesters!F22)</f>
        <v>1003</v>
      </c>
      <c r="AA22" s="1153">
        <f t="shared" si="23"/>
        <v>74.494949494949509</v>
      </c>
      <c r="AB22" s="1154" t="str">
        <f>IF([2]DIG!AM22="","",[2]DIG!AM22)</f>
        <v/>
      </c>
      <c r="AC22" s="1154" t="str">
        <f>IF([2]DIG!AN22="","",[2]DIG!AN22)</f>
        <v/>
      </c>
      <c r="AD22" s="1153" t="str">
        <f t="shared" si="24"/>
        <v/>
      </c>
      <c r="AE22" s="1165" t="str">
        <f t="shared" si="25"/>
        <v/>
      </c>
      <c r="AF22" s="1175">
        <v>19</v>
      </c>
      <c r="AG22" s="1205">
        <f>IF([1]Digesters!I22="","",[1]Digesters!I22)</f>
        <v>1175</v>
      </c>
      <c r="AH22" s="1153">
        <f>IF([1]Digesters!H22="","",[1]Digesters!H22)</f>
        <v>176</v>
      </c>
      <c r="AI22" s="1153">
        <f t="shared" si="26"/>
        <v>64.605028206345466</v>
      </c>
      <c r="AJ22" s="1156" t="str">
        <f>IF([2]DIG!AP22="","",[2]DIG!AP22)</f>
        <v/>
      </c>
      <c r="AK22" s="1156" t="str">
        <f>IF([2]DIG!AQ22="","",[2]DIG!AQ22)</f>
        <v/>
      </c>
      <c r="AL22" s="1153" t="str">
        <f t="shared" si="27"/>
        <v/>
      </c>
      <c r="AM22" s="1165" t="str">
        <f t="shared" si="28"/>
        <v/>
      </c>
      <c r="AN22" s="1172">
        <f>IF([1]Digesters!K22="","",[1]Digesters!K22)</f>
        <v>1140</v>
      </c>
      <c r="AO22" s="1153">
        <f>IF([1]Digesters!J22="","",[1]Digesters!J22)</f>
        <v>163</v>
      </c>
      <c r="AP22" s="1153">
        <f t="shared" si="29"/>
        <v>64.546148284367945</v>
      </c>
      <c r="AQ22" s="1156" t="str">
        <f>IF([2]DIG!AS22="","",[2]DIG!AS22)</f>
        <v/>
      </c>
      <c r="AR22" s="1156" t="str">
        <f>IF([2]DIG!AT22="","",[2]DIG!AT22)</f>
        <v/>
      </c>
      <c r="AS22" s="1153" t="str">
        <f t="shared" si="30"/>
        <v/>
      </c>
      <c r="AT22" s="1180" t="str">
        <f t="shared" si="31"/>
        <v/>
      </c>
      <c r="AU22" s="1205">
        <f>IF([1]Digesters!M22="","",[1]Digesters!M22)</f>
        <v>1123</v>
      </c>
      <c r="AV22" s="1153">
        <f>IF([1]Digesters!L22="","",[1]Digesters!L22)</f>
        <v>173</v>
      </c>
      <c r="AW22" s="1153">
        <f t="shared" si="32"/>
        <v>64.641573115125979</v>
      </c>
      <c r="AX22" s="1156" t="str">
        <f>IF([2]DIG!AV22="","",[2]DIG!AV22)</f>
        <v/>
      </c>
      <c r="AY22" s="1156" t="str">
        <f>IF([2]DIG!AW22="","",[2]DIG!AW22)</f>
        <v/>
      </c>
      <c r="AZ22" s="1153" t="str">
        <f t="shared" si="33"/>
        <v/>
      </c>
      <c r="BA22" s="1165" t="str">
        <f t="shared" si="34"/>
        <v/>
      </c>
      <c r="BB22" s="1172" t="str">
        <f t="shared" si="35"/>
        <v/>
      </c>
      <c r="BC22" s="1156" t="str">
        <f>IF([2]DIG!AA22="","",[2]DIG!AA22)</f>
        <v/>
      </c>
      <c r="BD22" s="1156" t="str">
        <f>IF([2]DIG!AB22="","",[2]DIG!AB22)</f>
        <v/>
      </c>
      <c r="BE22" s="1153" t="str">
        <f t="shared" si="36"/>
        <v/>
      </c>
      <c r="BF22" s="1214" t="str">
        <f t="shared" si="37"/>
        <v/>
      </c>
      <c r="BG22" s="1205" t="str">
        <f t="shared" si="38"/>
        <v/>
      </c>
      <c r="BH22" s="1156" t="str">
        <f>IF([2]DIG!AD22="","",[2]DIG!AD22)</f>
        <v/>
      </c>
      <c r="BI22" s="1156" t="str">
        <f>IF([2]DIG!AE22="","",([2]DIG!AE22))</f>
        <v/>
      </c>
      <c r="BJ22" s="1153" t="str">
        <f t="shared" si="39"/>
        <v/>
      </c>
      <c r="BK22" s="1217" t="str">
        <f t="shared" si="40"/>
        <v/>
      </c>
      <c r="BL22" s="1223" t="str">
        <f>IF([2]BP_GB!B22="","",[2]BP_GB!B22)</f>
        <v/>
      </c>
      <c r="BM22" s="1156" t="str">
        <f>IF([2]BP_GB!C22="","",[2]BP_GB!C22)</f>
        <v/>
      </c>
      <c r="BN22" s="1165" t="str">
        <f t="shared" si="41"/>
        <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5">
        <v>20</v>
      </c>
      <c r="B23" s="1172">
        <f t="shared" si="16"/>
        <v>67.999035774269103</v>
      </c>
      <c r="C23" s="1180" t="str">
        <f t="shared" si="17"/>
        <v/>
      </c>
      <c r="D23" s="1193">
        <f>IF([2]PRI_SLG!B23="","",[2]PRI_SLG!B23)</f>
        <v>4.59</v>
      </c>
      <c r="E23" s="1154">
        <f>IF([2]PRI_SLG!C23="","",[2]PRI_SLG!C23)</f>
        <v>2.95</v>
      </c>
      <c r="F23" s="1165">
        <f t="shared" si="18"/>
        <v>64.270152505446632</v>
      </c>
      <c r="G23" s="1190">
        <f>IF([2]TWAS!B23="","",[2]TWAS!B23)</f>
        <v>4.53</v>
      </c>
      <c r="H23" s="1154">
        <f>IF([2]TWAS!C23="","",[2]TWAS!C23)</f>
        <v>3.36</v>
      </c>
      <c r="I23" s="1180">
        <f t="shared" si="19"/>
        <v>74.172185430463571</v>
      </c>
      <c r="J23" s="1196">
        <f>IF([1]Digesters!Z23="","",[1]Digesters!Z23)</f>
        <v>408621</v>
      </c>
      <c r="K23" s="1202">
        <f>IF([1]Digesters!AB23="","",[1]Digesters!AB23)</f>
        <v>246827</v>
      </c>
      <c r="L23" s="1205">
        <f>IF([1]Digesters!C23="","",[1]Digesters!C23)</f>
        <v>792</v>
      </c>
      <c r="M23" s="1153">
        <f>IF([1]Digesters!B23="","",[1]Digesters!B23)</f>
        <v>204</v>
      </c>
      <c r="N23" s="1153">
        <f t="shared" si="20"/>
        <v>66.298279731052517</v>
      </c>
      <c r="O23" s="1154" t="str">
        <f>IF([2]DIG!AG23="","",[2]DIG!AG23)</f>
        <v/>
      </c>
      <c r="P23" s="1154" t="str">
        <f>IF([2]DIG!AH23="","",[2]DIG!AH23)</f>
        <v/>
      </c>
      <c r="Q23" s="1153" t="str">
        <f t="shared" si="21"/>
        <v/>
      </c>
      <c r="R23" s="1165" t="str">
        <f t="shared" si="22"/>
        <v/>
      </c>
      <c r="S23" s="1172">
        <f>IF([1]Digesters!E23="","",[1]Digesters!E23)</f>
        <v>796</v>
      </c>
      <c r="T23" s="1153">
        <f>IF([1]Digesters!D23="","",[1]Digesters!D23)</f>
        <v>209</v>
      </c>
      <c r="U23" s="1153">
        <f t="shared" si="7"/>
        <v>66.329381243086956</v>
      </c>
      <c r="V23" s="1156" t="str">
        <f>IF([2]DIG!AJ23="","",[2]DIG!AJ23)</f>
        <v/>
      </c>
      <c r="W23" s="1156" t="str">
        <f>IF([2]DIG!AK23="","",[2]DIG!AK23)</f>
        <v/>
      </c>
      <c r="X23" s="1153" t="str">
        <f t="shared" si="8"/>
        <v/>
      </c>
      <c r="Y23" s="1180" t="str">
        <f t="shared" si="9"/>
        <v/>
      </c>
      <c r="Z23" s="1205">
        <f>IF([1]Digesters!F23="","",[1]Digesters!F23)</f>
        <v>1657</v>
      </c>
      <c r="AA23" s="1153">
        <f t="shared" si="23"/>
        <v>74.172185430463571</v>
      </c>
      <c r="AB23" s="1154" t="str">
        <f>IF([2]DIG!AM23="","",[2]DIG!AM23)</f>
        <v/>
      </c>
      <c r="AC23" s="1154" t="str">
        <f>IF([2]DIG!AN23="","",[2]DIG!AN23)</f>
        <v/>
      </c>
      <c r="AD23" s="1153" t="str">
        <f t="shared" si="24"/>
        <v/>
      </c>
      <c r="AE23" s="1165" t="str">
        <f t="shared" si="25"/>
        <v/>
      </c>
      <c r="AF23" s="1175">
        <v>20</v>
      </c>
      <c r="AG23" s="1205">
        <f>IF([1]Digesters!I23="","",[1]Digesters!I23)</f>
        <v>798</v>
      </c>
      <c r="AH23" s="1153">
        <f>IF([1]Digesters!H23="","",[1]Digesters!H23)</f>
        <v>202</v>
      </c>
      <c r="AI23" s="1153">
        <f t="shared" si="26"/>
        <v>66.27036315630005</v>
      </c>
      <c r="AJ23" s="1156" t="str">
        <f>IF([2]DIG!AP23="","",[2]DIG!AP23)</f>
        <v/>
      </c>
      <c r="AK23" s="1156" t="str">
        <f>IF([2]DIG!AQ23="","",[2]DIG!AQ23)</f>
        <v/>
      </c>
      <c r="AL23" s="1153" t="str">
        <f t="shared" si="27"/>
        <v/>
      </c>
      <c r="AM23" s="1165" t="str">
        <f t="shared" si="28"/>
        <v/>
      </c>
      <c r="AN23" s="1172">
        <f>IF([1]Digesters!K23="","",[1]Digesters!K23)</f>
        <v>816</v>
      </c>
      <c r="AO23" s="1153">
        <f>IF([1]Digesters!J23="","",[1]Digesters!J23)</f>
        <v>200</v>
      </c>
      <c r="AP23" s="1153">
        <f t="shared" si="29"/>
        <v>66.219371585174386</v>
      </c>
      <c r="AQ23" s="1156" t="str">
        <f>IF([2]DIG!AS23="","",[2]DIG!AS23)</f>
        <v/>
      </c>
      <c r="AR23" s="1156" t="str">
        <f>IF([2]DIG!AT23="","",[2]DIG!AT23)</f>
        <v/>
      </c>
      <c r="AS23" s="1153" t="str">
        <f t="shared" si="30"/>
        <v/>
      </c>
      <c r="AT23" s="1180" t="str">
        <f t="shared" si="31"/>
        <v/>
      </c>
      <c r="AU23" s="1205">
        <f>IF([1]Digesters!M23="","",[1]Digesters!M23)</f>
        <v>804</v>
      </c>
      <c r="AV23" s="1153">
        <f>IF([1]Digesters!L23="","",[1]Digesters!L23)</f>
        <v>197</v>
      </c>
      <c r="AW23" s="1153">
        <f t="shared" si="32"/>
        <v>66.218904239940485</v>
      </c>
      <c r="AX23" s="1156" t="str">
        <f>IF([2]DIG!AV23="","",[2]DIG!AV23)</f>
        <v/>
      </c>
      <c r="AY23" s="1156" t="str">
        <f>IF([2]DIG!AW23="","",[2]DIG!AW23)</f>
        <v/>
      </c>
      <c r="AZ23" s="1153" t="str">
        <f t="shared" si="33"/>
        <v/>
      </c>
      <c r="BA23" s="1165" t="str">
        <f t="shared" si="34"/>
        <v/>
      </c>
      <c r="BB23" s="1172" t="str">
        <f t="shared" si="35"/>
        <v/>
      </c>
      <c r="BC23" s="1156" t="str">
        <f>IF([2]DIG!AA23="","",[2]DIG!AA23)</f>
        <v/>
      </c>
      <c r="BD23" s="1156" t="str">
        <f>IF([2]DIG!AB23="","",[2]DIG!AB23)</f>
        <v/>
      </c>
      <c r="BE23" s="1153" t="str">
        <f t="shared" si="36"/>
        <v/>
      </c>
      <c r="BF23" s="1214" t="str">
        <f t="shared" si="37"/>
        <v/>
      </c>
      <c r="BG23" s="1205" t="str">
        <f t="shared" si="38"/>
        <v/>
      </c>
      <c r="BH23" s="1156" t="str">
        <f>IF([2]DIG!AD23="","",[2]DIG!AD23)</f>
        <v/>
      </c>
      <c r="BI23" s="1156" t="str">
        <f>IF([2]DIG!AE23="","",([2]DIG!AE23))</f>
        <v/>
      </c>
      <c r="BJ23" s="1153" t="str">
        <f t="shared" si="39"/>
        <v/>
      </c>
      <c r="BK23" s="1217" t="str">
        <f t="shared" si="40"/>
        <v/>
      </c>
      <c r="BL23" s="1223" t="str">
        <f>IF([2]BP_GB!B23="","",[2]BP_GB!B23)</f>
        <v/>
      </c>
      <c r="BM23" s="1156" t="str">
        <f>IF([2]BP_GB!C23="","",[2]BP_GB!C23)</f>
        <v/>
      </c>
      <c r="BN23" s="1165" t="str">
        <f t="shared" si="41"/>
        <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5">
        <v>21</v>
      </c>
      <c r="B24" s="1172">
        <f t="shared" si="16"/>
        <v>73.214258358466822</v>
      </c>
      <c r="C24" s="1180" t="str">
        <f t="shared" si="17"/>
        <v/>
      </c>
      <c r="D24" s="1193">
        <f>IF([2]PRI_SLG!B24="","",[2]PRI_SLG!B24)</f>
        <v>3.56</v>
      </c>
      <c r="E24" s="1154">
        <f>IF([2]PRI_SLG!C24="","",[2]PRI_SLG!C24)</f>
        <v>2.59</v>
      </c>
      <c r="F24" s="1165">
        <f t="shared" si="18"/>
        <v>72.752808988764045</v>
      </c>
      <c r="G24" s="1190">
        <f>IF([2]TWAS!B24="","",[2]TWAS!B24)</f>
        <v>4.87</v>
      </c>
      <c r="H24" s="1154">
        <f>IF([2]TWAS!C24="","",[2]TWAS!C24)</f>
        <v>3.6</v>
      </c>
      <c r="I24" s="1180">
        <f t="shared" si="19"/>
        <v>73.921971252566735</v>
      </c>
      <c r="J24" s="1196">
        <f>IF([1]Digesters!Z24="","",[1]Digesters!Z24)</f>
        <v>284837</v>
      </c>
      <c r="K24" s="1202">
        <f>IF([1]Digesters!AB24="","",[1]Digesters!AB24)</f>
        <v>185722</v>
      </c>
      <c r="L24" s="1205">
        <f>IF([1]Digesters!C24="","",[1]Digesters!C24)</f>
        <v>547</v>
      </c>
      <c r="M24" s="1153">
        <f>IF([1]Digesters!B24="","",[1]Digesters!B24)</f>
        <v>146</v>
      </c>
      <c r="N24" s="1153">
        <f t="shared" si="20"/>
        <v>72.999126002494492</v>
      </c>
      <c r="O24" s="1154" t="str">
        <f>IF([2]DIG!AG24="","",[2]DIG!AG24)</f>
        <v/>
      </c>
      <c r="P24" s="1154" t="str">
        <f>IF([2]DIG!AH24="","",[2]DIG!AH24)</f>
        <v/>
      </c>
      <c r="Q24" s="1153" t="str">
        <f t="shared" si="21"/>
        <v/>
      </c>
      <c r="R24" s="1165" t="str">
        <f t="shared" si="22"/>
        <v/>
      </c>
      <c r="S24" s="1172">
        <f>IF([1]Digesters!E24="","",[1]Digesters!E24)</f>
        <v>555</v>
      </c>
      <c r="T24" s="1153">
        <f>IF([1]Digesters!D24="","",[1]Digesters!D24)</f>
        <v>146</v>
      </c>
      <c r="U24" s="1153">
        <f t="shared" ref="U24:U33" si="42">IF(OR(S24="",F24="",T24="",I24=""),"",IF((((S24*F24/100)+(T24*I24/100))/(S24+T24))*100&lt;0,"",(((S24*F24/100)+(T24*I24/100))/(S24+T24)))*100)</f>
        <v>72.996314966674461</v>
      </c>
      <c r="V24" s="1156" t="str">
        <f>IF([2]DIG!AJ24="","",[2]DIG!AJ24)</f>
        <v/>
      </c>
      <c r="W24" s="1156" t="str">
        <f>IF([2]DIG!AK24="","",[2]DIG!AK24)</f>
        <v/>
      </c>
      <c r="X24" s="1153" t="str">
        <f t="shared" ref="X24:X33" si="43">IF(OR(W24="",V24=""),"",(W24/V24)*100)</f>
        <v/>
      </c>
      <c r="Y24" s="1180" t="str">
        <f t="shared" ref="Y24:Y33" si="44">IF(OR(U24="",X24=""),"",((U24/100-X24/100)/(U24/100-(U24/100*X24/100)))*100)</f>
        <v/>
      </c>
      <c r="Z24" s="1205">
        <f>IF([1]Digesters!F24="","",[1]Digesters!F24)</f>
        <v>954</v>
      </c>
      <c r="AA24" s="1153">
        <f t="shared" si="23"/>
        <v>73.921971252566735</v>
      </c>
      <c r="AB24" s="1154" t="str">
        <f>IF([2]DIG!AM24="","",[2]DIG!AM24)</f>
        <v/>
      </c>
      <c r="AC24" s="1154" t="str">
        <f>IF([2]DIG!AN24="","",[2]DIG!AN24)</f>
        <v/>
      </c>
      <c r="AD24" s="1153" t="str">
        <f t="shared" si="24"/>
        <v/>
      </c>
      <c r="AE24" s="1165" t="str">
        <f t="shared" si="25"/>
        <v/>
      </c>
      <c r="AF24" s="1175">
        <v>21</v>
      </c>
      <c r="AG24" s="1205">
        <f>IF([1]Digesters!I24="","",[1]Digesters!I24)</f>
        <v>567</v>
      </c>
      <c r="AH24" s="1153">
        <f>IF([1]Digesters!H24="","",[1]Digesters!H24)</f>
        <v>151</v>
      </c>
      <c r="AI24" s="1153">
        <f t="shared" si="26"/>
        <v>72.998691303296354</v>
      </c>
      <c r="AJ24" s="1156" t="str">
        <f>IF([2]DIG!AP24="","",[2]DIG!AP24)</f>
        <v/>
      </c>
      <c r="AK24" s="1156" t="str">
        <f>IF([2]DIG!AQ24="","",[2]DIG!AQ24)</f>
        <v/>
      </c>
      <c r="AL24" s="1153" t="str">
        <f t="shared" si="27"/>
        <v/>
      </c>
      <c r="AM24" s="1165" t="str">
        <f t="shared" si="28"/>
        <v/>
      </c>
      <c r="AN24" s="1172">
        <f>IF([1]Digesters!K24="","",[1]Digesters!K24)</f>
        <v>573</v>
      </c>
      <c r="AO24" s="1153">
        <f>IF([1]Digesters!J24="","",[1]Digesters!J24)</f>
        <v>150</v>
      </c>
      <c r="AP24" s="1153">
        <f t="shared" si="29"/>
        <v>72.995373773785346</v>
      </c>
      <c r="AQ24" s="1156" t="str">
        <f>IF([2]DIG!AS24="","",[2]DIG!AS24)</f>
        <v/>
      </c>
      <c r="AR24" s="1156" t="str">
        <f>IF([2]DIG!AT24="","",[2]DIG!AT24)</f>
        <v/>
      </c>
      <c r="AS24" s="1153" t="str">
        <f t="shared" si="30"/>
        <v/>
      </c>
      <c r="AT24" s="1180" t="str">
        <f t="shared" si="31"/>
        <v/>
      </c>
      <c r="AU24" s="1205">
        <f>IF([1]Digesters!M24="","",[1]Digesters!M24)</f>
        <v>559</v>
      </c>
      <c r="AV24" s="1153">
        <f>IF([1]Digesters!L24="","",[1]Digesters!L24)</f>
        <v>148</v>
      </c>
      <c r="AW24" s="1153">
        <f t="shared" si="32"/>
        <v>72.997555827579873</v>
      </c>
      <c r="AX24" s="1156" t="str">
        <f>IF([2]DIG!AV24="","",[2]DIG!AV24)</f>
        <v/>
      </c>
      <c r="AY24" s="1156" t="str">
        <f>IF([2]DIG!AW24="","",[2]DIG!AW24)</f>
        <v/>
      </c>
      <c r="AZ24" s="1153" t="str">
        <f t="shared" si="33"/>
        <v/>
      </c>
      <c r="BA24" s="1165" t="str">
        <f t="shared" si="34"/>
        <v/>
      </c>
      <c r="BB24" s="1172" t="str">
        <f t="shared" si="35"/>
        <v/>
      </c>
      <c r="BC24" s="1156" t="str">
        <f>IF([2]DIG!AA24="","",[2]DIG!AA24)</f>
        <v/>
      </c>
      <c r="BD24" s="1156" t="str">
        <f>IF([2]DIG!AB24="","",[2]DIG!AB24)</f>
        <v/>
      </c>
      <c r="BE24" s="1153" t="str">
        <f t="shared" si="36"/>
        <v/>
      </c>
      <c r="BF24" s="1214" t="str">
        <f t="shared" si="37"/>
        <v/>
      </c>
      <c r="BG24" s="1205" t="str">
        <f t="shared" si="38"/>
        <v/>
      </c>
      <c r="BH24" s="1156" t="str">
        <f>IF([2]DIG!AD24="","",[2]DIG!AD24)</f>
        <v/>
      </c>
      <c r="BI24" s="1156" t="str">
        <f>IF([2]DIG!AE24="","",([2]DIG!AE24))</f>
        <v/>
      </c>
      <c r="BJ24" s="1153" t="str">
        <f t="shared" si="39"/>
        <v/>
      </c>
      <c r="BK24" s="1217" t="str">
        <f t="shared" si="40"/>
        <v/>
      </c>
      <c r="BL24" s="1223" t="str">
        <f>IF([2]BP_GB!B24="","",[2]BP_GB!B24)</f>
        <v/>
      </c>
      <c r="BM24" s="1156" t="str">
        <f>IF([2]BP_GB!C24="","",[2]BP_GB!C24)</f>
        <v/>
      </c>
      <c r="BN24" s="1165" t="str">
        <f t="shared" si="41"/>
        <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5">
        <v>22</v>
      </c>
      <c r="B25" s="1172">
        <f t="shared" si="16"/>
        <v>79.923093007570827</v>
      </c>
      <c r="C25" s="1180">
        <f t="shared" si="17"/>
        <v>68.515912213931756</v>
      </c>
      <c r="D25" s="1193">
        <f>IF([2]PRI_SLG!B25="","",[2]PRI_SLG!B25)</f>
        <v>4.3099999999999996</v>
      </c>
      <c r="E25" s="1154">
        <f>IF([2]PRI_SLG!C25="","",[2]PRI_SLG!C25)</f>
        <v>3.64</v>
      </c>
      <c r="F25" s="1165">
        <f t="shared" si="18"/>
        <v>84.45475638051046</v>
      </c>
      <c r="G25" s="1190">
        <f>IF([2]TWAS!B25="","",[2]TWAS!B25)</f>
        <v>4.29</v>
      </c>
      <c r="H25" s="1154">
        <f>IF([2]TWAS!C25="","",[2]TWAS!C25)</f>
        <v>3.16</v>
      </c>
      <c r="I25" s="1180">
        <f t="shared" si="19"/>
        <v>73.659673659673658</v>
      </c>
      <c r="J25" s="1196">
        <f>IF([1]Digesters!Z25="","",[1]Digesters!Z25)</f>
        <v>296878</v>
      </c>
      <c r="K25" s="1202">
        <f>IF([1]Digesters!AB25="","",[1]Digesters!AB25)</f>
        <v>214795</v>
      </c>
      <c r="L25" s="1205">
        <f>IF([1]Digesters!C25="","",[1]Digesters!C25)</f>
        <v>567</v>
      </c>
      <c r="M25" s="1153">
        <f>IF([1]Digesters!B25="","",[1]Digesters!B25)</f>
        <v>172</v>
      </c>
      <c r="N25" s="1153">
        <f t="shared" si="20"/>
        <v>81.942233744537617</v>
      </c>
      <c r="O25" s="1154">
        <f>IF([2]DIG!AG25="","",[2]DIG!AG25)</f>
        <v>1.92</v>
      </c>
      <c r="P25" s="1154">
        <f>IF([2]DIG!AH25="","",[2]DIG!AH25)</f>
        <v>1.02</v>
      </c>
      <c r="Q25" s="1153">
        <f t="shared" si="21"/>
        <v>53.125</v>
      </c>
      <c r="R25" s="1165">
        <f t="shared" si="22"/>
        <v>75.02451728780018</v>
      </c>
      <c r="S25" s="1172">
        <f>IF([1]Digesters!E25="","",[1]Digesters!E25)</f>
        <v>580</v>
      </c>
      <c r="T25" s="1153">
        <f>IF([1]Digesters!D25="","",[1]Digesters!D25)</f>
        <v>172</v>
      </c>
      <c r="U25" s="1153">
        <f t="shared" si="42"/>
        <v>81.985668311382895</v>
      </c>
      <c r="V25" s="1156">
        <f>IF([2]DIG!AJ25="","",[2]DIG!AJ25)</f>
        <v>1.84</v>
      </c>
      <c r="W25" s="1156">
        <f>IF([2]DIG!AK25="","",[2]DIG!AK25)</f>
        <v>1</v>
      </c>
      <c r="X25" s="1153">
        <f t="shared" si="43"/>
        <v>54.347826086956516</v>
      </c>
      <c r="Y25" s="1180">
        <f t="shared" si="44"/>
        <v>73.842217299261932</v>
      </c>
      <c r="Z25" s="1205">
        <f>IF([1]Digesters!F25="","",[1]Digesters!F25)</f>
        <v>1057</v>
      </c>
      <c r="AA25" s="1153">
        <f t="shared" si="23"/>
        <v>73.659673659673658</v>
      </c>
      <c r="AB25" s="1154">
        <f>IF([2]DIG!AM25="","",[2]DIG!AM25)</f>
        <v>2.36</v>
      </c>
      <c r="AC25" s="1154">
        <f>IF([2]DIG!AN25="","",[2]DIG!AN25)</f>
        <v>1.47</v>
      </c>
      <c r="AD25" s="1153">
        <f t="shared" si="24"/>
        <v>62.288135593220339</v>
      </c>
      <c r="AE25" s="1165">
        <f t="shared" si="25"/>
        <v>40.936566633480275</v>
      </c>
      <c r="AF25" s="1175">
        <v>22</v>
      </c>
      <c r="AG25" s="1205">
        <f>IF([1]Digesters!I25="","",[1]Digesters!I25)</f>
        <v>609</v>
      </c>
      <c r="AH25" s="1153">
        <f>IF([1]Digesters!H25="","",[1]Digesters!H25)</f>
        <v>176</v>
      </c>
      <c r="AI25" s="1153">
        <f t="shared" si="26"/>
        <v>82.03445757940564</v>
      </c>
      <c r="AJ25" s="1156">
        <f>IF([2]DIG!AP25="","",[2]DIG!AP25)</f>
        <v>2.1</v>
      </c>
      <c r="AK25" s="1156">
        <f>IF([2]DIG!AQ25="","",[2]DIG!AQ25)</f>
        <v>1.1100000000000001</v>
      </c>
      <c r="AL25" s="1153">
        <f t="shared" si="27"/>
        <v>52.857142857142861</v>
      </c>
      <c r="AM25" s="1165">
        <f t="shared" si="28"/>
        <v>75.445459724502655</v>
      </c>
      <c r="AN25" s="1172">
        <f>IF([1]Digesters!K25="","",[1]Digesters!K25)</f>
        <v>604</v>
      </c>
      <c r="AO25" s="1153">
        <f>IF([1]Digesters!J25="","",[1]Digesters!J25)</f>
        <v>174</v>
      </c>
      <c r="AP25" s="1153">
        <f t="shared" si="29"/>
        <v>82.040431967367013</v>
      </c>
      <c r="AQ25" s="1156">
        <f>IF([2]DIG!AS25="","",[2]DIG!AS25)</f>
        <v>1.97</v>
      </c>
      <c r="AR25" s="1156">
        <f>IF([2]DIG!AT25="","",[2]DIG!AT25)</f>
        <v>1.08</v>
      </c>
      <c r="AS25" s="1153">
        <f t="shared" si="30"/>
        <v>54.822335025380717</v>
      </c>
      <c r="AT25" s="1180">
        <f t="shared" si="31"/>
        <v>73.435496869494699</v>
      </c>
      <c r="AU25" s="1205">
        <f>IF([1]Digesters!M25="","",[1]Digesters!M25)</f>
        <v>579</v>
      </c>
      <c r="AV25" s="1153">
        <f>IF([1]Digesters!L25="","",[1]Digesters!L25)</f>
        <v>172</v>
      </c>
      <c r="AW25" s="1153">
        <f t="shared" si="32"/>
        <v>81.982380577602427</v>
      </c>
      <c r="AX25" s="1156">
        <f>IF([2]DIG!AV25="","",[2]DIG!AV25)</f>
        <v>2.02</v>
      </c>
      <c r="AY25" s="1156">
        <f>IF([2]DIG!AW25="","",[2]DIG!AW25)</f>
        <v>1.1000000000000001</v>
      </c>
      <c r="AZ25" s="1153">
        <f t="shared" si="33"/>
        <v>54.455445544554458</v>
      </c>
      <c r="BA25" s="1165">
        <f t="shared" si="34"/>
        <v>73.722639328903526</v>
      </c>
      <c r="BB25" s="1172">
        <f t="shared" si="35"/>
        <v>53.443322981366464</v>
      </c>
      <c r="BC25" s="1156">
        <f>IF([2]DIG!AA25="","",[2]DIG!AA25)</f>
        <v>2.0099999999999998</v>
      </c>
      <c r="BD25" s="1156">
        <f>IF([2]DIG!AB25="","",[2]DIG!AB25)</f>
        <v>0.96</v>
      </c>
      <c r="BE25" s="1153">
        <f t="shared" si="36"/>
        <v>47.761194029850749</v>
      </c>
      <c r="BF25" s="1214">
        <f t="shared" si="37"/>
        <v>20.352810551110814</v>
      </c>
      <c r="BG25" s="1205">
        <f t="shared" si="38"/>
        <v>53.443322981366464</v>
      </c>
      <c r="BH25" s="1156">
        <f>IF([2]DIG!AD25="","",[2]DIG!AD25)</f>
        <v>1.68</v>
      </c>
      <c r="BI25" s="1156">
        <f>IF([2]DIG!AE25="","",([2]DIG!AE25))</f>
        <v>0.93</v>
      </c>
      <c r="BJ25" s="1153">
        <f t="shared" si="39"/>
        <v>55.357142857142861</v>
      </c>
      <c r="BK25" s="1217">
        <f t="shared" si="40"/>
        <v>-8.0215006900559462</v>
      </c>
      <c r="BL25" s="1223">
        <f>IF([2]BP_GB!B25="","",[2]BP_GB!B25)</f>
        <v>1.69</v>
      </c>
      <c r="BM25" s="1156">
        <f>IF([2]BP_GB!C25="","",[2]BP_GB!C25)</f>
        <v>0.94</v>
      </c>
      <c r="BN25" s="1165">
        <f t="shared" si="41"/>
        <v>55.621301775147927</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5">
        <v>23</v>
      </c>
      <c r="B26" s="1172">
        <f t="shared" si="16"/>
        <v>75.838656559631104</v>
      </c>
      <c r="C26" s="1180" t="str">
        <f t="shared" si="17"/>
        <v/>
      </c>
      <c r="D26" s="1193">
        <f>IF([2]PRI_SLG!B26="","",[2]PRI_SLG!B26)</f>
        <v>4</v>
      </c>
      <c r="E26" s="1154">
        <f>IF([2]PRI_SLG!C26="","",[2]PRI_SLG!C26)</f>
        <v>3.05</v>
      </c>
      <c r="F26" s="1165">
        <f t="shared" si="18"/>
        <v>76.25</v>
      </c>
      <c r="G26" s="1190">
        <f>IF([2]TWAS!B26="","",[2]TWAS!B26)</f>
        <v>4.26</v>
      </c>
      <c r="H26" s="1154">
        <f>IF([2]TWAS!C26="","",[2]TWAS!C26)</f>
        <v>3.2</v>
      </c>
      <c r="I26" s="1180">
        <f t="shared" si="19"/>
        <v>75.117370892018783</v>
      </c>
      <c r="J26" s="1196">
        <f>IF([1]Digesters!Z26="","",[1]Digesters!Z26)</f>
        <v>394668</v>
      </c>
      <c r="K26" s="1202">
        <f>IF([1]Digesters!AB26="","",[1]Digesters!AB26)</f>
        <v>225076</v>
      </c>
      <c r="L26" s="1205">
        <f>IF([1]Digesters!C26="","",[1]Digesters!C26)</f>
        <v>770</v>
      </c>
      <c r="M26" s="1153">
        <f>IF([1]Digesters!B26="","",[1]Digesters!B26)</f>
        <v>184</v>
      </c>
      <c r="N26" s="1153">
        <f t="shared" si="20"/>
        <v>76.031547425714322</v>
      </c>
      <c r="O26" s="1154" t="str">
        <f>IF([2]DIG!AG26="","",[2]DIG!AG26)</f>
        <v/>
      </c>
      <c r="P26" s="1154" t="str">
        <f>IF([2]DIG!AH26="","",[2]DIG!AH26)</f>
        <v/>
      </c>
      <c r="Q26" s="1153" t="str">
        <f t="shared" si="21"/>
        <v/>
      </c>
      <c r="R26" s="1165" t="str">
        <f t="shared" si="22"/>
        <v/>
      </c>
      <c r="S26" s="1172">
        <f>IF([1]Digesters!E26="","",[1]Digesters!E26)</f>
        <v>777</v>
      </c>
      <c r="T26" s="1153">
        <f>IF([1]Digesters!D26="","",[1]Digesters!D26)</f>
        <v>183</v>
      </c>
      <c r="U26" s="1153">
        <f t="shared" si="42"/>
        <v>76.034092576291073</v>
      </c>
      <c r="V26" s="1156" t="str">
        <f>IF([2]DIG!AJ26="","",[2]DIG!AJ26)</f>
        <v/>
      </c>
      <c r="W26" s="1156" t="str">
        <f>IF([2]DIG!AK26="","",[2]DIG!AK26)</f>
        <v/>
      </c>
      <c r="X26" s="1153" t="str">
        <f t="shared" si="43"/>
        <v/>
      </c>
      <c r="Y26" s="1180" t="str">
        <f t="shared" si="44"/>
        <v/>
      </c>
      <c r="Z26" s="1205">
        <f>IF([1]Digesters!F26="","",[1]Digesters!F26)</f>
        <v>1217</v>
      </c>
      <c r="AA26" s="1153">
        <f t="shared" si="23"/>
        <v>75.117370892018783</v>
      </c>
      <c r="AB26" s="1154" t="str">
        <f>IF([2]DIG!AM26="","",[2]DIG!AM26)</f>
        <v/>
      </c>
      <c r="AC26" s="1154" t="str">
        <f>IF([2]DIG!AN26="","",[2]DIG!AN26)</f>
        <v/>
      </c>
      <c r="AD26" s="1153" t="str">
        <f t="shared" si="24"/>
        <v/>
      </c>
      <c r="AE26" s="1165" t="str">
        <f t="shared" si="25"/>
        <v/>
      </c>
      <c r="AF26" s="1175">
        <v>23</v>
      </c>
      <c r="AG26" s="1205">
        <f>IF([1]Digesters!I26="","",[1]Digesters!I26)</f>
        <v>784</v>
      </c>
      <c r="AH26" s="1153">
        <f>IF([1]Digesters!H26="","",[1]Digesters!H26)</f>
        <v>189</v>
      </c>
      <c r="AI26" s="1153">
        <f t="shared" si="26"/>
        <v>76.029992907082772</v>
      </c>
      <c r="AJ26" s="1156" t="str">
        <f>IF([2]DIG!AP26="","",[2]DIG!AP26)</f>
        <v/>
      </c>
      <c r="AK26" s="1156" t="str">
        <f>IF([2]DIG!AQ26="","",[2]DIG!AQ26)</f>
        <v/>
      </c>
      <c r="AL26" s="1153" t="str">
        <f t="shared" si="27"/>
        <v/>
      </c>
      <c r="AM26" s="1165" t="str">
        <f t="shared" si="28"/>
        <v/>
      </c>
      <c r="AN26" s="1172">
        <f>IF([1]Digesters!K26="","",[1]Digesters!K26)</f>
        <v>773</v>
      </c>
      <c r="AO26" s="1153">
        <f>IF([1]Digesters!J26="","",[1]Digesters!J26)</f>
        <v>174</v>
      </c>
      <c r="AP26" s="1153">
        <f t="shared" si="29"/>
        <v>76.041892856611682</v>
      </c>
      <c r="AQ26" s="1156" t="str">
        <f>IF([2]DIG!AS26="","",[2]DIG!AS26)</f>
        <v/>
      </c>
      <c r="AR26" s="1156" t="str">
        <f>IF([2]DIG!AT26="","",[2]DIG!AT26)</f>
        <v/>
      </c>
      <c r="AS26" s="1153" t="str">
        <f t="shared" si="30"/>
        <v/>
      </c>
      <c r="AT26" s="1180" t="str">
        <f t="shared" si="31"/>
        <v/>
      </c>
      <c r="AU26" s="1205">
        <f>IF([1]Digesters!M26="","",[1]Digesters!M26)</f>
        <v>785</v>
      </c>
      <c r="AV26" s="1153">
        <f>IF([1]Digesters!L26="","",[1]Digesters!L26)</f>
        <v>184</v>
      </c>
      <c r="AW26" s="1153">
        <f t="shared" si="32"/>
        <v>76.034929044511301</v>
      </c>
      <c r="AX26" s="1156" t="str">
        <f>IF([2]DIG!AV26="","",[2]DIG!AV26)</f>
        <v/>
      </c>
      <c r="AY26" s="1156" t="str">
        <f>IF([2]DIG!AW26="","",[2]DIG!AW26)</f>
        <v/>
      </c>
      <c r="AZ26" s="1153" t="str">
        <f t="shared" si="33"/>
        <v/>
      </c>
      <c r="BA26" s="1165" t="str">
        <f t="shared" si="34"/>
        <v/>
      </c>
      <c r="BB26" s="1172" t="str">
        <f t="shared" si="35"/>
        <v/>
      </c>
      <c r="BC26" s="1156" t="str">
        <f>IF([2]DIG!AA26="","",[2]DIG!AA26)</f>
        <v/>
      </c>
      <c r="BD26" s="1156" t="str">
        <f>IF([2]DIG!AB26="","",[2]DIG!AB26)</f>
        <v/>
      </c>
      <c r="BE26" s="1153" t="str">
        <f t="shared" si="36"/>
        <v/>
      </c>
      <c r="BF26" s="1214" t="str">
        <f t="shared" si="37"/>
        <v/>
      </c>
      <c r="BG26" s="1205" t="str">
        <f t="shared" si="38"/>
        <v/>
      </c>
      <c r="BH26" s="1156" t="str">
        <f>IF([2]DIG!AD26="","",[2]DIG!AD26)</f>
        <v/>
      </c>
      <c r="BI26" s="1156" t="str">
        <f>IF([2]DIG!AE26="","",([2]DIG!AE26))</f>
        <v/>
      </c>
      <c r="BJ26" s="1153" t="str">
        <f t="shared" si="39"/>
        <v/>
      </c>
      <c r="BK26" s="1217" t="str">
        <f t="shared" si="40"/>
        <v/>
      </c>
      <c r="BL26" s="1223" t="str">
        <f>IF([2]BP_GB!B26="","",[2]BP_GB!B26)</f>
        <v/>
      </c>
      <c r="BM26" s="1156" t="str">
        <f>IF([2]BP_GB!C26="","",[2]BP_GB!C26)</f>
        <v/>
      </c>
      <c r="BN26" s="1165" t="str">
        <f t="shared" si="41"/>
        <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5">
        <v>24</v>
      </c>
      <c r="B27" s="1172">
        <f t="shared" si="16"/>
        <v>76.623060100087358</v>
      </c>
      <c r="C27" s="1180" t="str">
        <f t="shared" si="17"/>
        <v/>
      </c>
      <c r="D27" s="1193">
        <f>IF([2]PRI_SLG!B27="","",[2]PRI_SLG!B27)</f>
        <v>3.86</v>
      </c>
      <c r="E27" s="1154">
        <f>IF([2]PRI_SLG!C27="","",[2]PRI_SLG!C27)</f>
        <v>3.02</v>
      </c>
      <c r="F27" s="1165">
        <f t="shared" si="18"/>
        <v>78.238341968911911</v>
      </c>
      <c r="G27" s="1190">
        <f>IF([2]TWAS!B27="","",[2]TWAS!B27)</f>
        <v>4.41</v>
      </c>
      <c r="H27" s="1154">
        <f>IF([2]TWAS!C27="","",[2]TWAS!C27)</f>
        <v>3.28</v>
      </c>
      <c r="I27" s="1180">
        <f t="shared" si="19"/>
        <v>74.37641723356009</v>
      </c>
      <c r="J27" s="1196">
        <f>IF([1]Digesters!Z27="","",[1]Digesters!Z27)</f>
        <v>388052</v>
      </c>
      <c r="K27" s="1202">
        <f>IF([1]Digesters!AB27="","",[1]Digesters!AB27)</f>
        <v>279000</v>
      </c>
      <c r="L27" s="1205">
        <f>IF([1]Digesters!C27="","",[1]Digesters!C27)</f>
        <v>737</v>
      </c>
      <c r="M27" s="1153">
        <f>IF([1]Digesters!B27="","",[1]Digesters!B27)</f>
        <v>221</v>
      </c>
      <c r="N27" s="1153">
        <f t="shared" si="20"/>
        <v>77.347438663575019</v>
      </c>
      <c r="O27" s="1154" t="str">
        <f>IF([2]DIG!AG27="","",[2]DIG!AG27)</f>
        <v/>
      </c>
      <c r="P27" s="1154" t="str">
        <f>IF([2]DIG!AH27="","",[2]DIG!AH27)</f>
        <v/>
      </c>
      <c r="Q27" s="1153" t="str">
        <f t="shared" si="21"/>
        <v/>
      </c>
      <c r="R27" s="1165" t="str">
        <f t="shared" si="22"/>
        <v/>
      </c>
      <c r="S27" s="1172">
        <f>IF([1]Digesters!E27="","",[1]Digesters!E27)</f>
        <v>760</v>
      </c>
      <c r="T27" s="1153">
        <f>IF([1]Digesters!D27="","",[1]Digesters!D27)</f>
        <v>222</v>
      </c>
      <c r="U27" s="1153">
        <f t="shared" si="42"/>
        <v>77.365279554198978</v>
      </c>
      <c r="V27" s="1156" t="str">
        <f>IF([2]DIG!AJ27="","",[2]DIG!AJ27)</f>
        <v/>
      </c>
      <c r="W27" s="1156" t="str">
        <f>IF([2]DIG!AK27="","",[2]DIG!AK27)</f>
        <v/>
      </c>
      <c r="X27" s="1153" t="str">
        <f t="shared" si="43"/>
        <v/>
      </c>
      <c r="Y27" s="1180" t="str">
        <f t="shared" si="44"/>
        <v/>
      </c>
      <c r="Z27" s="1205">
        <f>IF([1]Digesters!F27="","",[1]Digesters!F27)</f>
        <v>1729</v>
      </c>
      <c r="AA27" s="1153">
        <f t="shared" si="23"/>
        <v>74.37641723356009</v>
      </c>
      <c r="AB27" s="1154" t="str">
        <f>IF([2]DIG!AM27="","",[2]DIG!AM27)</f>
        <v/>
      </c>
      <c r="AC27" s="1154" t="str">
        <f>IF([2]DIG!AN27="","",[2]DIG!AN27)</f>
        <v/>
      </c>
      <c r="AD27" s="1153" t="str">
        <f t="shared" si="24"/>
        <v/>
      </c>
      <c r="AE27" s="1165" t="str">
        <f t="shared" si="25"/>
        <v/>
      </c>
      <c r="AF27" s="1175">
        <v>24</v>
      </c>
      <c r="AG27" s="1205">
        <f>IF([1]Digesters!I27="","",[1]Digesters!I27)</f>
        <v>781</v>
      </c>
      <c r="AH27" s="1153">
        <f>IF([1]Digesters!H27="","",[1]Digesters!H27)</f>
        <v>239</v>
      </c>
      <c r="AI27" s="1153">
        <f t="shared" si="26"/>
        <v>77.333439996608902</v>
      </c>
      <c r="AJ27" s="1156" t="str">
        <f>IF([2]DIG!AP27="","",[2]DIG!AP27)</f>
        <v/>
      </c>
      <c r="AK27" s="1156" t="str">
        <f>IF([2]DIG!AQ27="","",[2]DIG!AQ27)</f>
        <v/>
      </c>
      <c r="AL27" s="1153" t="str">
        <f t="shared" si="27"/>
        <v/>
      </c>
      <c r="AM27" s="1165" t="str">
        <f t="shared" si="28"/>
        <v/>
      </c>
      <c r="AN27" s="1172">
        <f>IF([1]Digesters!K27="","",[1]Digesters!K27)</f>
        <v>772</v>
      </c>
      <c r="AO27" s="1153">
        <f>IF([1]Digesters!J27="","",[1]Digesters!J27)</f>
        <v>230</v>
      </c>
      <c r="AP27" s="1153">
        <f t="shared" si="29"/>
        <v>77.351872219280253</v>
      </c>
      <c r="AQ27" s="1156" t="str">
        <f>IF([2]DIG!AS27="","",[2]DIG!AS27)</f>
        <v/>
      </c>
      <c r="AR27" s="1156" t="str">
        <f>IF([2]DIG!AT27="","",[2]DIG!AT27)</f>
        <v/>
      </c>
      <c r="AS27" s="1153" t="str">
        <f t="shared" si="30"/>
        <v/>
      </c>
      <c r="AT27" s="1180" t="str">
        <f t="shared" si="31"/>
        <v/>
      </c>
      <c r="AU27" s="1205">
        <f>IF([1]Digesters!M27="","",[1]Digesters!M27)</f>
        <v>765</v>
      </c>
      <c r="AV27" s="1153">
        <f>IF([1]Digesters!L27="","",[1]Digesters!L27)</f>
        <v>222</v>
      </c>
      <c r="AW27" s="1153">
        <f t="shared" si="32"/>
        <v>77.369702362784125</v>
      </c>
      <c r="AX27" s="1156" t="str">
        <f>IF([2]DIG!AV27="","",[2]DIG!AV27)</f>
        <v/>
      </c>
      <c r="AY27" s="1156" t="str">
        <f>IF([2]DIG!AW27="","",[2]DIG!AW27)</f>
        <v/>
      </c>
      <c r="AZ27" s="1153" t="str">
        <f t="shared" si="33"/>
        <v/>
      </c>
      <c r="BA27" s="1165" t="str">
        <f t="shared" si="34"/>
        <v/>
      </c>
      <c r="BB27" s="1172" t="str">
        <f t="shared" si="35"/>
        <v/>
      </c>
      <c r="BC27" s="1156" t="str">
        <f>IF([2]DIG!AA27="","",[2]DIG!AA27)</f>
        <v/>
      </c>
      <c r="BD27" s="1156" t="str">
        <f>IF([2]DIG!AB27="","",[2]DIG!AB27)</f>
        <v/>
      </c>
      <c r="BE27" s="1153" t="str">
        <f t="shared" si="36"/>
        <v/>
      </c>
      <c r="BF27" s="1214" t="str">
        <f t="shared" si="37"/>
        <v/>
      </c>
      <c r="BG27" s="1205" t="str">
        <f t="shared" si="38"/>
        <v/>
      </c>
      <c r="BH27" s="1156" t="str">
        <f>IF([2]DIG!AD27="","",[2]DIG!AD27)</f>
        <v/>
      </c>
      <c r="BI27" s="1156" t="str">
        <f>IF([2]DIG!AE27="","",([2]DIG!AE27))</f>
        <v/>
      </c>
      <c r="BJ27" s="1153" t="str">
        <f t="shared" si="39"/>
        <v/>
      </c>
      <c r="BK27" s="1217" t="str">
        <f t="shared" si="40"/>
        <v/>
      </c>
      <c r="BL27" s="1223" t="str">
        <f>IF([2]BP_GB!B27="","",[2]BP_GB!B27)</f>
        <v/>
      </c>
      <c r="BM27" s="1156" t="str">
        <f>IF([2]BP_GB!C27="","",[2]BP_GB!C27)</f>
        <v/>
      </c>
      <c r="BN27" s="1165"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5">
        <v>25</v>
      </c>
      <c r="B28" s="1172">
        <f t="shared" si="16"/>
        <v>79.89137948017364</v>
      </c>
      <c r="C28" s="1180" t="str">
        <f t="shared" si="17"/>
        <v/>
      </c>
      <c r="D28" s="1193">
        <f>IF([2]PRI_SLG!B28="","",[2]PRI_SLG!B28)</f>
        <v>4.0199999999999996</v>
      </c>
      <c r="E28" s="1154">
        <f>IF([2]PRI_SLG!C28="","",[2]PRI_SLG!C28)</f>
        <v>3.4</v>
      </c>
      <c r="F28" s="1165">
        <f t="shared" si="18"/>
        <v>84.577114427860707</v>
      </c>
      <c r="G28" s="1190">
        <f>IF([2]TWAS!B28="","",[2]TWAS!B28)</f>
        <v>3.82</v>
      </c>
      <c r="H28" s="1154">
        <f>IF([2]TWAS!C28="","",[2]TWAS!C28)</f>
        <v>2.84</v>
      </c>
      <c r="I28" s="1180">
        <f t="shared" si="19"/>
        <v>74.345549738219901</v>
      </c>
      <c r="J28" s="1196">
        <f>IF([1]Digesters!Z28="","",[1]Digesters!Z28)</f>
        <v>289325</v>
      </c>
      <c r="K28" s="1202">
        <f>IF([1]Digesters!AB28="","",[1]Digesters!AB28)</f>
        <v>244454</v>
      </c>
      <c r="L28" s="1205">
        <f>IF([1]Digesters!C28="","",[1]Digesters!C28)</f>
        <v>547</v>
      </c>
      <c r="M28" s="1153">
        <f>IF([1]Digesters!B28="","",[1]Digesters!B28)</f>
        <v>196</v>
      </c>
      <c r="N28" s="1153">
        <f t="shared" si="20"/>
        <v>81.878074482814128</v>
      </c>
      <c r="O28" s="1154" t="str">
        <f>IF([2]DIG!AG28="","",[2]DIG!AG28)</f>
        <v/>
      </c>
      <c r="P28" s="1154" t="str">
        <f>IF([2]DIG!AH28="","",[2]DIG!AH28)</f>
        <v/>
      </c>
      <c r="Q28" s="1153" t="str">
        <f t="shared" si="21"/>
        <v/>
      </c>
      <c r="R28" s="1165" t="str">
        <f t="shared" si="22"/>
        <v/>
      </c>
      <c r="S28" s="1172">
        <f>IF([1]Digesters!E28="","",[1]Digesters!E28)</f>
        <v>563</v>
      </c>
      <c r="T28" s="1153">
        <f>IF([1]Digesters!D28="","",[1]Digesters!D28)</f>
        <v>198</v>
      </c>
      <c r="U28" s="1153">
        <f t="shared" si="42"/>
        <v>81.915025323328663</v>
      </c>
      <c r="V28" s="1156" t="str">
        <f>IF([2]DIG!AJ28="","",[2]DIG!AJ28)</f>
        <v/>
      </c>
      <c r="W28" s="1156" t="str">
        <f>IF([2]DIG!AK28="","",[2]DIG!AK28)</f>
        <v/>
      </c>
      <c r="X28" s="1153" t="str">
        <f t="shared" si="43"/>
        <v/>
      </c>
      <c r="Y28" s="1180" t="str">
        <f t="shared" si="44"/>
        <v/>
      </c>
      <c r="Z28" s="1205">
        <f>IF([1]Digesters!F28="","",[1]Digesters!F28)</f>
        <v>1414</v>
      </c>
      <c r="AA28" s="1153">
        <f t="shared" si="23"/>
        <v>74.345549738219901</v>
      </c>
      <c r="AB28" s="1154" t="str">
        <f>IF([2]DIG!AM28="","",[2]DIG!AM28)</f>
        <v/>
      </c>
      <c r="AC28" s="1154" t="str">
        <f>IF([2]DIG!AN28="","",[2]DIG!AN28)</f>
        <v/>
      </c>
      <c r="AD28" s="1153" t="str">
        <f t="shared" si="24"/>
        <v/>
      </c>
      <c r="AE28" s="1165" t="str">
        <f t="shared" si="25"/>
        <v/>
      </c>
      <c r="AF28" s="1175">
        <v>25</v>
      </c>
      <c r="AG28" s="1205">
        <f>IF([1]Digesters!I28="","",[1]Digesters!I28)</f>
        <v>553</v>
      </c>
      <c r="AH28" s="1153">
        <f>IF([1]Digesters!H28="","",[1]Digesters!H28)</f>
        <v>203</v>
      </c>
      <c r="AI28" s="1153">
        <f t="shared" si="26"/>
        <v>81.829749835271954</v>
      </c>
      <c r="AJ28" s="1156" t="str">
        <f>IF([2]DIG!AP28="","",[2]DIG!AP28)</f>
        <v/>
      </c>
      <c r="AK28" s="1156" t="str">
        <f>IF([2]DIG!AQ28="","",[2]DIG!AQ28)</f>
        <v/>
      </c>
      <c r="AL28" s="1153" t="str">
        <f t="shared" si="27"/>
        <v/>
      </c>
      <c r="AM28" s="1165" t="str">
        <f t="shared" si="28"/>
        <v/>
      </c>
      <c r="AN28" s="1172">
        <f>IF([1]Digesters!K28="","",[1]Digesters!K28)</f>
        <v>583</v>
      </c>
      <c r="AO28" s="1153">
        <f>IF([1]Digesters!J28="","",[1]Digesters!J28)</f>
        <v>206</v>
      </c>
      <c r="AP28" s="1153">
        <f t="shared" si="29"/>
        <v>81.905755332720005</v>
      </c>
      <c r="AQ28" s="1156" t="str">
        <f>IF([2]DIG!AS28="","",[2]DIG!AS28)</f>
        <v/>
      </c>
      <c r="AR28" s="1156" t="str">
        <f>IF([2]DIG!AT28="","",[2]DIG!AT28)</f>
        <v/>
      </c>
      <c r="AS28" s="1153" t="str">
        <f t="shared" si="30"/>
        <v/>
      </c>
      <c r="AT28" s="1180" t="str">
        <f t="shared" si="31"/>
        <v/>
      </c>
      <c r="AU28" s="1205">
        <f>IF([1]Digesters!M28="","",[1]Digesters!M28)</f>
        <v>574</v>
      </c>
      <c r="AV28" s="1153">
        <f>IF([1]Digesters!L28="","",[1]Digesters!L28)</f>
        <v>198</v>
      </c>
      <c r="AW28" s="1153">
        <f t="shared" si="32"/>
        <v>81.952956644766303</v>
      </c>
      <c r="AX28" s="1156" t="str">
        <f>IF([2]DIG!AV28="","",[2]DIG!AV28)</f>
        <v/>
      </c>
      <c r="AY28" s="1156" t="str">
        <f>IF([2]DIG!AW28="","",[2]DIG!AW28)</f>
        <v/>
      </c>
      <c r="AZ28" s="1153" t="str">
        <f t="shared" si="33"/>
        <v/>
      </c>
      <c r="BA28" s="1165" t="str">
        <f t="shared" si="34"/>
        <v/>
      </c>
      <c r="BB28" s="1172" t="str">
        <f t="shared" si="35"/>
        <v/>
      </c>
      <c r="BC28" s="1156" t="str">
        <f>IF([2]DIG!AA28="","",[2]DIG!AA28)</f>
        <v/>
      </c>
      <c r="BD28" s="1156" t="str">
        <f>IF([2]DIG!AB28="","",[2]DIG!AB28)</f>
        <v/>
      </c>
      <c r="BE28" s="1153" t="str">
        <f t="shared" si="36"/>
        <v/>
      </c>
      <c r="BF28" s="1214" t="str">
        <f t="shared" si="37"/>
        <v/>
      </c>
      <c r="BG28" s="1205" t="str">
        <f t="shared" si="38"/>
        <v/>
      </c>
      <c r="BH28" s="1156" t="str">
        <f>IF([2]DIG!AD28="","",[2]DIG!AD28)</f>
        <v/>
      </c>
      <c r="BI28" s="1156" t="str">
        <f>IF([2]DIG!AE28="","",([2]DIG!AE28))</f>
        <v/>
      </c>
      <c r="BJ28" s="1153" t="str">
        <f t="shared" si="39"/>
        <v/>
      </c>
      <c r="BK28" s="1217" t="str">
        <f t="shared" si="40"/>
        <v/>
      </c>
      <c r="BL28" s="1223" t="str">
        <f>IF([2]BP_GB!B28="","",[2]BP_GB!B28)</f>
        <v/>
      </c>
      <c r="BM28" s="1156" t="str">
        <f>IF([2]BP_GB!C28="","",[2]BP_GB!C28)</f>
        <v/>
      </c>
      <c r="BN28" s="1165" t="str">
        <f t="shared" si="41"/>
        <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5">
        <v>26</v>
      </c>
      <c r="B29" s="1172">
        <f t="shared" si="16"/>
        <v>80.344806773309287</v>
      </c>
      <c r="C29" s="1180" t="str">
        <f t="shared" si="17"/>
        <v/>
      </c>
      <c r="D29" s="1193">
        <f>IF([2]PRI_SLG!B29="","",[2]PRI_SLG!B29)</f>
        <v>4.57</v>
      </c>
      <c r="E29" s="1154">
        <f>IF([2]PRI_SLG!C29="","",[2]PRI_SLG!C29)</f>
        <v>3.79</v>
      </c>
      <c r="F29" s="1165">
        <f t="shared" si="18"/>
        <v>82.93216630196936</v>
      </c>
      <c r="G29" s="1190">
        <f>IF([2]TWAS!B29="","",[2]TWAS!B29)</f>
        <v>3.6</v>
      </c>
      <c r="H29" s="1154">
        <f>IF([2]TWAS!C29="","",[2]TWAS!C29)</f>
        <v>2.73</v>
      </c>
      <c r="I29" s="1180">
        <f t="shared" si="19"/>
        <v>75.833333333333329</v>
      </c>
      <c r="J29" s="1196">
        <f>IF([1]Digesters!Z29="","",[1]Digesters!Z29)</f>
        <v>358798</v>
      </c>
      <c r="K29" s="1202">
        <f>IF([1]Digesters!AB29="","",[1]Digesters!AB29)</f>
        <v>205773</v>
      </c>
      <c r="L29" s="1205">
        <f>IF([1]Digesters!C29="","",[1]Digesters!C29)</f>
        <v>7022</v>
      </c>
      <c r="M29" s="1153">
        <f>IF([1]Digesters!B29="","",[1]Digesters!B29)</f>
        <v>172</v>
      </c>
      <c r="N29" s="1153">
        <f t="shared" si="20"/>
        <v>82.76244163271646</v>
      </c>
      <c r="O29" s="1154" t="str">
        <f>IF([2]DIG!AG29="","",[2]DIG!AG29)</f>
        <v/>
      </c>
      <c r="P29" s="1154" t="str">
        <f>IF([2]DIG!AH29="","",[2]DIG!AH29)</f>
        <v/>
      </c>
      <c r="Q29" s="1153" t="str">
        <f t="shared" si="21"/>
        <v/>
      </c>
      <c r="R29" s="1165" t="str">
        <f t="shared" si="22"/>
        <v/>
      </c>
      <c r="S29" s="1172">
        <f>IF([1]Digesters!E29="","",[1]Digesters!E29)</f>
        <v>709</v>
      </c>
      <c r="T29" s="1153">
        <f>IF([1]Digesters!D29="","",[1]Digesters!D29)</f>
        <v>173</v>
      </c>
      <c r="U29" s="1153">
        <f t="shared" si="42"/>
        <v>81.539764823994261</v>
      </c>
      <c r="V29" s="1156" t="str">
        <f>IF([2]DIG!AJ29="","",[2]DIG!AJ29)</f>
        <v/>
      </c>
      <c r="W29" s="1156" t="str">
        <f>IF([2]DIG!AK29="","",[2]DIG!AK29)</f>
        <v/>
      </c>
      <c r="X29" s="1153" t="str">
        <f t="shared" si="43"/>
        <v/>
      </c>
      <c r="Y29" s="1180" t="str">
        <f t="shared" si="44"/>
        <v/>
      </c>
      <c r="Z29" s="1205">
        <f>IF([1]Digesters!F29="","",[1]Digesters!F29)</f>
        <v>1306</v>
      </c>
      <c r="AA29" s="1153">
        <f t="shared" si="23"/>
        <v>75.833333333333329</v>
      </c>
      <c r="AB29" s="1154" t="str">
        <f>IF([2]DIG!AM29="","",[2]DIG!AM29)</f>
        <v/>
      </c>
      <c r="AC29" s="1154" t="str">
        <f>IF([2]DIG!AN29="","",[2]DIG!AN29)</f>
        <v/>
      </c>
      <c r="AD29" s="1153" t="str">
        <f t="shared" si="24"/>
        <v/>
      </c>
      <c r="AE29" s="1165" t="str">
        <f t="shared" si="25"/>
        <v/>
      </c>
      <c r="AF29" s="1175">
        <v>26</v>
      </c>
      <c r="AG29" s="1205">
        <f>IF([1]Digesters!I29="","",[1]Digesters!I29)</f>
        <v>727</v>
      </c>
      <c r="AH29" s="1153">
        <f>IF([1]Digesters!H29="","",[1]Digesters!H29)</f>
        <v>163</v>
      </c>
      <c r="AI29" s="1153">
        <f t="shared" si="26"/>
        <v>81.63204296052254</v>
      </c>
      <c r="AJ29" s="1156" t="str">
        <f>IF([2]DIG!AP29="","",[2]DIG!AP29)</f>
        <v/>
      </c>
      <c r="AK29" s="1156" t="str">
        <f>IF([2]DIG!AQ29="","",[2]DIG!AQ29)</f>
        <v/>
      </c>
      <c r="AL29" s="1153" t="str">
        <f t="shared" si="27"/>
        <v/>
      </c>
      <c r="AM29" s="1165" t="str">
        <f t="shared" si="28"/>
        <v/>
      </c>
      <c r="AN29" s="1172">
        <f>IF([1]Digesters!K29="","",[1]Digesters!K29)</f>
        <v>721</v>
      </c>
      <c r="AO29" s="1153">
        <f>IF([1]Digesters!J29="","",[1]Digesters!J29)</f>
        <v>166</v>
      </c>
      <c r="AP29" s="1153">
        <f t="shared" si="29"/>
        <v>81.603636118436569</v>
      </c>
      <c r="AQ29" s="1156" t="str">
        <f>IF([2]DIG!AS29="","",[2]DIG!AS29)</f>
        <v/>
      </c>
      <c r="AR29" s="1156" t="str">
        <f>IF([2]DIG!AT29="","",[2]DIG!AT29)</f>
        <v/>
      </c>
      <c r="AS29" s="1153" t="str">
        <f t="shared" si="30"/>
        <v/>
      </c>
      <c r="AT29" s="1180" t="str">
        <f t="shared" si="31"/>
        <v/>
      </c>
      <c r="AU29" s="1205">
        <f>IF([1]Digesters!M29="","",[1]Digesters!M29)</f>
        <v>699</v>
      </c>
      <c r="AV29" s="1153">
        <f>IF([1]Digesters!L29="","",[1]Digesters!L29)</f>
        <v>172</v>
      </c>
      <c r="AW29" s="1153">
        <f t="shared" si="32"/>
        <v>81.530330170390258</v>
      </c>
      <c r="AX29" s="1156" t="str">
        <f>IF([2]DIG!AV29="","",[2]DIG!AV29)</f>
        <v/>
      </c>
      <c r="AY29" s="1156" t="str">
        <f>IF([2]DIG!AW29="","",[2]DIG!AW29)</f>
        <v/>
      </c>
      <c r="AZ29" s="1153" t="str">
        <f t="shared" si="33"/>
        <v/>
      </c>
      <c r="BA29" s="1165" t="str">
        <f t="shared" si="34"/>
        <v/>
      </c>
      <c r="BB29" s="1172" t="str">
        <f t="shared" si="35"/>
        <v/>
      </c>
      <c r="BC29" s="1156" t="str">
        <f>IF([2]DIG!AA29="","",[2]DIG!AA29)</f>
        <v/>
      </c>
      <c r="BD29" s="1156" t="str">
        <f>IF([2]DIG!AB29="","",[2]DIG!AB29)</f>
        <v/>
      </c>
      <c r="BE29" s="1153" t="str">
        <f t="shared" si="36"/>
        <v/>
      </c>
      <c r="BF29" s="1214" t="str">
        <f t="shared" si="37"/>
        <v/>
      </c>
      <c r="BG29" s="1205" t="str">
        <f t="shared" si="38"/>
        <v/>
      </c>
      <c r="BH29" s="1156" t="str">
        <f>IF([2]DIG!AD29="","",[2]DIG!AD29)</f>
        <v/>
      </c>
      <c r="BI29" s="1156" t="str">
        <f>IF([2]DIG!AE29="","",([2]DIG!AE29))</f>
        <v/>
      </c>
      <c r="BJ29" s="1153" t="str">
        <f t="shared" si="39"/>
        <v/>
      </c>
      <c r="BK29" s="1217" t="str">
        <f t="shared" si="40"/>
        <v/>
      </c>
      <c r="BL29" s="1223" t="str">
        <f>IF([2]BP_GB!B29="","",[2]BP_GB!B29)</f>
        <v/>
      </c>
      <c r="BM29" s="1156" t="str">
        <f>IF([2]BP_GB!C29="","",[2]BP_GB!C29)</f>
        <v/>
      </c>
      <c r="BN29" s="1165" t="str">
        <f t="shared" si="41"/>
        <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5">
        <v>27</v>
      </c>
      <c r="B30" s="1172">
        <f t="shared" si="16"/>
        <v>82.106188328812976</v>
      </c>
      <c r="C30" s="1180" t="str">
        <f t="shared" si="17"/>
        <v/>
      </c>
      <c r="D30" s="1193">
        <f>IF([2]PRI_SLG!B30="","",[2]PRI_SLG!B30)</f>
        <v>2.79</v>
      </c>
      <c r="E30" s="1154">
        <f>IF([2]PRI_SLG!C30="","",[2]PRI_SLG!C30)</f>
        <v>2.39</v>
      </c>
      <c r="F30" s="1165">
        <f t="shared" si="18"/>
        <v>85.663082437275989</v>
      </c>
      <c r="G30" s="1190">
        <f>IF([2]TWAS!B30="","",[2]TWAS!B30)</f>
        <v>4.2699999999999996</v>
      </c>
      <c r="H30" s="1154">
        <f>IF([2]TWAS!C30="","",[2]TWAS!C30)</f>
        <v>3.21</v>
      </c>
      <c r="I30" s="1180">
        <f t="shared" si="19"/>
        <v>75.175644028103051</v>
      </c>
      <c r="J30" s="1196">
        <f>IF([1]Digesters!Z30="","",[1]Digesters!Z30)</f>
        <v>414674</v>
      </c>
      <c r="K30" s="1202">
        <f>IF([1]Digesters!AB30="","",[1]Digesters!AB30)</f>
        <v>212819</v>
      </c>
      <c r="L30" s="1205">
        <f>IF([1]Digesters!C30="","",[1]Digesters!C30)</f>
        <v>818</v>
      </c>
      <c r="M30" s="1153">
        <f>IF([1]Digesters!B30="","",[1]Digesters!B30)</f>
        <v>171</v>
      </c>
      <c r="N30" s="1153">
        <f t="shared" si="20"/>
        <v>83.849784188571675</v>
      </c>
      <c r="O30" s="1154" t="str">
        <f>IF([2]DIG!AG30="","",[2]DIG!AG30)</f>
        <v/>
      </c>
      <c r="P30" s="1154" t="str">
        <f>IF([2]DIG!AH30="","",[2]DIG!AH30)</f>
        <v/>
      </c>
      <c r="Q30" s="1153" t="str">
        <f t="shared" si="21"/>
        <v/>
      </c>
      <c r="R30" s="1165" t="str">
        <f t="shared" si="22"/>
        <v/>
      </c>
      <c r="S30" s="1172">
        <f>IF([1]Digesters!E30="","",[1]Digesters!E30)</f>
        <v>823</v>
      </c>
      <c r="T30" s="1153">
        <f>IF([1]Digesters!D30="","",[1]Digesters!D30)</f>
        <v>170</v>
      </c>
      <c r="U30" s="1153">
        <f t="shared" si="42"/>
        <v>83.867649879814365</v>
      </c>
      <c r="V30" s="1156" t="str">
        <f>IF([2]DIG!AJ30="","",[2]DIG!AJ30)</f>
        <v/>
      </c>
      <c r="W30" s="1156" t="str">
        <f>IF([2]DIG!AK30="","",[2]DIG!AK30)</f>
        <v/>
      </c>
      <c r="X30" s="1153" t="str">
        <f t="shared" si="43"/>
        <v/>
      </c>
      <c r="Y30" s="1180" t="str">
        <f t="shared" si="44"/>
        <v/>
      </c>
      <c r="Z30" s="1205">
        <f>IF([1]Digesters!F30="","",[1]Digesters!F30)</f>
        <v>1159</v>
      </c>
      <c r="AA30" s="1153">
        <f t="shared" si="23"/>
        <v>75.175644028103051</v>
      </c>
      <c r="AB30" s="1154" t="str">
        <f>IF([2]DIG!AM30="","",[2]DIG!AM30)</f>
        <v/>
      </c>
      <c r="AC30" s="1154" t="str">
        <f>IF([2]DIG!AN30="","",[2]DIG!AN30)</f>
        <v/>
      </c>
      <c r="AD30" s="1153" t="str">
        <f t="shared" si="24"/>
        <v/>
      </c>
      <c r="AE30" s="1165" t="str">
        <f t="shared" si="25"/>
        <v/>
      </c>
      <c r="AF30" s="1175">
        <v>27</v>
      </c>
      <c r="AG30" s="1205">
        <f>IF([1]Digesters!I30="","",[1]Digesters!I30)</f>
        <v>848</v>
      </c>
      <c r="AH30" s="1153">
        <f>IF([1]Digesters!H30="","",[1]Digesters!H30)</f>
        <v>175</v>
      </c>
      <c r="AI30" s="1153">
        <f t="shared" si="26"/>
        <v>83.869043608727338</v>
      </c>
      <c r="AJ30" s="1156" t="str">
        <f>IF([2]DIG!AP30="","",[2]DIG!AP30)</f>
        <v/>
      </c>
      <c r="AK30" s="1156" t="str">
        <f>IF([2]DIG!AQ30="","",[2]DIG!AQ30)</f>
        <v/>
      </c>
      <c r="AL30" s="1153" t="str">
        <f t="shared" si="27"/>
        <v/>
      </c>
      <c r="AM30" s="1165" t="str">
        <f t="shared" si="28"/>
        <v/>
      </c>
      <c r="AN30" s="1172">
        <f>IF([1]Digesters!K30="","",[1]Digesters!K30)</f>
        <v>825</v>
      </c>
      <c r="AO30" s="1153">
        <f>IF([1]Digesters!J30="","",[1]Digesters!J30)</f>
        <v>162</v>
      </c>
      <c r="AP30" s="1153">
        <f t="shared" si="29"/>
        <v>83.941739962822069</v>
      </c>
      <c r="AQ30" s="1156" t="str">
        <f>IF([2]DIG!AS30="","",[2]DIG!AS30)</f>
        <v/>
      </c>
      <c r="AR30" s="1156" t="str">
        <f>IF([2]DIG!AT30="","",[2]DIG!AT30)</f>
        <v/>
      </c>
      <c r="AS30" s="1153" t="str">
        <f t="shared" si="30"/>
        <v/>
      </c>
      <c r="AT30" s="1180" t="str">
        <f t="shared" si="31"/>
        <v/>
      </c>
      <c r="AU30" s="1205">
        <f>IF([1]Digesters!M30="","",[1]Digesters!M30)</f>
        <v>802</v>
      </c>
      <c r="AV30" s="1153">
        <f>IF([1]Digesters!L30="","",[1]Digesters!L30)</f>
        <v>172</v>
      </c>
      <c r="AW30" s="1153">
        <f t="shared" si="32"/>
        <v>83.811091260296791</v>
      </c>
      <c r="AX30" s="1156" t="str">
        <f>IF([2]DIG!AV30="","",[2]DIG!AV30)</f>
        <v/>
      </c>
      <c r="AY30" s="1156" t="str">
        <f>IF([2]DIG!AW30="","",[2]DIG!AW30)</f>
        <v/>
      </c>
      <c r="AZ30" s="1153" t="str">
        <f t="shared" si="33"/>
        <v/>
      </c>
      <c r="BA30" s="1165" t="str">
        <f t="shared" si="34"/>
        <v/>
      </c>
      <c r="BB30" s="1172" t="str">
        <f t="shared" si="35"/>
        <v/>
      </c>
      <c r="BC30" s="1156" t="str">
        <f>IF([2]DIG!AA30="","",[2]DIG!AA30)</f>
        <v/>
      </c>
      <c r="BD30" s="1156" t="str">
        <f>IF([2]DIG!AB30="","",[2]DIG!AB30)</f>
        <v/>
      </c>
      <c r="BE30" s="1153" t="str">
        <f t="shared" si="36"/>
        <v/>
      </c>
      <c r="BF30" s="1214" t="str">
        <f t="shared" si="37"/>
        <v/>
      </c>
      <c r="BG30" s="1205" t="str">
        <f t="shared" si="38"/>
        <v/>
      </c>
      <c r="BH30" s="1156" t="str">
        <f>IF([2]DIG!AD30="","",[2]DIG!AD30)</f>
        <v/>
      </c>
      <c r="BI30" s="1156" t="str">
        <f>IF([2]DIG!AE30="","",([2]DIG!AE30))</f>
        <v/>
      </c>
      <c r="BJ30" s="1153" t="str">
        <f t="shared" si="39"/>
        <v/>
      </c>
      <c r="BK30" s="1217" t="str">
        <f t="shared" si="40"/>
        <v/>
      </c>
      <c r="BL30" s="1223" t="str">
        <f>IF([2]BP_GB!B30="","",[2]BP_GB!B30)</f>
        <v/>
      </c>
      <c r="BM30" s="1156" t="str">
        <f>IF([2]BP_GB!C30="","",[2]BP_GB!C30)</f>
        <v/>
      </c>
      <c r="BN30" s="1165" t="str">
        <f t="shared" si="41"/>
        <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5">
        <v>28</v>
      </c>
      <c r="B31" s="1172">
        <f t="shared" si="16"/>
        <v>82.770837043939494</v>
      </c>
      <c r="C31" s="1180" t="str">
        <f t="shared" si="17"/>
        <v/>
      </c>
      <c r="D31" s="1193">
        <f>IF([2]PRI_SLG!B31="","",[2]PRI_SLG!B31)</f>
        <v>4.29</v>
      </c>
      <c r="E31" s="1154">
        <f>IF([2]PRI_SLG!C31="","",[2]PRI_SLG!C31)</f>
        <v>3.77</v>
      </c>
      <c r="F31" s="1165">
        <f t="shared" si="18"/>
        <v>87.878787878787875</v>
      </c>
      <c r="G31" s="1190">
        <f>IF([2]TWAS!B31="","",[2]TWAS!B31)</f>
        <v>4.2300000000000004</v>
      </c>
      <c r="H31" s="1154">
        <f>IF([2]TWAS!C31="","",[2]TWAS!C31)</f>
        <v>3.2</v>
      </c>
      <c r="I31" s="1180">
        <f t="shared" si="19"/>
        <v>75.650118203309688</v>
      </c>
      <c r="J31" s="1196">
        <f>IF([1]Digesters!Z31="","",[1]Digesters!Z31)</f>
        <v>250248</v>
      </c>
      <c r="K31" s="1202">
        <f>IF([1]Digesters!AB31="","",[1]Digesters!AB31)</f>
        <v>179512</v>
      </c>
      <c r="L31" s="1205">
        <f>IF([1]Digesters!C31="","",[1]Digesters!C31)</f>
        <v>503</v>
      </c>
      <c r="M31" s="1153">
        <f>IF([1]Digesters!B31="","",[1]Digesters!B31)</f>
        <v>147</v>
      </c>
      <c r="N31" s="1153">
        <f t="shared" si="20"/>
        <v>85.113227198333576</v>
      </c>
      <c r="O31" s="1154" t="str">
        <f>IF([2]DIG!AG31="","",[2]DIG!AG31)</f>
        <v/>
      </c>
      <c r="P31" s="1154" t="str">
        <f>IF([2]DIG!AH31="","",[2]DIG!AH31)</f>
        <v/>
      </c>
      <c r="Q31" s="1153" t="str">
        <f t="shared" si="21"/>
        <v/>
      </c>
      <c r="R31" s="1165" t="str">
        <f t="shared" si="22"/>
        <v/>
      </c>
      <c r="S31" s="1172">
        <f>IF([1]Digesters!E31="","",[1]Digesters!E31)</f>
        <v>447</v>
      </c>
      <c r="T31" s="1153">
        <f>IF([1]Digesters!D31="","",[1]Digesters!D31)</f>
        <v>146</v>
      </c>
      <c r="U31" s="1153">
        <f t="shared" si="42"/>
        <v>84.868019290896115</v>
      </c>
      <c r="V31" s="1156" t="str">
        <f>IF([2]DIG!AJ31="","",[2]DIG!AJ31)</f>
        <v/>
      </c>
      <c r="W31" s="1156" t="str">
        <f>IF([2]DIG!AK31="","",[2]DIG!AK31)</f>
        <v/>
      </c>
      <c r="X31" s="1153" t="str">
        <f t="shared" si="43"/>
        <v/>
      </c>
      <c r="Y31" s="1180" t="str">
        <f t="shared" si="44"/>
        <v/>
      </c>
      <c r="Z31" s="1205">
        <f>IF([1]Digesters!F31="","",[1]Digesters!F31)</f>
        <v>880</v>
      </c>
      <c r="AA31" s="1153">
        <f t="shared" si="23"/>
        <v>75.650118203309688</v>
      </c>
      <c r="AB31" s="1154" t="str">
        <f>IF([2]DIG!AM31="","",[2]DIG!AM31)</f>
        <v/>
      </c>
      <c r="AC31" s="1154" t="str">
        <f>IF([2]DIG!AN31="","",[2]DIG!AN31)</f>
        <v/>
      </c>
      <c r="AD31" s="1153" t="str">
        <f t="shared" si="24"/>
        <v/>
      </c>
      <c r="AE31" s="1165" t="str">
        <f t="shared" si="25"/>
        <v/>
      </c>
      <c r="AF31" s="1175">
        <v>28</v>
      </c>
      <c r="AG31" s="1205">
        <f>IF([1]Digesters!I31="","",[1]Digesters!I31)</f>
        <v>518</v>
      </c>
      <c r="AH31" s="1153">
        <f>IF([1]Digesters!H31="","",[1]Digesters!H31)</f>
        <v>149</v>
      </c>
      <c r="AI31" s="1153">
        <f t="shared" si="26"/>
        <v>85.147046077219272</v>
      </c>
      <c r="AJ31" s="1156" t="str">
        <f>IF([2]DIG!AP31="","",[2]DIG!AP31)</f>
        <v/>
      </c>
      <c r="AK31" s="1156" t="str">
        <f>IF([2]DIG!AQ31="","",[2]DIG!AQ31)</f>
        <v/>
      </c>
      <c r="AL31" s="1153" t="str">
        <f t="shared" si="27"/>
        <v/>
      </c>
      <c r="AM31" s="1165" t="str">
        <f t="shared" si="28"/>
        <v/>
      </c>
      <c r="AN31" s="1172">
        <f>IF([1]Digesters!K31="","",[1]Digesters!K31)</f>
        <v>496</v>
      </c>
      <c r="AO31" s="1153">
        <f>IF([1]Digesters!J31="","",[1]Digesters!J31)</f>
        <v>137</v>
      </c>
      <c r="AP31" s="1153">
        <f t="shared" si="29"/>
        <v>85.232140571456881</v>
      </c>
      <c r="AQ31" s="1156" t="str">
        <f>IF([2]DIG!AS31="","",[2]DIG!AS31)</f>
        <v/>
      </c>
      <c r="AR31" s="1156" t="str">
        <f>IF([2]DIG!AT31="","",[2]DIG!AT31)</f>
        <v/>
      </c>
      <c r="AS31" s="1153" t="str">
        <f t="shared" si="30"/>
        <v/>
      </c>
      <c r="AT31" s="1180" t="str">
        <f t="shared" si="31"/>
        <v/>
      </c>
      <c r="AU31" s="1205">
        <f>IF([1]Digesters!M31="","",[1]Digesters!M31)</f>
        <v>513</v>
      </c>
      <c r="AV31" s="1153">
        <f>IF([1]Digesters!L31="","",[1]Digesters!L31)</f>
        <v>147</v>
      </c>
      <c r="AW31" s="1153">
        <f t="shared" si="32"/>
        <v>85.155129632885902</v>
      </c>
      <c r="AX31" s="1156" t="str">
        <f>IF([2]DIG!AV31="","",[2]DIG!AV31)</f>
        <v/>
      </c>
      <c r="AY31" s="1156" t="str">
        <f>IF([2]DIG!AW31="","",[2]DIG!AW31)</f>
        <v/>
      </c>
      <c r="AZ31" s="1153" t="str">
        <f t="shared" si="33"/>
        <v/>
      </c>
      <c r="BA31" s="1165" t="str">
        <f t="shared" si="34"/>
        <v/>
      </c>
      <c r="BB31" s="1172" t="str">
        <f t="shared" si="35"/>
        <v/>
      </c>
      <c r="BC31" s="1156" t="str">
        <f>IF([2]DIG!AA31="","",[2]DIG!AA31)</f>
        <v/>
      </c>
      <c r="BD31" s="1156" t="str">
        <f>IF([2]DIG!AB31="","",[2]DIG!AB31)</f>
        <v/>
      </c>
      <c r="BE31" s="1153" t="str">
        <f t="shared" si="36"/>
        <v/>
      </c>
      <c r="BF31" s="1214" t="str">
        <f t="shared" si="37"/>
        <v/>
      </c>
      <c r="BG31" s="1205" t="str">
        <f t="shared" si="38"/>
        <v/>
      </c>
      <c r="BH31" s="1156" t="str">
        <f>IF([2]DIG!AD31="","",[2]DIG!AD31)</f>
        <v/>
      </c>
      <c r="BI31" s="1156" t="str">
        <f>IF([2]DIG!AE31="","",([2]DIG!AE31))</f>
        <v/>
      </c>
      <c r="BJ31" s="1153" t="str">
        <f t="shared" si="39"/>
        <v/>
      </c>
      <c r="BK31" s="1217" t="str">
        <f t="shared" si="40"/>
        <v/>
      </c>
      <c r="BL31" s="1223" t="str">
        <f>IF([2]BP_GB!B31="","",[2]BP_GB!B31)</f>
        <v/>
      </c>
      <c r="BM31" s="1156" t="str">
        <f>IF([2]BP_GB!C31="","",[2]BP_GB!C31)</f>
        <v/>
      </c>
      <c r="BN31" s="1165" t="str">
        <f t="shared" si="41"/>
        <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5">
        <v>29</v>
      </c>
      <c r="B32" s="1172">
        <f t="shared" si="16"/>
        <v>82.863090850288287</v>
      </c>
      <c r="C32" s="1180">
        <f t="shared" si="17"/>
        <v>75.021659071274215</v>
      </c>
      <c r="D32" s="1193">
        <f>IF([2]PRI_SLG!B32="","",[2]PRI_SLG!B32)</f>
        <v>3.47</v>
      </c>
      <c r="E32" s="1154">
        <f>IF([2]PRI_SLG!C32="","",[2]PRI_SLG!C32)</f>
        <v>3.02</v>
      </c>
      <c r="F32" s="1165">
        <f t="shared" si="18"/>
        <v>87.031700288184439</v>
      </c>
      <c r="G32" s="1190">
        <f>IF([2]TWAS!B32="","",[2]TWAS!B32)</f>
        <v>4.24</v>
      </c>
      <c r="H32" s="1154">
        <f>IF([2]TWAS!C32="","",[2]TWAS!C32)</f>
        <v>3.17</v>
      </c>
      <c r="I32" s="1180">
        <f t="shared" si="19"/>
        <v>74.764150943396217</v>
      </c>
      <c r="J32" s="1196">
        <f>IF([1]Digesters!Z32="","",[1]Digesters!Z32)</f>
        <v>356412</v>
      </c>
      <c r="K32" s="1202">
        <f>IF([1]Digesters!AB32="","",[1]Digesters!AB32)</f>
        <v>183449</v>
      </c>
      <c r="L32" s="1205">
        <f>IF([1]Digesters!C32="","",[1]Digesters!C32)</f>
        <v>711</v>
      </c>
      <c r="M32" s="1153">
        <f>IF([1]Digesters!B32="","",[1]Digesters!B32)</f>
        <v>147</v>
      </c>
      <c r="N32" s="1153">
        <f t="shared" si="20"/>
        <v>84.929917358482953</v>
      </c>
      <c r="O32" s="1154">
        <f>IF([2]DIG!AG32="","",[2]DIG!AG32)</f>
        <v>1.89</v>
      </c>
      <c r="P32" s="1154">
        <f>IF([2]DIG!AH32="","",[2]DIG!AH32)</f>
        <v>1.06</v>
      </c>
      <c r="Q32" s="1153">
        <f t="shared" si="21"/>
        <v>56.084656084656089</v>
      </c>
      <c r="R32" s="1165">
        <f t="shared" si="22"/>
        <v>77.338810354274273</v>
      </c>
      <c r="S32" s="1172">
        <f>IF([1]Digesters!E32="","",[1]Digesters!E32)</f>
        <v>715</v>
      </c>
      <c r="T32" s="1153">
        <f>IF([1]Digesters!D32="","",[1]Digesters!D32)</f>
        <v>148</v>
      </c>
      <c r="U32" s="1153">
        <f t="shared" si="42"/>
        <v>84.927879543075917</v>
      </c>
      <c r="V32" s="1156">
        <f>IF([2]DIG!AJ32="","",[2]DIG!AJ32)</f>
        <v>1.83</v>
      </c>
      <c r="W32" s="1156">
        <f>IF([2]DIG!AK32="","",[2]DIG!AK32)</f>
        <v>1.03</v>
      </c>
      <c r="X32" s="1153">
        <f t="shared" si="43"/>
        <v>56.284153005464475</v>
      </c>
      <c r="Y32" s="1180">
        <f t="shared" si="44"/>
        <v>77.15078347335016</v>
      </c>
      <c r="Z32" s="1205">
        <f>IF([1]Digesters!F32="","",[1]Digesters!F32)</f>
        <v>983</v>
      </c>
      <c r="AA32" s="1153">
        <f t="shared" si="23"/>
        <v>74.764150943396217</v>
      </c>
      <c r="AB32" s="1154">
        <f>IF([2]DIG!AM32="","",[2]DIG!AM32)</f>
        <v>2.36</v>
      </c>
      <c r="AC32" s="1154">
        <f>IF([2]DIG!AN32="","",[2]DIG!AN32)</f>
        <v>1.42</v>
      </c>
      <c r="AD32" s="1153">
        <f t="shared" si="24"/>
        <v>60.169491525423723</v>
      </c>
      <c r="AE32" s="1165">
        <f t="shared" si="25"/>
        <v>49.010000671185956</v>
      </c>
      <c r="AF32" s="1175">
        <v>29</v>
      </c>
      <c r="AG32" s="1205">
        <f>IF([1]Digesters!I32="","",[1]Digesters!I32)</f>
        <v>716</v>
      </c>
      <c r="AH32" s="1153">
        <f>IF([1]Digesters!H32="","",[1]Digesters!H32)</f>
        <v>151</v>
      </c>
      <c r="AI32" s="1153">
        <f t="shared" si="26"/>
        <v>84.895137484190172</v>
      </c>
      <c r="AJ32" s="1156">
        <f>IF([2]DIG!AP32="","",[2]DIG!AP32)</f>
        <v>1.87</v>
      </c>
      <c r="AK32" s="1156">
        <f>IF([2]DIG!AQ32="","",[2]DIG!AQ32)</f>
        <v>1.03</v>
      </c>
      <c r="AL32" s="1153">
        <f t="shared" si="27"/>
        <v>55.080213903743314</v>
      </c>
      <c r="AM32" s="1165">
        <f t="shared" si="28"/>
        <v>78.183157351618959</v>
      </c>
      <c r="AN32" s="1172">
        <f>IF([1]Digesters!K32="","",[1]Digesters!K32)</f>
        <v>693</v>
      </c>
      <c r="AO32" s="1153">
        <f>IF([1]Digesters!J32="","",[1]Digesters!J32)</f>
        <v>149</v>
      </c>
      <c r="AP32" s="1153">
        <f t="shared" si="29"/>
        <v>84.860839418382241</v>
      </c>
      <c r="AQ32" s="1156">
        <f>IF([2]DIG!AS32="","",[2]DIG!AS32)</f>
        <v>1.85</v>
      </c>
      <c r="AR32" s="1156">
        <f>IF([2]DIG!AT32="","",[2]DIG!AT32)</f>
        <v>1.03</v>
      </c>
      <c r="AS32" s="1153">
        <f t="shared" si="30"/>
        <v>55.67567567567567</v>
      </c>
      <c r="AT32" s="1180">
        <f t="shared" si="31"/>
        <v>77.591239007153959</v>
      </c>
      <c r="AU32" s="1205">
        <f>IF([1]Digesters!M32="","",[1]Digesters!M32)</f>
        <v>724</v>
      </c>
      <c r="AV32" s="1153">
        <f>IF([1]Digesters!L32="","",[1]Digesters!L32)</f>
        <v>147</v>
      </c>
      <c r="AW32" s="1153">
        <f t="shared" si="32"/>
        <v>84.961287252956112</v>
      </c>
      <c r="AX32" s="1156">
        <f>IF([2]DIG!AV32="","",[2]DIG!AV32)</f>
        <v>184</v>
      </c>
      <c r="AY32" s="1156">
        <f>IF([2]DIG!AW32="","",[2]DIG!AW32)</f>
        <v>1.04</v>
      </c>
      <c r="AZ32" s="1153">
        <f t="shared" si="33"/>
        <v>0.56521739130434789</v>
      </c>
      <c r="BA32" s="1165">
        <f t="shared" si="34"/>
        <v>99.899384064873729</v>
      </c>
      <c r="BB32" s="1172">
        <f t="shared" si="35"/>
        <v>55.816340997954626</v>
      </c>
      <c r="BC32" s="1156">
        <f>IF([2]DIG!AA32="","",[2]DIG!AA32)</f>
        <v>2.12</v>
      </c>
      <c r="BD32" s="1156">
        <f>IF([2]DIG!AB32="","",[2]DIG!AB32)</f>
        <v>0.95</v>
      </c>
      <c r="BE32" s="1153">
        <f t="shared" si="36"/>
        <v>44.811320754716974</v>
      </c>
      <c r="BF32" s="1214">
        <f t="shared" si="37"/>
        <v>35.72559591727633</v>
      </c>
      <c r="BG32" s="1205">
        <f t="shared" si="38"/>
        <v>55.816340997954626</v>
      </c>
      <c r="BH32" s="1156">
        <f>IF([2]DIG!AD32="","",[2]DIG!AD32)</f>
        <v>1.7</v>
      </c>
      <c r="BI32" s="1156">
        <f>IF([2]DIG!AE32="","",([2]DIG!AE32))</f>
        <v>0.9</v>
      </c>
      <c r="BJ32" s="1153">
        <f t="shared" si="39"/>
        <v>52.941176470588239</v>
      </c>
      <c r="BK32" s="1217">
        <f t="shared" si="40"/>
        <v>10.946121711699936</v>
      </c>
      <c r="BL32" s="1223">
        <f>IF([2]BP_GB!B32="","",[2]BP_GB!B32)</f>
        <v>1.7</v>
      </c>
      <c r="BM32" s="1156">
        <f>IF([2]BP_GB!C32="","",[2]BP_GB!C32)</f>
        <v>0.93</v>
      </c>
      <c r="BN32" s="1165">
        <f t="shared" si="41"/>
        <v>54.705882352941181</v>
      </c>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5">
        <v>30</v>
      </c>
      <c r="B33" s="1172">
        <f t="shared" si="16"/>
        <v>81.235466114073049</v>
      </c>
      <c r="C33" s="1180" t="str">
        <f t="shared" si="17"/>
        <v/>
      </c>
      <c r="D33" s="1193">
        <f>IF([2]PRI_SLG!B33="","",[2]PRI_SLG!B33)</f>
        <v>3.59</v>
      </c>
      <c r="E33" s="1154">
        <f>IF([2]PRI_SLG!C33="","",[2]PRI_SLG!C33)</f>
        <v>3.1</v>
      </c>
      <c r="F33" s="1165">
        <f t="shared" si="18"/>
        <v>86.350974930362128</v>
      </c>
      <c r="G33" s="1190">
        <f>IF([2]TWAS!B33="","",[2]TWAS!B33)</f>
        <v>3.84</v>
      </c>
      <c r="H33" s="1154">
        <f>IF([2]TWAS!C33="","",[2]TWAS!C33)</f>
        <v>2.85</v>
      </c>
      <c r="I33" s="1180">
        <f t="shared" si="19"/>
        <v>74.21875</v>
      </c>
      <c r="J33" s="1196">
        <f>IF([1]Digesters!Z33="","",[1]Digesters!Z33)</f>
        <v>297652</v>
      </c>
      <c r="K33" s="1202">
        <f>IF([1]Digesters!AB33="","",[1]Digesters!AB33)</f>
        <v>217002</v>
      </c>
      <c r="L33" s="1205">
        <f>IF([1]Digesters!C33="","",[1]Digesters!C33)</f>
        <v>636</v>
      </c>
      <c r="M33" s="1153">
        <f>IF([1]Digesters!B33="","",[1]Digesters!B33)</f>
        <v>184</v>
      </c>
      <c r="N33" s="1153">
        <f t="shared" si="20"/>
        <v>83.628622019158911</v>
      </c>
      <c r="O33" s="1154" t="str">
        <f>IF([2]DIG!AG33="","",[2]DIG!AG33)</f>
        <v/>
      </c>
      <c r="P33" s="1154" t="str">
        <f>IF([2]DIG!AH33="","",[2]DIG!AH33)</f>
        <v/>
      </c>
      <c r="Q33" s="1153" t="str">
        <f t="shared" si="21"/>
        <v/>
      </c>
      <c r="R33" s="1165" t="str">
        <f t="shared" si="22"/>
        <v/>
      </c>
      <c r="S33" s="1172">
        <f>IF([1]Digesters!E33="","",[1]Digesters!E33)</f>
        <v>636</v>
      </c>
      <c r="T33" s="1153">
        <f>IF([1]Digesters!D33="","",[1]Digesters!D33)</f>
        <v>183</v>
      </c>
      <c r="U33" s="1153">
        <f t="shared" si="42"/>
        <v>83.640111484383766</v>
      </c>
      <c r="V33" s="1156" t="str">
        <f>IF([2]DIG!AJ33="","",[2]DIG!AJ33)</f>
        <v/>
      </c>
      <c r="W33" s="1156" t="str">
        <f>IF([2]DIG!AK33="","",[2]DIG!AK33)</f>
        <v/>
      </c>
      <c r="X33" s="1153" t="str">
        <f t="shared" si="43"/>
        <v/>
      </c>
      <c r="Y33" s="1180" t="str">
        <f t="shared" si="44"/>
        <v/>
      </c>
      <c r="Z33" s="1205">
        <f>IF([1]Digesters!F33="","",[1]Digesters!F33)</f>
        <v>1192</v>
      </c>
      <c r="AA33" s="1153">
        <f t="shared" si="23"/>
        <v>74.21875</v>
      </c>
      <c r="AB33" s="1154" t="str">
        <f>IF([2]DIG!AM33="","",[2]DIG!AM33)</f>
        <v/>
      </c>
      <c r="AC33" s="1154" t="str">
        <f>IF([2]DIG!AN33="","",[2]DIG!AN33)</f>
        <v/>
      </c>
      <c r="AD33" s="1153" t="str">
        <f t="shared" si="24"/>
        <v/>
      </c>
      <c r="AE33" s="1165" t="str">
        <f t="shared" si="25"/>
        <v/>
      </c>
      <c r="AF33" s="1175">
        <v>30</v>
      </c>
      <c r="AG33" s="1205">
        <f>IF([1]Digesters!I33="","",[1]Digesters!I33)</f>
        <v>690</v>
      </c>
      <c r="AH33" s="1153">
        <f>IF([1]Digesters!H33="","",[1]Digesters!H33)</f>
        <v>186</v>
      </c>
      <c r="AI33" s="1153">
        <f t="shared" si="26"/>
        <v>83.774954568435916</v>
      </c>
      <c r="AJ33" s="1156" t="str">
        <f>IF([2]DIG!AP33="","",[2]DIG!AP33)</f>
        <v/>
      </c>
      <c r="AK33" s="1156" t="str">
        <f>IF([2]DIG!AQ33="","",[2]DIG!AQ33)</f>
        <v/>
      </c>
      <c r="AL33" s="1153" t="str">
        <f t="shared" si="27"/>
        <v/>
      </c>
      <c r="AM33" s="1165" t="str">
        <f t="shared" si="28"/>
        <v/>
      </c>
      <c r="AN33" s="1172">
        <f>IF([1]Digesters!K33="","",[1]Digesters!K33)</f>
        <v>533</v>
      </c>
      <c r="AO33" s="1153">
        <f>IF([1]Digesters!J33="","",[1]Digesters!J33)</f>
        <v>147</v>
      </c>
      <c r="AP33" s="1153">
        <f t="shared" si="29"/>
        <v>83.728273364533834</v>
      </c>
      <c r="AQ33" s="1156" t="str">
        <f>IF([2]DIG!AS33="","",[2]DIG!AS33)</f>
        <v/>
      </c>
      <c r="AR33" s="1156" t="str">
        <f>IF([2]DIG!AT33="","",[2]DIG!AT33)</f>
        <v/>
      </c>
      <c r="AS33" s="1153" t="str">
        <f t="shared" si="30"/>
        <v/>
      </c>
      <c r="AT33" s="1180" t="str">
        <f t="shared" si="31"/>
        <v/>
      </c>
      <c r="AU33" s="1205">
        <f>IF([1]Digesters!M33="","",[1]Digesters!M33)</f>
        <v>525</v>
      </c>
      <c r="AV33" s="1153">
        <f>IF([1]Digesters!L33="","",[1]Digesters!L33)</f>
        <v>148</v>
      </c>
      <c r="AW33" s="1153">
        <f t="shared" si="32"/>
        <v>83.682967070490506</v>
      </c>
      <c r="AX33" s="1156" t="str">
        <f>IF([2]DIG!AV33="","",[2]DIG!AV33)</f>
        <v/>
      </c>
      <c r="AY33" s="1156" t="str">
        <f>IF([2]DIG!AW33="","",[2]DIG!AW33)</f>
        <v/>
      </c>
      <c r="AZ33" s="1153" t="str">
        <f t="shared" si="33"/>
        <v/>
      </c>
      <c r="BA33" s="1165" t="str">
        <f t="shared" si="34"/>
        <v/>
      </c>
      <c r="BB33" s="1172" t="str">
        <f t="shared" si="35"/>
        <v/>
      </c>
      <c r="BC33" s="1156" t="str">
        <f>IF([2]DIG!AA33="","",[2]DIG!AA33)</f>
        <v/>
      </c>
      <c r="BD33" s="1156" t="str">
        <f>IF([2]DIG!AB33="","",[2]DIG!AB33)</f>
        <v/>
      </c>
      <c r="BE33" s="1153" t="str">
        <f t="shared" si="36"/>
        <v/>
      </c>
      <c r="BF33" s="1214" t="str">
        <f t="shared" si="37"/>
        <v/>
      </c>
      <c r="BG33" s="1205" t="str">
        <f t="shared" si="38"/>
        <v/>
      </c>
      <c r="BH33" s="1156" t="str">
        <f>IF([2]DIG!AD33="","",[2]DIG!AD33)</f>
        <v/>
      </c>
      <c r="BI33" s="1156" t="str">
        <f>IF([2]DIG!AE33="","",([2]DIG!AE33))</f>
        <v/>
      </c>
      <c r="BJ33" s="1153" t="str">
        <f t="shared" si="39"/>
        <v/>
      </c>
      <c r="BK33" s="1217" t="str">
        <f t="shared" si="40"/>
        <v/>
      </c>
      <c r="BL33" s="1223" t="str">
        <f>IF([2]BP_GB!B33="","",[2]BP_GB!B33)</f>
        <v/>
      </c>
      <c r="BM33" s="1156" t="str">
        <f>IF([2]BP_GB!C33="","",[2]BP_GB!C33)</f>
        <v/>
      </c>
      <c r="BN33" s="1165" t="str">
        <f t="shared" si="41"/>
        <v/>
      </c>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5">
        <v>31</v>
      </c>
      <c r="B34" s="1172">
        <f t="shared" ref="B34" si="45">IF(OR(J34="",F34="",K34="",I34=""),"",((J34*F34)+(K34*I34))/(J34+K34))</f>
        <v>79.119503711005976</v>
      </c>
      <c r="C34" s="1180" t="str">
        <f t="shared" ref="C34" si="46">IF(OR(B34="",BN34=""),"",((B34/100-BN34/100)/(B34/100-(B34/100*BN34/100)))*100)</f>
        <v/>
      </c>
      <c r="D34" s="1193">
        <f>IF([2]PRI_SLG!B34="","",[2]PRI_SLG!B34)</f>
        <v>4.08</v>
      </c>
      <c r="E34" s="1154">
        <f>IF([2]PRI_SLG!C34="","",[2]PRI_SLG!C34)</f>
        <v>3.42</v>
      </c>
      <c r="F34" s="1165">
        <f t="shared" ref="F34" si="47">IF(OR(D34="",E34=""),"",(E34/D34)*100)</f>
        <v>83.82352941176471</v>
      </c>
      <c r="G34" s="1190">
        <f>IF([2]TWAS!B34="","",[2]TWAS!B34)</f>
        <v>4.58</v>
      </c>
      <c r="H34" s="1154">
        <f>IF([2]TWAS!C34="","",[2]TWAS!C34)</f>
        <v>3.36</v>
      </c>
      <c r="I34" s="1180">
        <f t="shared" ref="I34" si="48">IF(OR(G34="",H34=""),"",(H34/G34)*100)</f>
        <v>73.362445414847159</v>
      </c>
      <c r="J34" s="1196">
        <f>IF([1]Digesters!Z34="","",[1]Digesters!Z34)</f>
        <v>302977</v>
      </c>
      <c r="K34" s="1202">
        <f>IF([1]Digesters!AB34="","",[1]Digesters!AB34)</f>
        <v>247559</v>
      </c>
      <c r="L34" s="1205">
        <f>IF([1]Digesters!C34="","",[1]Digesters!C34)</f>
        <v>597</v>
      </c>
      <c r="M34" s="1153">
        <f>IF([1]Digesters!B34="","",[1]Digesters!B34)</f>
        <v>197</v>
      </c>
      <c r="N34" s="1153">
        <f t="shared" ref="N34" si="49">IF(OR(L34="",F34="",M34="",I34=""),"",IF((((L34*F34/100)+(M34*I34/100))/(L34+M34))*100&lt;0,"",((L34*F34/100)+(M34*I34/100))/(L34+M34))*100)</f>
        <v>81.228021165678115</v>
      </c>
      <c r="O34" s="1154" t="str">
        <f>IF([2]DIG!AG34="","",[2]DIG!AG34)</f>
        <v/>
      </c>
      <c r="P34" s="1154" t="str">
        <f>IF([2]DIG!AH34="","",[2]DIG!AH34)</f>
        <v/>
      </c>
      <c r="Q34" s="1153" t="str">
        <f t="shared" ref="Q34" si="50">IF(OR(O34="",P34=""),"",(P34/O34)*100)</f>
        <v/>
      </c>
      <c r="R34" s="1165" t="str">
        <f t="shared" ref="R34" si="51">IF(OR(N34="",Q34=""),"",((N34/100-Q34/100)/(N34/100-(N34/100*Q34/100)))*100)</f>
        <v/>
      </c>
      <c r="S34" s="1172">
        <f>IF([1]Digesters!E34="","",[1]Digesters!E34)</f>
        <v>607</v>
      </c>
      <c r="T34" s="1153">
        <f>IF([1]Digesters!D34="","",[1]Digesters!D34)</f>
        <v>197</v>
      </c>
      <c r="U34" s="1153">
        <f t="shared" ref="U34" si="52">IF(OR(S34="",F34="",T34="",I34=""),"",IF((((S34*F34/100)+(T34*I34/100))/(S34+T34))*100&lt;0,"",(((S34*F34/100)+(T34*I34/100))/(S34+T34)))*100)</f>
        <v>81.26030360654984</v>
      </c>
      <c r="V34" s="1156" t="str">
        <f>IF([2]DIG!AJ34="","",[2]DIG!AJ34)</f>
        <v/>
      </c>
      <c r="W34" s="1156" t="str">
        <f>IF([2]DIG!AK34="","",[2]DIG!AK34)</f>
        <v/>
      </c>
      <c r="X34" s="1153" t="str">
        <f t="shared" ref="X34" si="53">IF(OR(W34="",V34=""),"",(W34/V34)*100)</f>
        <v/>
      </c>
      <c r="Y34" s="1180" t="str">
        <f t="shared" ref="Y34" si="54">IF(OR(U34="",X34=""),"",((U34/100-X34/100)/(U34/100-(U34/100*X34/100)))*100)</f>
        <v/>
      </c>
      <c r="Z34" s="1205">
        <f>IF([1]Digesters!F34="","",[1]Digesters!F34)</f>
        <v>1229</v>
      </c>
      <c r="AA34" s="1153">
        <f t="shared" ref="AA34" si="55">IF(I34="","",I34)</f>
        <v>73.362445414847159</v>
      </c>
      <c r="AB34" s="1154" t="str">
        <f>IF([2]DIG!AM34="","",[2]DIG!AM34)</f>
        <v/>
      </c>
      <c r="AC34" s="1154" t="str">
        <f>IF([2]DIG!AN34="","",[2]DIG!AN34)</f>
        <v/>
      </c>
      <c r="AD34" s="1153" t="str">
        <f t="shared" ref="AD34" si="56">IF(OR(AC34="",AB34=""),"",(AC34/AB34)*100)</f>
        <v/>
      </c>
      <c r="AE34" s="1165" t="str">
        <f t="shared" ref="AE34" si="57">IF(OR(AA34="",AD34=""),"",((AA34/100-AD34/100)/(AA34/100-(AA34/100*AD34/100)))*100)</f>
        <v/>
      </c>
      <c r="AF34" s="1175">
        <v>31</v>
      </c>
      <c r="AG34" s="1205">
        <f>IF([1]Digesters!I34="","",[1]Digesters!I34)</f>
        <v>627</v>
      </c>
      <c r="AH34" s="1153">
        <f>IF([1]Digesters!H34="","",[1]Digesters!H34)</f>
        <v>200</v>
      </c>
      <c r="AI34" s="1153">
        <f t="shared" ref="AI34" si="58">IF(OR(AG34="",F34="",AH34="",I34=""),"",IF((((AG34*F34/100)+(AH34*I34/100))/(AG34+AH34))*100&lt;0,"",(((AG34*F34/100)+(AH34*I34/100))/(AG34+AH34))*100))</f>
        <v>81.293642109003514</v>
      </c>
      <c r="AJ34" s="1156" t="str">
        <f>IF([2]DIG!AP34="","",[2]DIG!AP34)</f>
        <v/>
      </c>
      <c r="AK34" s="1156" t="str">
        <f>IF([2]DIG!AQ34="","",[2]DIG!AQ34)</f>
        <v/>
      </c>
      <c r="AL34" s="1153" t="str">
        <f t="shared" ref="AL34" si="59">IF(OR(AK34="",AJ34=""),"",(AK34/AJ34)*100)</f>
        <v/>
      </c>
      <c r="AM34" s="1165" t="str">
        <f t="shared" ref="AM34" si="60">IF(OR(AI34="",AL34=""),"",((AI34/100-AL34/100)/(AI34/100-(AI34/100*AL34/100)))*100)</f>
        <v/>
      </c>
      <c r="AN34" s="1172">
        <f>IF([1]Digesters!K34="","",[1]Digesters!K34)</f>
        <v>643</v>
      </c>
      <c r="AO34" s="1153">
        <f>IF([1]Digesters!J34="","",[1]Digesters!J34)</f>
        <v>199</v>
      </c>
      <c r="AP34" s="1153">
        <f t="shared" ref="AP34" si="61">IF(OR(AN34="",$F34="",AO34="",$I34=""),"",IF((((AN34*$F34/100)+(AO34*$I34/100))/(AN34+AO34))*100&lt;0,"",(((AN34*$F34/100)+(AO34*$I34/100))/(AN34+AO34))*100))</f>
        <v>81.351135450497964</v>
      </c>
      <c r="AQ34" s="1156" t="str">
        <f>IF([2]DIG!AS34="","",[2]DIG!AS34)</f>
        <v/>
      </c>
      <c r="AR34" s="1156" t="str">
        <f>IF([2]DIG!AT34="","",[2]DIG!AT34)</f>
        <v/>
      </c>
      <c r="AS34" s="1153" t="str">
        <f t="shared" ref="AS34" si="62">IF(OR(AR34="",AQ34=""),"",(AR34/AQ34)*100)</f>
        <v/>
      </c>
      <c r="AT34" s="1180" t="str">
        <f t="shared" ref="AT34" si="63">IF(OR(AP34="",AS34=""),"",((AP34/100-AS34/100)/(AP34/100-(AP34/100*AS34/100)))*100)</f>
        <v/>
      </c>
      <c r="AU34" s="1205">
        <f>IF([1]Digesters!M34="","",[1]Digesters!M34)</f>
        <v>602</v>
      </c>
      <c r="AV34" s="1153">
        <f>IF([1]Digesters!L34="","",[1]Digesters!L34)</f>
        <v>197</v>
      </c>
      <c r="AW34" s="1153">
        <f t="shared" ref="AW34" si="64">IF(OR(AU34="",$F34="",AV34="",$I34=""),"",IF((((AU34*$F34/100)+(AV34*$I34/100))/(AU34+AV34))*100&lt;0,"",(((AU34*$F34/100)+(AV34*$I34/100))/(AU34+AV34))*100))</f>
        <v>81.244263395002818</v>
      </c>
      <c r="AX34" s="1156" t="str">
        <f>IF([2]DIG!AV34="","",[2]DIG!AV34)</f>
        <v/>
      </c>
      <c r="AY34" s="1156" t="str">
        <f>IF([2]DIG!AW34="","",[2]DIG!AW34)</f>
        <v/>
      </c>
      <c r="AZ34" s="1153" t="str">
        <f t="shared" ref="AZ34" si="65">IF(OR(AY34="",AX34=""),"",(AY34/AX34)*100)</f>
        <v/>
      </c>
      <c r="BA34" s="1165" t="str">
        <f t="shared" ref="BA34" si="66">IF(OR(AW34="",AZ34=""),"",((AW34/100-AZ34/100)/(AW34/100-(AW34/100*AZ34/100)))*100)</f>
        <v/>
      </c>
      <c r="BB34" s="1172" t="str">
        <f t="shared" ref="BB34" si="67">IF(OR(AL34="",X34="",Q34=""),"",AVERAGE(AL34,X34,Q34))</f>
        <v/>
      </c>
      <c r="BC34" s="1156" t="str">
        <f>IF([2]DIG!AA34="","",[2]DIG!AA34)</f>
        <v/>
      </c>
      <c r="BD34" s="1156" t="str">
        <f>IF([2]DIG!AB34="","",[2]DIG!AB34)</f>
        <v/>
      </c>
      <c r="BE34" s="1153" t="str">
        <f t="shared" ref="BE34" si="68">IF(OR(BD34="",BC34=""),"",(BD34/BC34)*100)</f>
        <v/>
      </c>
      <c r="BF34" s="1214" t="str">
        <f t="shared" ref="BF34" si="69">IF(OR(BB34="",BE34=""),"",((BB34/100-BE34/100)/(BB34/100-(BB34/100*BE34/100)))*100)</f>
        <v/>
      </c>
      <c r="BG34" s="1205" t="str">
        <f t="shared" ref="BG34" si="70">IF(OR(AL34="",X34="",Q34=""),"",AVERAGE(AL34,X34,Q34))</f>
        <v/>
      </c>
      <c r="BH34" s="1156" t="str">
        <f>IF([2]DIG!AD34="","",[2]DIG!AD34)</f>
        <v/>
      </c>
      <c r="BI34" s="1156" t="str">
        <f>IF([2]DIG!AE34="","",([2]DIG!AE34))</f>
        <v/>
      </c>
      <c r="BJ34" s="1153" t="str">
        <f t="shared" ref="BJ34" si="71">IF(OR(BI34="",BH34=""),"",(BI34/BH34)*100)</f>
        <v/>
      </c>
      <c r="BK34" s="1217" t="str">
        <f t="shared" ref="BK34" si="72">IF(OR(BG34="",BJ34=""),"",((BG34/100-BJ34/100)/(BG34/100-(BG34/100*BJ34/100)))*100)</f>
        <v/>
      </c>
      <c r="BL34" s="1223" t="str">
        <f>IF([2]BP_GB!B34="","",[2]BP_GB!B34)</f>
        <v/>
      </c>
      <c r="BM34" s="1156" t="str">
        <f>IF([2]BP_GB!C34="","",[2]BP_GB!C34)</f>
        <v/>
      </c>
      <c r="BN34" s="1165" t="str">
        <f t="shared" ref="BN34" si="73">IF(OR(BM34="",BL34=""),"",(BM34/BL34)*100)</f>
        <v/>
      </c>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4" t="s">
        <v>539</v>
      </c>
      <c r="B35" s="1171">
        <f t="shared" ref="B35" si="74">MAX(B4:B34)</f>
        <v>82.924127636293193</v>
      </c>
      <c r="C35" s="1179">
        <f t="shared" ref="C35" si="75">MAX(C4:C34)</f>
        <v>75.021659071274215</v>
      </c>
      <c r="D35" s="1192">
        <f t="shared" ref="D35" si="76">MAX(D4:D34)</f>
        <v>5.2</v>
      </c>
      <c r="E35" s="1160">
        <f t="shared" ref="E35" si="77">MAX(E4:E34)</f>
        <v>3.92</v>
      </c>
      <c r="F35" s="1164">
        <f t="shared" ref="F35" si="78">MAX(F4:F34)</f>
        <v>87.878787878787875</v>
      </c>
      <c r="G35" s="1189">
        <f t="shared" ref="G35" si="79">MAX(G4:G34)</f>
        <v>4.87</v>
      </c>
      <c r="H35" s="1160">
        <f t="shared" ref="H35" si="80">MAX(H4:H34)</f>
        <v>3.6</v>
      </c>
      <c r="I35" s="1179">
        <f t="shared" ref="I35" si="81">MAX(I4:I34)</f>
        <v>77.647058823529406</v>
      </c>
      <c r="J35" s="1195">
        <f t="shared" ref="J35" si="82">MAX(J4:J34)</f>
        <v>844907</v>
      </c>
      <c r="K35" s="1201">
        <f t="shared" ref="K35" si="83">MAX(K4:K34)</f>
        <v>289849</v>
      </c>
      <c r="L35" s="1204">
        <f t="shared" ref="L35" si="84">MAX(L4:L34)</f>
        <v>7022</v>
      </c>
      <c r="M35" s="1159">
        <f t="shared" ref="M35" si="85">MAX(M4:M34)</f>
        <v>234</v>
      </c>
      <c r="N35" s="1159">
        <f t="shared" ref="N35" si="86">MAX(N4:N34)</f>
        <v>85.147302099434043</v>
      </c>
      <c r="O35" s="1160">
        <f t="shared" ref="O35" si="87">MAX(O4:O34)</f>
        <v>2.16</v>
      </c>
      <c r="P35" s="1160">
        <f t="shared" ref="P35" si="88">MAX(P4:P34)</f>
        <v>1.1200000000000001</v>
      </c>
      <c r="Q35" s="1159">
        <f t="shared" ref="Q35" si="89">MAX(Q4:Q34)</f>
        <v>56.084656084656089</v>
      </c>
      <c r="R35" s="1164">
        <f t="shared" ref="R35" si="90">MAX(R4:R34)</f>
        <v>81.891951261780321</v>
      </c>
      <c r="S35" s="1171">
        <f t="shared" ref="S35" si="91">MAX(S4:S34)</f>
        <v>1118</v>
      </c>
      <c r="T35" s="1159">
        <f t="shared" ref="T35" si="92">MAX(T4:T34)</f>
        <v>232</v>
      </c>
      <c r="U35" s="1159">
        <f t="shared" ref="U35" si="93">MAX(U4:U34)</f>
        <v>85.142762183485246</v>
      </c>
      <c r="V35" s="1160">
        <f t="shared" ref="V35" si="94">MAX(V4:V34)</f>
        <v>2.15</v>
      </c>
      <c r="W35" s="1160">
        <f t="shared" ref="W35" si="95">MAX(W4:W34)</f>
        <v>1.1100000000000001</v>
      </c>
      <c r="X35" s="1159">
        <f t="shared" ref="X35" si="96">MAX(X4:X34)</f>
        <v>56.284153005464475</v>
      </c>
      <c r="Y35" s="1179">
        <f t="shared" ref="Y35" si="97">MAX(Y4:Y34)</f>
        <v>80.653487685793252</v>
      </c>
      <c r="Z35" s="1204">
        <f t="shared" ref="Z35" si="98">MAX(Z4:Z34)</f>
        <v>1777</v>
      </c>
      <c r="AA35" s="1159">
        <f t="shared" ref="AA35" si="99">MAX(AA4:AA34)</f>
        <v>77.647058823529406</v>
      </c>
      <c r="AB35" s="1160">
        <f t="shared" ref="AB35" si="100">MAX(AB4:AB34)</f>
        <v>2.5099999999999998</v>
      </c>
      <c r="AC35" s="1160">
        <f t="shared" ref="AC35" si="101">MAX(AC4:AC34)</f>
        <v>1.55</v>
      </c>
      <c r="AD35" s="1159">
        <f t="shared" ref="AD35" si="102">MAX(AD4:AD34)</f>
        <v>62.288135593220339</v>
      </c>
      <c r="AE35" s="1164">
        <f t="shared" ref="AE35" si="103">MAX(AE4:AE34)</f>
        <v>55.482661668228673</v>
      </c>
      <c r="AF35" s="1174" t="s">
        <v>539</v>
      </c>
      <c r="AG35" s="1204">
        <f>MAX(AG4:AG34)</f>
        <v>1175</v>
      </c>
      <c r="AH35" s="1159">
        <f t="shared" ref="AH35:BA35" si="104">MAX(AH4:AH34)</f>
        <v>253</v>
      </c>
      <c r="AI35" s="1159">
        <f t="shared" si="104"/>
        <v>85.147046077219272</v>
      </c>
      <c r="AJ35" s="1160">
        <f t="shared" si="104"/>
        <v>2.16</v>
      </c>
      <c r="AK35" s="1160">
        <f t="shared" si="104"/>
        <v>1.1599999999999999</v>
      </c>
      <c r="AL35" s="1159">
        <f t="shared" si="104"/>
        <v>55.080213903743314</v>
      </c>
      <c r="AM35" s="1164">
        <f t="shared" si="104"/>
        <v>80.291544707038327</v>
      </c>
      <c r="AN35" s="1171">
        <f t="shared" si="104"/>
        <v>1140</v>
      </c>
      <c r="AO35" s="1159">
        <f t="shared" si="104"/>
        <v>231</v>
      </c>
      <c r="AP35" s="1159">
        <f t="shared" si="104"/>
        <v>85.232140571456881</v>
      </c>
      <c r="AQ35" s="1160">
        <f t="shared" si="104"/>
        <v>2.08</v>
      </c>
      <c r="AR35" s="1160">
        <f t="shared" si="104"/>
        <v>1.1299999999999999</v>
      </c>
      <c r="AS35" s="1159">
        <f t="shared" si="104"/>
        <v>55.67567567567567</v>
      </c>
      <c r="AT35" s="1179">
        <f t="shared" si="104"/>
        <v>78.817908373569878</v>
      </c>
      <c r="AU35" s="1204">
        <f t="shared" si="104"/>
        <v>1123</v>
      </c>
      <c r="AV35" s="1159">
        <f t="shared" si="104"/>
        <v>356</v>
      </c>
      <c r="AW35" s="1159">
        <f t="shared" si="104"/>
        <v>85.310449454263761</v>
      </c>
      <c r="AX35" s="1160">
        <f t="shared" si="104"/>
        <v>184</v>
      </c>
      <c r="AY35" s="1160">
        <f t="shared" si="104"/>
        <v>1.1299999999999999</v>
      </c>
      <c r="AZ35" s="1159">
        <f t="shared" si="104"/>
        <v>55.22388059701494</v>
      </c>
      <c r="BA35" s="1164">
        <f t="shared" si="104"/>
        <v>99.899384064873729</v>
      </c>
      <c r="BB35" s="1171">
        <f>MAX(BB4:BB34)</f>
        <v>55.816340997954626</v>
      </c>
      <c r="BC35" s="1160">
        <f t="shared" ref="BC35:BN35" si="105">MAX(BC4:BC34)</f>
        <v>2.12</v>
      </c>
      <c r="BD35" s="1160">
        <f t="shared" si="105"/>
        <v>1.02</v>
      </c>
      <c r="BE35" s="1159">
        <f t="shared" si="105"/>
        <v>50.264550264550266</v>
      </c>
      <c r="BF35" s="1179">
        <f t="shared" si="105"/>
        <v>35.72559591727633</v>
      </c>
      <c r="BG35" s="1204">
        <f t="shared" si="105"/>
        <v>55.816340997954626</v>
      </c>
      <c r="BH35" s="1160">
        <f t="shared" si="105"/>
        <v>1.78</v>
      </c>
      <c r="BI35" s="1160">
        <f t="shared" si="105"/>
        <v>0.97</v>
      </c>
      <c r="BJ35" s="1159">
        <f t="shared" si="105"/>
        <v>55.813953488372093</v>
      </c>
      <c r="BK35" s="1216">
        <f t="shared" si="105"/>
        <v>10.946121711699936</v>
      </c>
      <c r="BL35" s="1192">
        <f t="shared" si="105"/>
        <v>1.78</v>
      </c>
      <c r="BM35" s="1160">
        <f t="shared" si="105"/>
        <v>0.96</v>
      </c>
      <c r="BN35" s="1164">
        <f t="shared" si="105"/>
        <v>55.621301775147927</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5" t="s">
        <v>590</v>
      </c>
      <c r="B36" s="1172">
        <f>MIN(B4:B34)</f>
        <v>65.389570536718281</v>
      </c>
      <c r="C36" s="1180">
        <f t="shared" ref="C36:AE36" si="106">MIN(C4:C34)</f>
        <v>68.188272444933091</v>
      </c>
      <c r="D36" s="1193">
        <f t="shared" si="106"/>
        <v>2.29</v>
      </c>
      <c r="E36" s="1154">
        <f t="shared" si="106"/>
        <v>2</v>
      </c>
      <c r="F36" s="1165">
        <f t="shared" si="106"/>
        <v>63.123644251626899</v>
      </c>
      <c r="G36" s="1190">
        <f t="shared" si="106"/>
        <v>3.6</v>
      </c>
      <c r="H36" s="1154">
        <f t="shared" si="106"/>
        <v>2.71</v>
      </c>
      <c r="I36" s="1180">
        <f t="shared" si="106"/>
        <v>73.362445414847159</v>
      </c>
      <c r="J36" s="1196">
        <f t="shared" si="106"/>
        <v>246529</v>
      </c>
      <c r="K36" s="1202">
        <f t="shared" si="106"/>
        <v>179512</v>
      </c>
      <c r="L36" s="1205">
        <f t="shared" si="106"/>
        <v>470</v>
      </c>
      <c r="M36" s="1153">
        <f t="shared" si="106"/>
        <v>146</v>
      </c>
      <c r="N36" s="1153">
        <f t="shared" si="106"/>
        <v>64.585412985587126</v>
      </c>
      <c r="O36" s="1154">
        <f t="shared" si="106"/>
        <v>1.89</v>
      </c>
      <c r="P36" s="1154">
        <f t="shared" si="106"/>
        <v>1.02</v>
      </c>
      <c r="Q36" s="1153">
        <f t="shared" si="106"/>
        <v>50.925925925925931</v>
      </c>
      <c r="R36" s="1165">
        <f t="shared" si="106"/>
        <v>73.920203162510163</v>
      </c>
      <c r="S36" s="1172">
        <f t="shared" si="106"/>
        <v>447</v>
      </c>
      <c r="T36" s="1153">
        <f t="shared" si="106"/>
        <v>145</v>
      </c>
      <c r="U36" s="1153">
        <f t="shared" si="106"/>
        <v>64.586049056886623</v>
      </c>
      <c r="V36" s="1154">
        <f t="shared" si="106"/>
        <v>1.83</v>
      </c>
      <c r="W36" s="1154">
        <f t="shared" si="106"/>
        <v>1</v>
      </c>
      <c r="X36" s="1153">
        <f t="shared" si="106"/>
        <v>51.6279069767442</v>
      </c>
      <c r="Y36" s="1180">
        <f t="shared" si="106"/>
        <v>71.646800374272829</v>
      </c>
      <c r="Z36" s="1205">
        <f t="shared" si="106"/>
        <v>880</v>
      </c>
      <c r="AA36" s="1153">
        <f t="shared" si="106"/>
        <v>73.362445414847159</v>
      </c>
      <c r="AB36" s="1154">
        <f t="shared" si="106"/>
        <v>2.36</v>
      </c>
      <c r="AC36" s="1154">
        <f t="shared" si="106"/>
        <v>1.42</v>
      </c>
      <c r="AD36" s="1153">
        <f t="shared" si="106"/>
        <v>60.169491525423723</v>
      </c>
      <c r="AE36" s="1165">
        <f t="shared" si="106"/>
        <v>40.936566633480275</v>
      </c>
      <c r="AF36" s="1175" t="s">
        <v>590</v>
      </c>
      <c r="AG36" s="1205">
        <f t="shared" ref="AG36:BN36" si="107">MIN(AG4:AG34)</f>
        <v>508</v>
      </c>
      <c r="AH36" s="1153">
        <f t="shared" si="107"/>
        <v>149</v>
      </c>
      <c r="AI36" s="1153">
        <f t="shared" si="107"/>
        <v>64.605028206345466</v>
      </c>
      <c r="AJ36" s="1154">
        <f t="shared" si="107"/>
        <v>1.87</v>
      </c>
      <c r="AK36" s="1154">
        <f t="shared" si="107"/>
        <v>1.03</v>
      </c>
      <c r="AL36" s="1153">
        <f t="shared" si="107"/>
        <v>52.830188679245282</v>
      </c>
      <c r="AM36" s="1165">
        <f t="shared" si="107"/>
        <v>71.314226186395544</v>
      </c>
      <c r="AN36" s="1172">
        <f t="shared" si="107"/>
        <v>496</v>
      </c>
      <c r="AO36" s="1153">
        <f t="shared" si="107"/>
        <v>136</v>
      </c>
      <c r="AP36" s="1153">
        <f t="shared" si="107"/>
        <v>64.546148284367945</v>
      </c>
      <c r="AQ36" s="1154">
        <f t="shared" si="107"/>
        <v>1.85</v>
      </c>
      <c r="AR36" s="1154">
        <f t="shared" si="107"/>
        <v>1.03</v>
      </c>
      <c r="AS36" s="1153">
        <f t="shared" si="107"/>
        <v>53.140096618357504</v>
      </c>
      <c r="AT36" s="1180">
        <f t="shared" si="107"/>
        <v>71.550454570971567</v>
      </c>
      <c r="AU36" s="1205">
        <f t="shared" si="107"/>
        <v>479</v>
      </c>
      <c r="AV36" s="1153">
        <f t="shared" si="107"/>
        <v>146</v>
      </c>
      <c r="AW36" s="1153">
        <f t="shared" si="107"/>
        <v>64.641573115125979</v>
      </c>
      <c r="AX36" s="1154">
        <f t="shared" si="107"/>
        <v>2.0099999999999998</v>
      </c>
      <c r="AY36" s="1154">
        <f t="shared" si="107"/>
        <v>1.04</v>
      </c>
      <c r="AZ36" s="1153">
        <f t="shared" si="107"/>
        <v>0.56521739130434789</v>
      </c>
      <c r="BA36" s="1165">
        <f t="shared" si="107"/>
        <v>70.091094001266327</v>
      </c>
      <c r="BB36" s="1211">
        <f t="shared" si="107"/>
        <v>52.11402923537549</v>
      </c>
      <c r="BC36" s="1154">
        <f t="shared" si="107"/>
        <v>1.89</v>
      </c>
      <c r="BD36" s="1154">
        <f t="shared" si="107"/>
        <v>0.91</v>
      </c>
      <c r="BE36" s="1153">
        <f t="shared" si="107"/>
        <v>44.811320754716974</v>
      </c>
      <c r="BF36" s="1214">
        <f t="shared" si="107"/>
        <v>8.228043217609299</v>
      </c>
      <c r="BG36" s="1218">
        <f t="shared" si="107"/>
        <v>52.11402923537549</v>
      </c>
      <c r="BH36" s="1158">
        <f t="shared" si="107"/>
        <v>1.68</v>
      </c>
      <c r="BI36" s="1158">
        <f t="shared" si="107"/>
        <v>0.9</v>
      </c>
      <c r="BJ36" s="1157">
        <f t="shared" si="107"/>
        <v>52.941176470588239</v>
      </c>
      <c r="BK36" s="1219">
        <f t="shared" si="107"/>
        <v>-15.753638960608621</v>
      </c>
      <c r="BL36" s="1193">
        <f t="shared" si="107"/>
        <v>1.68</v>
      </c>
      <c r="BM36" s="1154">
        <f t="shared" si="107"/>
        <v>0.93</v>
      </c>
      <c r="BN36" s="1165">
        <f t="shared" si="107"/>
        <v>53.932584269662918</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5" t="s">
        <v>592</v>
      </c>
      <c r="B37" s="1172"/>
      <c r="C37" s="1180"/>
      <c r="D37" s="1193"/>
      <c r="E37" s="1154"/>
      <c r="F37" s="1165"/>
      <c r="G37" s="1190"/>
      <c r="H37" s="1154"/>
      <c r="I37" s="1180"/>
      <c r="J37" s="1196">
        <f>SUM(J4:J34)</f>
        <v>11055015</v>
      </c>
      <c r="K37" s="1202">
        <f>SUM(K4:K34)</f>
        <v>6796983</v>
      </c>
      <c r="L37" s="1205">
        <f>SUM(L4:L34)</f>
        <v>27536</v>
      </c>
      <c r="M37" s="1153">
        <f>SUM(M4:M34)</f>
        <v>5486</v>
      </c>
      <c r="N37" s="1153"/>
      <c r="O37" s="1154"/>
      <c r="P37" s="1154"/>
      <c r="Q37" s="1153"/>
      <c r="R37" s="1165"/>
      <c r="S37" s="1184">
        <f>SUM(S4:S34)</f>
        <v>21573</v>
      </c>
      <c r="T37" s="1155">
        <f>SUM(T4:T34)</f>
        <v>5501</v>
      </c>
      <c r="U37" s="1153"/>
      <c r="V37" s="1154"/>
      <c r="W37" s="1154"/>
      <c r="X37" s="1153"/>
      <c r="Y37" s="1180"/>
      <c r="Z37" s="1207">
        <f>SUM(Z4:Z34)</f>
        <v>36673</v>
      </c>
      <c r="AA37" s="1153"/>
      <c r="AB37" s="1154"/>
      <c r="AC37" s="1154"/>
      <c r="AD37" s="1153"/>
      <c r="AE37" s="1165"/>
      <c r="AF37" s="1175" t="s">
        <v>592</v>
      </c>
      <c r="AG37" s="1207">
        <f>SUM(AG4:AG34)</f>
        <v>22141</v>
      </c>
      <c r="AH37" s="1155">
        <f>SUM(AH4:AH34)</f>
        <v>5632</v>
      </c>
      <c r="AI37" s="1153" t="str">
        <f>IF(OR(AG37="",F37="",AH37="",I37=""),"",((AG37*F37/100)+(AH37*I37))/(AG37+AH37))</f>
        <v/>
      </c>
      <c r="AJ37" s="1154"/>
      <c r="AK37" s="1154"/>
      <c r="AL37" s="1153"/>
      <c r="AM37" s="1165"/>
      <c r="AN37" s="1184">
        <f>SUM(AN4:AN34)</f>
        <v>21412</v>
      </c>
      <c r="AO37" s="1155">
        <f>SUM(AO4:AO34)</f>
        <v>5417</v>
      </c>
      <c r="AP37" s="1153" t="str">
        <f>IF(OR(AN37="",M37="",AO37="",P37=""),"",((AN37*M37/100)+(AO37*P37))/(AN37+AO37))</f>
        <v/>
      </c>
      <c r="AQ37" s="1154"/>
      <c r="AR37" s="1154"/>
      <c r="AS37" s="1153"/>
      <c r="AT37" s="1180"/>
      <c r="AU37" s="1207">
        <f>SUM(AU4:AU34)</f>
        <v>21470</v>
      </c>
      <c r="AV37" s="1155">
        <f>SUM(AV4:AV34)</f>
        <v>5637</v>
      </c>
      <c r="AW37" s="1153" t="str">
        <f>IF(OR(AU37="",T37="",AV37="",W37=""),"",((AU37*T37/100)+(AV37*W37))/(AU37+AV37))</f>
        <v/>
      </c>
      <c r="AX37" s="1154"/>
      <c r="AY37" s="1154"/>
      <c r="AZ37" s="1153"/>
      <c r="BA37" s="1165"/>
      <c r="BB37" s="1211"/>
      <c r="BC37" s="1154"/>
      <c r="BD37" s="1154"/>
      <c r="BE37" s="1153"/>
      <c r="BF37" s="1214"/>
      <c r="BG37" s="1218"/>
      <c r="BH37" s="1158"/>
      <c r="BI37" s="1158"/>
      <c r="BJ37" s="1157"/>
      <c r="BK37" s="1219"/>
      <c r="BL37" s="1193"/>
      <c r="BM37" s="1154"/>
      <c r="BN37" s="1165"/>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6" t="s">
        <v>538</v>
      </c>
      <c r="B38" s="1173">
        <f>AVERAGE(B4:B34)</f>
        <v>78.746267476565819</v>
      </c>
      <c r="C38" s="1181">
        <f>IF(OR(B38="",BN38=""),"",((B38/100-BN38/100)/(B38/100-(B38/100*BN38/100)))*100)</f>
        <v>67.106129065288371</v>
      </c>
      <c r="D38" s="1194">
        <f>AVERAGE(D4:D34)</f>
        <v>3.9038709677419363</v>
      </c>
      <c r="E38" s="1167">
        <f>AVERAGE(E4:E34)</f>
        <v>3.1622580645161289</v>
      </c>
      <c r="F38" s="1170">
        <f>IF(OR(D38="",E38=""),"",(E38/D38)*100)</f>
        <v>81.003139976863309</v>
      </c>
      <c r="G38" s="1191">
        <f>AVERAGE(G4:G34)</f>
        <v>4.1154838709677417</v>
      </c>
      <c r="H38" s="1167">
        <f>AVERAGE(H4:H34)</f>
        <v>3.0864516129032262</v>
      </c>
      <c r="I38" s="1181">
        <f>IF(OR(G38="",H38=""),"",(H38/G38)*100)</f>
        <v>74.996080890421709</v>
      </c>
      <c r="J38" s="1197">
        <f t="shared" ref="J38:P38" si="108">AVERAGE(J4:J34)</f>
        <v>356613.38709677418</v>
      </c>
      <c r="K38" s="1203">
        <f t="shared" si="108"/>
        <v>219257.51612903227</v>
      </c>
      <c r="L38" s="1206">
        <f t="shared" si="108"/>
        <v>888.25806451612902</v>
      </c>
      <c r="M38" s="1166">
        <f t="shared" si="108"/>
        <v>176.96774193548387</v>
      </c>
      <c r="N38" s="1166">
        <f t="shared" si="108"/>
        <v>80.012695165394078</v>
      </c>
      <c r="O38" s="1167">
        <f t="shared" si="108"/>
        <v>2.0420000000000003</v>
      </c>
      <c r="P38" s="1167">
        <f t="shared" si="108"/>
        <v>1.0780000000000001</v>
      </c>
      <c r="Q38" s="1166">
        <f>IF(OR(O38="",P38=""),"",(P38/O38)*100)</f>
        <v>52.791380999020568</v>
      </c>
      <c r="R38" s="1170">
        <f>AVERAGE(R4:R34)</f>
        <v>76.433731483141898</v>
      </c>
      <c r="S38" s="1173">
        <f>AVERAGE(S4:S34)</f>
        <v>695.90322580645159</v>
      </c>
      <c r="T38" s="1166">
        <f>AVERAGE(T4:T34)</f>
        <v>177.45161290322579</v>
      </c>
      <c r="U38" s="1167">
        <f>IF(OR(S38="",$F38="",T38="",$I38=""),"",IF((((S38*$F38/100)+(T38*$I38/100))/(S38+T38))*100&lt;0,"",(((S38*$F38/100)+(T38*$I38/100))/(S38+T38)))*100)</f>
        <v>79.782602485745826</v>
      </c>
      <c r="V38" s="1167">
        <f>AVERAGE(V4:V34)</f>
        <v>1.952</v>
      </c>
      <c r="W38" s="1167">
        <f>AVERAGE(W4:W34)</f>
        <v>1.044</v>
      </c>
      <c r="X38" s="1166">
        <f>IF(OR(W38="",V38=""),"",(W38/V38)*100)</f>
        <v>53.483606557377051</v>
      </c>
      <c r="Y38" s="1181">
        <f>IF(OR(U38="",X38=""),"",((U38/100-X38/100)/(U38/100-(U38/100*X38/100)))*100)</f>
        <v>70.86388103936973</v>
      </c>
      <c r="Z38" s="1206">
        <f>AVERAGE(Z4:Z34)</f>
        <v>1183</v>
      </c>
      <c r="AA38" s="1166">
        <f>AVERAGE(AA4:AA34)</f>
        <v>75.017843075787539</v>
      </c>
      <c r="AB38" s="1167">
        <f>AVERAGE(AB4:AB34)</f>
        <v>2.4279999999999999</v>
      </c>
      <c r="AC38" s="1167">
        <f>AVERAGE(AC4:AC34)</f>
        <v>1.4899999999999998</v>
      </c>
      <c r="AD38" s="1166">
        <f>IF(OR(AC38="",AB38=""),"",(AC38/AB38)*100)</f>
        <v>61.367380560131792</v>
      </c>
      <c r="AE38" s="1170">
        <f>IF(OR(AA38="",AD38=""),"",((AA38/100-AD38/100)/(AA38/100-(AA38/100*AD38/100)))*100)</f>
        <v>47.100838397291319</v>
      </c>
      <c r="AF38" s="1176" t="s">
        <v>538</v>
      </c>
      <c r="AG38" s="1206">
        <f>AVERAGE(AG4:AG34)</f>
        <v>714.22580645161293</v>
      </c>
      <c r="AH38" s="1166">
        <f>AVERAGE(AH4:AH34)</f>
        <v>181.67741935483872</v>
      </c>
      <c r="AI38" s="1166">
        <f>IF(OR(AG38="",F38="",AH38="",I38=""),"",IF((((AG38*F38/100)+(AH38*I38/100))/(AG38+AH38))*100&lt;0,"",(((AG38*F38/100)+(AH38*I38/100))/(AG38+AH38))*100))</f>
        <v>79.784987210693316</v>
      </c>
      <c r="AJ38" s="1167">
        <f>AVERAGE(AJ4:AJ34)</f>
        <v>2.0740000000000003</v>
      </c>
      <c r="AK38" s="1167">
        <f>AVERAGE(AK4:AK34)</f>
        <v>1.1100000000000001</v>
      </c>
      <c r="AL38" s="1166">
        <f>IF(OR(AK38="",AJ38=""),"",(AK38/AJ38)*100)</f>
        <v>53.51976856316297</v>
      </c>
      <c r="AM38" s="1170">
        <f>IF(OR(AI38="",AL38=""),"",((AI38/100-AL38/100)/(AI38/100-(AI38/100*AL38/100)))*100)</f>
        <v>70.825811441661656</v>
      </c>
      <c r="AN38" s="1173">
        <f>AVERAGE(AN4:AN34)</f>
        <v>690.70967741935488</v>
      </c>
      <c r="AO38" s="1166">
        <f>AVERAGE(AO4:AO34)</f>
        <v>174.74193548387098</v>
      </c>
      <c r="AP38" s="1166">
        <f>AVERAGE(AP4:AP34)</f>
        <v>79.998979325319965</v>
      </c>
      <c r="AQ38" s="1167">
        <f>AVERAGE(AQ4:AQ34)</f>
        <v>1.9900000000000002</v>
      </c>
      <c r="AR38" s="1167">
        <f>AVERAGE(AR4:AR34)</f>
        <v>1.0840000000000001</v>
      </c>
      <c r="AS38" s="1166">
        <f>IF(OR(AR38="",AQ38=""),"",(AR38/AQ38)*100)</f>
        <v>54.472361809045225</v>
      </c>
      <c r="AT38" s="1181">
        <f>IF(OR(AP38="",AS38=""),"",((AP38/100-AS38/100)/(AP38/100-(AP38/100*AS38/100)))*100)</f>
        <v>70.086392064242872</v>
      </c>
      <c r="AU38" s="1206">
        <f>AVERAGE(AU4:AU34)</f>
        <v>692.58064516129036</v>
      </c>
      <c r="AV38" s="1166">
        <f>AVERAGE(AV4:AV34)</f>
        <v>181.83870967741936</v>
      </c>
      <c r="AW38" s="1166">
        <f>AVERAGE(AW4:AW34)</f>
        <v>79.958462316948314</v>
      </c>
      <c r="AX38" s="1167">
        <f>AVERAGE(AX4:AX34)</f>
        <v>38.43</v>
      </c>
      <c r="AY38" s="1167">
        <f>AVERAGE(AY4:AY34)</f>
        <v>1.1000000000000001</v>
      </c>
      <c r="AZ38" s="1166">
        <f>IF(OR(AY38="",AX38=""),"",(AY38/AX38)*100)</f>
        <v>2.862347124642207</v>
      </c>
      <c r="BA38" s="1170">
        <f>IF(OR(AW38="",AZ38=""),"",((AW38/100-AZ38/100)/(AW38/100-(AW38/100*AZ38/100)))*100)</f>
        <v>99.261413608875074</v>
      </c>
      <c r="BB38" s="1173">
        <f>IF(SUM(BB4:BB34)=0,"",AVERAGE(BB4:BB34))</f>
        <v>53.334255758416646</v>
      </c>
      <c r="BC38" s="1167">
        <f>AVERAGE(BC4:BC34)</f>
        <v>2.008</v>
      </c>
      <c r="BD38" s="1167">
        <f>AVERAGE(BD4:BD34)</f>
        <v>0.95799999999999996</v>
      </c>
      <c r="BE38" s="1166">
        <f>IF(OR(BD38="",BC38=""),"",(BD38/BC38)*100)</f>
        <v>47.709163346613543</v>
      </c>
      <c r="BF38" s="1215">
        <f>IF(OR(BB38="",BE38=""),"",(BB38-BE38)/(BB38-BB38*BE38))</f>
        <v>-2.2579864642105867E-3</v>
      </c>
      <c r="BG38" s="1220">
        <f>IF(SUM(BG4:BG34)=0,"",AVERAGE(BG4:BG34))</f>
        <v>53.334255758416646</v>
      </c>
      <c r="BH38" s="1169">
        <f>AVERAGE(BH4:BH34)</f>
        <v>1.7239999999999998</v>
      </c>
      <c r="BI38" s="1169">
        <f>AVERAGE(BI4:BI34)</f>
        <v>0.94600000000000006</v>
      </c>
      <c r="BJ38" s="1168">
        <f>IF(OR(BI38="",BH38=""),"",(BI38/BH38)*100)</f>
        <v>54.872389791183309</v>
      </c>
      <c r="BK38" s="1221">
        <f>IF(OR(BG38="",BJ38=""),"",(BG38-BJ38)/(BG38-BG38*BJ38))</f>
        <v>5.3533014654068712E-4</v>
      </c>
      <c r="BL38" s="1194">
        <f>AVERAGE(BL4:BL34)</f>
        <v>1.7079999999999997</v>
      </c>
      <c r="BM38" s="1167">
        <f>AVERAGE(BM4:BM34)</f>
        <v>0.93800000000000006</v>
      </c>
      <c r="BN38" s="1170">
        <f>AVERAGE(BN4:BN34)</f>
        <v>54.929299410742281</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3"/>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2"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4" t="s">
        <v>741</v>
      </c>
      <c r="BC39" s="74"/>
      <c r="BD39" s="664"/>
      <c r="BE39" s="664"/>
      <c r="BF39" s="19"/>
      <c r="BG39" s="664"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85" t="s">
        <v>338</v>
      </c>
      <c r="C40" s="1686"/>
      <c r="D40" s="1687"/>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3"/>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691" t="s">
        <v>65</v>
      </c>
      <c r="C41" s="1692"/>
      <c r="D41" s="195">
        <f>R38</f>
        <v>76.433731483141898</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693" t="s">
        <v>66</v>
      </c>
      <c r="C42" s="1694"/>
      <c r="D42" s="196">
        <f>Y38</f>
        <v>70.86388103936973</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693" t="s">
        <v>69</v>
      </c>
      <c r="C43" s="1694"/>
      <c r="D43" s="196">
        <f>AE38</f>
        <v>47.100838397291319</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693" t="s">
        <v>67</v>
      </c>
      <c r="C44" s="1694"/>
      <c r="D44" s="196">
        <f>AM38</f>
        <v>70.825811441661656</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707" t="s">
        <v>339</v>
      </c>
      <c r="C45" s="1708"/>
      <c r="D45" s="197">
        <f>C38</f>
        <v>67.106129065288371</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701"/>
      <c r="C46" s="1702"/>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689"/>
      <c r="E75" s="1689"/>
      <c r="F75" s="179"/>
      <c r="G75" s="138"/>
      <c r="H75" s="138"/>
      <c r="I75" s="1689"/>
      <c r="J75" s="1689"/>
      <c r="K75" s="1689"/>
      <c r="L75" s="1689"/>
      <c r="M75" s="179"/>
      <c r="N75" s="179"/>
      <c r="O75" s="138"/>
      <c r="P75" s="138"/>
      <c r="Q75" s="1689"/>
      <c r="R75" s="1689"/>
      <c r="S75" s="1689"/>
      <c r="T75" s="1689"/>
      <c r="U75" s="173"/>
      <c r="V75" s="138"/>
      <c r="W75" s="1696"/>
      <c r="X75" s="1696"/>
      <c r="Y75" s="180"/>
      <c r="Z75" s="179"/>
      <c r="AA75" s="179"/>
      <c r="AB75" s="138"/>
      <c r="AC75" s="138"/>
      <c r="AD75" s="1695"/>
      <c r="AE75" s="1695"/>
      <c r="AF75" s="1695"/>
      <c r="AG75" s="1695"/>
      <c r="AH75" s="1695"/>
      <c r="AI75" s="172"/>
      <c r="AJ75" s="181"/>
      <c r="AK75" s="138"/>
      <c r="AL75" s="138"/>
      <c r="AM75" s="138"/>
      <c r="AN75" s="138"/>
      <c r="AO75" s="138"/>
      <c r="AP75" s="172"/>
      <c r="AQ75" s="181"/>
      <c r="AR75" s="138"/>
      <c r="AS75" s="138"/>
      <c r="AT75" s="138"/>
      <c r="AU75" s="138"/>
      <c r="AV75" s="138"/>
      <c r="AW75" s="172"/>
      <c r="AX75" s="181"/>
      <c r="AY75" s="138"/>
      <c r="AZ75" s="138"/>
      <c r="BA75" s="138"/>
      <c r="BB75" s="138"/>
      <c r="BC75" s="1695"/>
      <c r="BD75" s="1695"/>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698"/>
      <c r="AE76" s="1698"/>
      <c r="AF76" s="1698"/>
      <c r="AG76" s="1698"/>
      <c r="AH76" s="1698"/>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689"/>
      <c r="E77" s="1689"/>
      <c r="F77" s="1689"/>
      <c r="G77" s="1689"/>
      <c r="H77" s="181"/>
      <c r="I77" s="1689"/>
      <c r="J77" s="1689"/>
      <c r="K77" s="1689"/>
      <c r="L77" s="1689"/>
      <c r="M77" s="1689"/>
      <c r="N77" s="1689"/>
      <c r="O77" s="1689"/>
      <c r="P77" s="181"/>
      <c r="Q77" s="1697"/>
      <c r="R77" s="1697"/>
      <c r="S77" s="1697"/>
      <c r="T77" s="1697"/>
      <c r="U77" s="175"/>
      <c r="V77" s="181"/>
      <c r="W77" s="1690"/>
      <c r="X77" s="1690"/>
      <c r="Y77" s="1690"/>
      <c r="Z77" s="1690"/>
      <c r="AA77" s="1690"/>
      <c r="AB77" s="1690"/>
      <c r="AC77" s="181"/>
      <c r="AD77" s="1690"/>
      <c r="AE77" s="1690"/>
      <c r="AF77" s="1690"/>
      <c r="AG77" s="1690"/>
      <c r="AH77" s="1690"/>
      <c r="AI77" s="181"/>
      <c r="AJ77" s="181"/>
      <c r="AK77" s="181"/>
      <c r="AL77" s="181"/>
      <c r="AM77" s="181"/>
      <c r="AN77" s="181"/>
      <c r="AO77" s="181"/>
      <c r="AP77" s="181"/>
      <c r="AQ77" s="181"/>
      <c r="AR77" s="181"/>
      <c r="AS77" s="181"/>
      <c r="AT77" s="181"/>
      <c r="AU77" s="181"/>
      <c r="AV77" s="181"/>
      <c r="AW77" s="181"/>
      <c r="AX77" s="181"/>
      <c r="AY77" s="181"/>
      <c r="AZ77" s="181"/>
      <c r="BA77" s="181"/>
      <c r="BB77" s="181"/>
      <c r="BC77" s="1696"/>
      <c r="BD77" s="1696"/>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689"/>
      <c r="AE79" s="1689"/>
      <c r="AF79" s="1689"/>
      <c r="AG79" s="1689"/>
      <c r="AH79" s="1689"/>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 ref="BC75:BD75"/>
    <mergeCell ref="BC77:BD77"/>
    <mergeCell ref="D75:E75"/>
    <mergeCell ref="I75:L75"/>
    <mergeCell ref="Q75:T75"/>
    <mergeCell ref="W75:X75"/>
    <mergeCell ref="D77:G77"/>
    <mergeCell ref="I77:O77"/>
    <mergeCell ref="Q77:T77"/>
    <mergeCell ref="AD76:AH76"/>
    <mergeCell ref="AD79:AH79"/>
    <mergeCell ref="W77:AB77"/>
    <mergeCell ref="AD77:AH77"/>
    <mergeCell ref="B41:C41"/>
    <mergeCell ref="B42:C42"/>
    <mergeCell ref="AD75:AH75"/>
    <mergeCell ref="B43:C43"/>
  </mergeCells>
  <phoneticPr fontId="0" type="noConversion"/>
  <printOptions horizontalCentered="1" verticalCentered="1"/>
  <pageMargins left="0.25" right="0.25" top="0.25" bottom="0.25" header="0.25" footer="0.25"/>
  <pageSetup paperSize="3" scale="4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McBride, Lisa</cp:lastModifiedBy>
  <cp:lastPrinted>2019-02-14T22:36:16Z</cp:lastPrinted>
  <dcterms:created xsi:type="dcterms:W3CDTF">2002-10-28T21:25:37Z</dcterms:created>
  <dcterms:modified xsi:type="dcterms:W3CDTF">2019-02-14T23:03:07Z</dcterms:modified>
</cp:coreProperties>
</file>